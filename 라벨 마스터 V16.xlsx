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마스터" sheetId="1" state="visible" r:id="rId3"/>
    <sheet name="아트지" sheetId="2" state="visible" r:id="rId4"/>
    <sheet name="아트지 옵션구성" sheetId="3" state="visible" r:id="rId5"/>
    <sheet name="유포지" sheetId="4" state="visible" r:id="rId6"/>
    <sheet name="유포지  옵션구성" sheetId="5" state="visible" r:id="rId7"/>
    <sheet name="판매현황" sheetId="6" state="visible" r:id="rId8"/>
  </sheets>
  <definedNames>
    <definedName function="false" hidden="true" localSheetId="5" name="_xlnm._FilterDatabase" vbProcedure="false">판매현황!$A$2:$H$60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5" authorId="0">
      <text>
        <r>
          <rPr>
            <sz val="10"/>
            <rFont val="Arial"/>
            <family val="2"/>
          </rPr>
          <t xml:space="preserve">9</t>
        </r>
        <r>
          <rPr>
            <sz val="10"/>
            <rFont val="WenQuanYi Zen Hei"/>
            <family val="2"/>
          </rPr>
          <t xml:space="preserve">월 가격인하</t>
        </r>
      </text>
    </comment>
    <comment ref="O14" authorId="0">
      <text>
        <r>
          <rPr>
            <sz val="10"/>
            <rFont val="Arial"/>
            <family val="2"/>
          </rPr>
          <t xml:space="preserve">9</t>
        </r>
        <r>
          <rPr>
            <sz val="10"/>
            <rFont val="WenQuanYi Zen Hei"/>
            <family val="2"/>
          </rPr>
          <t xml:space="preserve">월 가격인하
</t>
        </r>
      </text>
    </comment>
  </commentList>
</comments>
</file>

<file path=xl/sharedStrings.xml><?xml version="1.0" encoding="utf-8"?>
<sst xmlns="http://schemas.openxmlformats.org/spreadsheetml/2006/main" count="519" uniqueCount="196">
  <si>
    <t xml:space="preserve">라벨 마스터 (재질·규격별 입고/출고/재고·가격·채널별 판매) — 재고 2026-10-07 실재고 · 오픈마켓 판매는 판매현황 시트 기준</t>
  </si>
  <si>
    <t xml:space="preserve">수수료율</t>
  </si>
  <si>
    <t xml:space="preserve">부가세율</t>
  </si>
  <si>
    <t xml:space="preserve">No</t>
  </si>
  <si>
    <t xml:space="preserve">재질</t>
  </si>
  <si>
    <t xml:space="preserve">규격</t>
  </si>
  <si>
    <t xml:space="preserve">입고수량</t>
  </si>
  <si>
    <t xml:space="preserve">전체판매수량
(입고−재고)</t>
  </si>
  <si>
    <t xml:space="preserve">오픈마켓
판매 합계(롤)</t>
  </si>
  <si>
    <t xml:space="preserve">재고수량
(10/7 실재고)</t>
  </si>
  <si>
    <t xml:space="preserve">오픈마켓 판매건수
(판매현황 기준)</t>
  </si>
  <si>
    <t xml:space="preserve">출고 중
오픈마켓 비중</t>
  </si>
  <si>
    <t xml:space="preserve">재고순위
(재고 많은 순)</t>
  </si>
  <si>
    <t xml:space="preserve">판매순위
(출고 많은 순)</t>
  </si>
  <si>
    <t xml:space="preserve">롤당
수량(매)</t>
  </si>
  <si>
    <t xml:space="preserve">장당
원가</t>
  </si>
  <si>
    <t xml:space="preserve">원가</t>
  </si>
  <si>
    <t xml:space="preserve">판매가
(부가세 별도)</t>
  </si>
  <si>
    <t xml:space="preserve">등록가
(부가세 포함)</t>
  </si>
  <si>
    <t xml:space="preserve">이익금액(원)
(수수료 제외)</t>
  </si>
  <si>
    <t xml:space="preserve">마진율
(수수료 제외)</t>
  </si>
  <si>
    <t xml:space="preserve">쿠팡
(롤)</t>
  </si>
  <si>
    <t xml:space="preserve">지마켓
(롤)</t>
  </si>
  <si>
    <t xml:space="preserve">전문몰
(롤)</t>
  </si>
  <si>
    <r>
      <rPr>
        <b val="true"/>
        <sz val="12"/>
        <color rgb="FFFFFFFF"/>
        <rFont val="맑은 고딕"/>
        <family val="3"/>
        <charset val="129"/>
      </rPr>
      <t xml:space="preserve">11</t>
    </r>
    <r>
      <rPr>
        <b val="true"/>
        <sz val="12"/>
        <color rgb="FFFFFFFF"/>
        <rFont val="WenQuanYi Zen Hei"/>
        <family val="2"/>
      </rPr>
      <t xml:space="preserve">번가
</t>
    </r>
    <r>
      <rPr>
        <b val="true"/>
        <sz val="12"/>
        <color rgb="FFFFFFFF"/>
        <rFont val="맑은 고딕"/>
        <family val="3"/>
        <charset val="129"/>
      </rPr>
      <t xml:space="preserve">(</t>
    </r>
    <r>
      <rPr>
        <b val="true"/>
        <sz val="12"/>
        <color rgb="FFFFFFFF"/>
        <rFont val="WenQuanYi Zen Hei"/>
        <family val="2"/>
      </rPr>
      <t xml:space="preserve">롤</t>
    </r>
    <r>
      <rPr>
        <b val="true"/>
        <sz val="12"/>
        <color rgb="FFFFFFFF"/>
        <rFont val="맑은 고딕"/>
        <family val="3"/>
        <charset val="129"/>
      </rPr>
      <t xml:space="preserve">)</t>
    </r>
  </si>
  <si>
    <t xml:space="preserve">상태</t>
  </si>
  <si>
    <t xml:space="preserve">옵션 가능 수
(같은 재질 다른 사이즈)</t>
  </si>
  <si>
    <t xml:space="preserve">비고</t>
  </si>
  <si>
    <t xml:space="preserve">기타몰
(롤)</t>
  </si>
  <si>
    <t xml:space="preserve">일반 판매
(오픈마켓 외, 롤)</t>
  </si>
  <si>
    <t xml:space="preserve">아트지</t>
  </si>
  <si>
    <t xml:space="preserve">35*20</t>
  </si>
  <si>
    <t xml:space="preserve">오픈마켓 판매 아님</t>
  </si>
  <si>
    <t xml:space="preserve">40*20</t>
  </si>
  <si>
    <t xml:space="preserve">전문몰 2롤</t>
  </si>
  <si>
    <t xml:space="preserve">50*30</t>
  </si>
  <si>
    <t xml:space="preserve">전문몰 1롤</t>
  </si>
  <si>
    <t xml:space="preserve">50*50</t>
  </si>
  <si>
    <t xml:space="preserve">지마켓 20롤 + 쿠팡 2롤</t>
  </si>
  <si>
    <t xml:space="preserve">60*40</t>
  </si>
  <si>
    <t xml:space="preserve">쿠팡 1롤+전문몰 6롤</t>
  </si>
  <si>
    <t xml:space="preserve">아트지/품절</t>
  </si>
  <si>
    <t xml:space="preserve">70*40</t>
  </si>
  <si>
    <t xml:space="preserve">80*60</t>
  </si>
  <si>
    <t xml:space="preserve">100*60</t>
  </si>
  <si>
    <t xml:space="preserve">지마켓 5롤 + 쿠팡 2롤+전문몰 6롤</t>
  </si>
  <si>
    <t xml:space="preserve">100*70</t>
  </si>
  <si>
    <t xml:space="preserve">100*100</t>
  </si>
  <si>
    <t xml:space="preserve">전문몰 11롤</t>
  </si>
  <si>
    <t xml:space="preserve">아트지 소계</t>
  </si>
  <si>
    <t xml:space="preserve">유포지</t>
  </si>
  <si>
    <t xml:space="preserve">30*15</t>
  </si>
  <si>
    <t xml:space="preserve">쿠팡 2롤 + 전문몰 8롤</t>
  </si>
  <si>
    <t xml:space="preserve">유포지/품절</t>
  </si>
  <si>
    <t xml:space="preserve">전문몰 50롤</t>
  </si>
  <si>
    <t xml:space="preserve">전문몰 5롤</t>
  </si>
  <si>
    <t xml:space="preserve">70*50</t>
  </si>
  <si>
    <t xml:space="preserve">쿠팡 1롤 + 전문몰 6롤</t>
  </si>
  <si>
    <t xml:space="preserve">70*60</t>
  </si>
  <si>
    <t xml:space="preserve">100*35</t>
  </si>
  <si>
    <t xml:space="preserve">전문몰 1롤 + 쿠팡 1롤</t>
  </si>
  <si>
    <t xml:space="preserve">100*80</t>
  </si>
  <si>
    <t xml:space="preserve">지마켓 19롤</t>
  </si>
  <si>
    <t xml:space="preserve">100*90</t>
  </si>
  <si>
    <t xml:space="preserve">쿠팡 1롤 + 전문몰 2롤</t>
  </si>
  <si>
    <t xml:space="preserve">전문몰 14롤</t>
  </si>
  <si>
    <t xml:space="preserve">100*150</t>
  </si>
  <si>
    <t xml:space="preserve">유포지 소계</t>
  </si>
  <si>
    <t xml:space="preserve">감열지</t>
  </si>
  <si>
    <t xml:space="preserve">80*70</t>
  </si>
  <si>
    <t xml:space="preserve">쿠팡 1롤</t>
  </si>
  <si>
    <t xml:space="preserve">지마켓 16롤</t>
  </si>
  <si>
    <t xml:space="preserve">감열지 소계</t>
  </si>
  <si>
    <t xml:space="preserve">전체 합계</t>
  </si>
  <si>
    <t xml:space="preserve">계산 방법: 재고(G, 파란 글씨) = 실재고(재고 프로그램 10/7) 입력 · 전체판매(E) = 입고(D) − 재고(G) · 채널별 판매(S~V, Z) = 판매현황 시트에서 재질·규격·판매처가 같은 수량 합계 · 오픈마켓 판매 합계(F) = 쿠팡+지마켓+전문몰+11번가+기타몰 · 일반 판매(AA) = 전체판매(E) − 오픈마켓 판매(F)</t>
  </si>
  <si>
    <t xml:space="preserve">재고가 바뀌면 G열만 새 실재고로 고치고, 오픈마켓 판매는 판매현황 시트에 한 줄씩 추가하면 됩니다. 일반 판매(AA)가 빨갛게(음수) 나오면 판매현황 기록이 실재고보다 많다는 뜻이니 기록을 확인하세요. 원가(N) = 롤당 수량 × 장당 원가 · 등록가(P) = 판매가 × 1.1 (10원 미만 버림) · 이익(Q) = 판매가 − 판매가×수수료율 − 원가 · 마진율(R) = 이익 ÷ 판매가</t>
  </si>
  <si>
    <t xml:space="preserve">라벨별 오픈마켓 판매 (롤)</t>
  </si>
  <si>
    <t xml:space="preserve">쿠팡</t>
  </si>
  <si>
    <t xml:space="preserve">지마켓</t>
  </si>
  <si>
    <r>
      <rPr>
        <b val="true"/>
        <sz val="12"/>
        <color rgb="FFFFFFFF"/>
        <rFont val="맑은 고딕"/>
        <family val="3"/>
        <charset val="129"/>
      </rPr>
      <t xml:space="preserve">11</t>
    </r>
    <r>
      <rPr>
        <b val="true"/>
        <sz val="12"/>
        <color rgb="FFFFFFFF"/>
        <rFont val="WenQuanYi Zen Hei"/>
        <family val="2"/>
      </rPr>
      <t xml:space="preserve">번가</t>
    </r>
  </si>
  <si>
    <t xml:space="preserve">전문몰</t>
  </si>
  <si>
    <t xml:space="preserve">기타몰</t>
  </si>
  <si>
    <t xml:space="preserve">총 출고(롤)</t>
  </si>
  <si>
    <t xml:space="preserve">합계</t>
  </si>
  <si>
    <t xml:space="preserve">아트지 전체현황</t>
  </si>
  <si>
    <t xml:space="preserve">전체판매수량</t>
  </si>
  <si>
    <t xml:space="preserve">재고수량</t>
  </si>
  <si>
    <t xml:space="preserve">오픈마켓판매수량</t>
  </si>
  <si>
    <t xml:space="preserve">기타채널판매수량</t>
  </si>
  <si>
    <t xml:space="preserve">판매가
(부가세별도)</t>
  </si>
  <si>
    <t xml:space="preserve">판매가
(부가세포함)</t>
  </si>
  <si>
    <t xml:space="preserve">마진율</t>
  </si>
  <si>
    <r>
      <rPr>
        <sz val="10"/>
        <rFont val="Malgun Gothic"/>
        <family val="3"/>
        <charset val="129"/>
      </rPr>
      <t xml:space="preserve">3</t>
    </r>
    <r>
      <rPr>
        <sz val="10"/>
        <rFont val="WenQuanYi Zen Hei"/>
        <family val="2"/>
      </rPr>
      <t xml:space="preserve">건</t>
    </r>
    <r>
      <rPr>
        <sz val="10"/>
        <rFont val="Malgun Gothic"/>
        <family val="3"/>
        <charset val="129"/>
      </rPr>
      <t xml:space="preserve">(22</t>
    </r>
    <r>
      <rPr>
        <sz val="10"/>
        <rFont val="WenQuanYi Zen Hei"/>
        <family val="2"/>
      </rPr>
      <t xml:space="preserve">롤</t>
    </r>
    <r>
      <rPr>
        <sz val="10"/>
        <rFont val="Malgun Gothic"/>
        <family val="3"/>
        <charset val="129"/>
      </rPr>
      <t xml:space="preserve">)</t>
    </r>
  </si>
  <si>
    <r>
      <rPr>
        <sz val="10"/>
        <rFont val="Malgun Gothic"/>
        <family val="3"/>
        <charset val="129"/>
      </rPr>
      <t xml:space="preserve">2</t>
    </r>
    <r>
      <rPr>
        <sz val="10"/>
        <rFont val="WenQuanYi Zen Hei"/>
        <family val="2"/>
      </rPr>
      <t xml:space="preserve">건</t>
    </r>
    <r>
      <rPr>
        <sz val="10"/>
        <rFont val="Malgun Gothic"/>
        <family val="3"/>
        <charset val="129"/>
      </rPr>
      <t xml:space="preserve">(11</t>
    </r>
    <r>
      <rPr>
        <sz val="10"/>
        <rFont val="WenQuanYi Zen Hei"/>
        <family val="2"/>
      </rPr>
      <t xml:space="preserve">롤</t>
    </r>
    <r>
      <rPr>
        <sz val="10"/>
        <rFont val="Malgun Gothic"/>
        <family val="3"/>
        <charset val="129"/>
      </rPr>
      <t xml:space="preserve">)</t>
    </r>
  </si>
  <si>
    <r>
      <rPr>
        <sz val="10"/>
        <rFont val="Malgun Gothic"/>
        <family val="3"/>
        <charset val="129"/>
      </rPr>
      <t xml:space="preserve">2</t>
    </r>
    <r>
      <rPr>
        <sz val="10"/>
        <rFont val="WenQuanYi Zen Hei"/>
        <family val="2"/>
      </rPr>
      <t xml:space="preserve">건</t>
    </r>
    <r>
      <rPr>
        <sz val="10"/>
        <rFont val="Malgun Gothic"/>
        <family val="3"/>
        <charset val="129"/>
      </rPr>
      <t xml:space="preserve">(2</t>
    </r>
    <r>
      <rPr>
        <sz val="10"/>
        <rFont val="WenQuanYi Zen Hei"/>
        <family val="2"/>
      </rPr>
      <t xml:space="preserve">롤</t>
    </r>
    <r>
      <rPr>
        <sz val="10"/>
        <rFont val="Malgun Gothic"/>
        <family val="3"/>
        <charset val="129"/>
      </rPr>
      <t xml:space="preserve">)</t>
    </r>
  </si>
  <si>
    <r>
      <rPr>
        <sz val="10"/>
        <rFont val="Malgun Gothic"/>
        <family val="3"/>
        <charset val="129"/>
      </rPr>
      <t xml:space="preserve">4</t>
    </r>
    <r>
      <rPr>
        <sz val="10"/>
        <rFont val="WenQuanYi Zen Hei"/>
        <family val="2"/>
      </rPr>
      <t xml:space="preserve">건</t>
    </r>
    <r>
      <rPr>
        <sz val="10"/>
        <rFont val="Malgun Gothic"/>
        <family val="3"/>
        <charset val="129"/>
      </rPr>
      <t xml:space="preserve">(13</t>
    </r>
    <r>
      <rPr>
        <sz val="10"/>
        <rFont val="WenQuanYi Zen Hei"/>
        <family val="2"/>
      </rPr>
      <t xml:space="preserve">롤</t>
    </r>
    <r>
      <rPr>
        <sz val="10"/>
        <rFont val="Malgun Gothic"/>
        <family val="3"/>
        <charset val="129"/>
      </rPr>
      <t xml:space="preserve">)</t>
    </r>
  </si>
  <si>
    <r>
      <rPr>
        <sz val="10"/>
        <rFont val="Malgun Gothic"/>
        <family val="3"/>
        <charset val="129"/>
      </rPr>
      <t xml:space="preserve">0</t>
    </r>
    <r>
      <rPr>
        <sz val="10"/>
        <rFont val="WenQuanYi Zen Hei"/>
        <family val="2"/>
      </rPr>
      <t xml:space="preserve">건</t>
    </r>
  </si>
  <si>
    <r>
      <rPr>
        <sz val="10"/>
        <rFont val="Malgun Gothic"/>
        <family val="3"/>
        <charset val="129"/>
      </rPr>
      <t xml:space="preserve">1</t>
    </r>
    <r>
      <rPr>
        <sz val="10"/>
        <rFont val="WenQuanYi Zen Hei"/>
        <family val="2"/>
      </rPr>
      <t xml:space="preserve">건</t>
    </r>
    <r>
      <rPr>
        <sz val="10"/>
        <rFont val="Malgun Gothic"/>
        <family val="3"/>
        <charset val="129"/>
      </rPr>
      <t xml:space="preserve">(1</t>
    </r>
    <r>
      <rPr>
        <sz val="10"/>
        <rFont val="WenQuanYi Zen Hei"/>
        <family val="2"/>
      </rPr>
      <t xml:space="preserve">롤</t>
    </r>
    <r>
      <rPr>
        <sz val="10"/>
        <rFont val="Malgun Gothic"/>
        <family val="3"/>
        <charset val="129"/>
      </rPr>
      <t xml:space="preserve">)</t>
    </r>
  </si>
  <si>
    <r>
      <rPr>
        <sz val="10"/>
        <rFont val="Malgun Gothic"/>
        <family val="3"/>
        <charset val="129"/>
      </rPr>
      <t xml:space="preserve">1</t>
    </r>
    <r>
      <rPr>
        <sz val="10"/>
        <rFont val="WenQuanYi Zen Hei"/>
        <family val="2"/>
      </rPr>
      <t xml:space="preserve">건</t>
    </r>
    <r>
      <rPr>
        <sz val="10"/>
        <rFont val="Malgun Gothic"/>
        <family val="3"/>
        <charset val="129"/>
      </rPr>
      <t xml:space="preserve">(2</t>
    </r>
    <r>
      <rPr>
        <sz val="10"/>
        <rFont val="WenQuanYi Zen Hei"/>
        <family val="2"/>
      </rPr>
      <t xml:space="preserve">롤</t>
    </r>
    <r>
      <rPr>
        <sz val="10"/>
        <rFont val="Malgun Gothic"/>
        <family val="3"/>
        <charset val="129"/>
      </rPr>
      <t xml:space="preserve">)</t>
    </r>
  </si>
  <si>
    <r>
      <rPr>
        <sz val="10"/>
        <rFont val="Malgun Gothic"/>
        <family val="3"/>
        <charset val="129"/>
      </rPr>
      <t xml:space="preserve">1</t>
    </r>
    <r>
      <rPr>
        <sz val="10"/>
        <rFont val="WenQuanYi Zen Hei"/>
        <family val="2"/>
      </rPr>
      <t xml:space="preserve">건</t>
    </r>
    <r>
      <rPr>
        <sz val="10"/>
        <rFont val="Malgun Gothic"/>
        <family val="3"/>
        <charset val="129"/>
      </rPr>
      <t xml:space="preserve">(0</t>
    </r>
    <r>
      <rPr>
        <sz val="10"/>
        <rFont val="WenQuanYi Zen Hei"/>
        <family val="2"/>
      </rPr>
      <t xml:space="preserve">롤</t>
    </r>
    <r>
      <rPr>
        <sz val="10"/>
        <rFont val="Malgun Gothic"/>
        <family val="3"/>
        <charset val="129"/>
      </rPr>
      <t xml:space="preserve">)</t>
    </r>
  </si>
  <si>
    <r>
      <rPr>
        <b val="true"/>
        <sz val="10"/>
        <rFont val="Malgun Gothic"/>
        <family val="3"/>
        <charset val="129"/>
      </rPr>
      <t xml:space="preserve">16</t>
    </r>
    <r>
      <rPr>
        <b val="true"/>
        <sz val="10"/>
        <rFont val="WenQuanYi Zen Hei"/>
        <family val="2"/>
      </rPr>
      <t xml:space="preserve">건</t>
    </r>
  </si>
  <si>
    <t xml:space="preserve">라벨별 옵션 구성 — 각 라벨을 대표가(기준)로 잡았을 때 옵션으로 함께 넣을 수 있는 사이즈 종류·개수</t>
  </si>
  <si>
    <t xml:space="preserve">옵션추가금액 하한(대표가 대비)</t>
  </si>
  <si>
    <t xml:space="preserve">옵션추가금액 상한(대표가 대비)</t>
  </si>
  <si>
    <t xml:space="preserve">품절(재고 0) 사이즈 옵션 제외  (1=제외, 0=포함)</t>
  </si>
  <si>
    <t xml:space="preserve">대표가
(부가세 포함)</t>
  </si>
  <si>
    <t xml:space="preserve">옵션가 하한
(최소 판매가)</t>
  </si>
  <si>
    <t xml:space="preserve">옵션가 상한
(최대 판매가)</t>
  </si>
  <si>
    <t xml:space="preserve">옵션 가능 수
(개)</t>
  </si>
  <si>
    <t xml:space="preserve">옵션 종류 (옵션추가금액)</t>
  </si>
  <si>
    <t xml:space="preserve">품절</t>
  </si>
  <si>
    <t xml:space="preserve">100*40</t>
  </si>
  <si>
    <t xml:space="preserve">재고2롤</t>
  </si>
  <si>
    <t xml:space="preserve">60*40(+2,180)</t>
  </si>
  <si>
    <t xml:space="preserve">50*30(+1,650)</t>
  </si>
  <si>
    <t xml:space="preserve">100*100(+3,850)</t>
  </si>
  <si>
    <t xml:space="preserve">60*40(+1,080)</t>
  </si>
  <si>
    <t xml:space="preserve">100*60(+3,300)</t>
  </si>
  <si>
    <t xml:space="preserve">50*30(+550)</t>
  </si>
  <si>
    <t xml:space="preserve">35*20(+3,030)</t>
  </si>
  <si>
    <t xml:space="preserve">80*60(+3,300)</t>
  </si>
  <si>
    <t xml:space="preserve">40*20(-1,100)</t>
  </si>
  <si>
    <t xml:space="preserve">100*100(+3,300)</t>
  </si>
  <si>
    <t xml:space="preserve">60*40(+530)</t>
  </si>
  <si>
    <t xml:space="preserve">100*60(+2,750)</t>
  </si>
  <si>
    <t xml:space="preserve">35*20(+2,480)</t>
  </si>
  <si>
    <t xml:space="preserve">80*60(+2,750)</t>
  </si>
  <si>
    <t xml:space="preserve">40*20(-1,650)</t>
  </si>
  <si>
    <t xml:space="preserve">100*100(+2,770)</t>
  </si>
  <si>
    <t xml:space="preserve">100*60(+2,220)</t>
  </si>
  <si>
    <t xml:space="preserve">50*30(-530)</t>
  </si>
  <si>
    <t xml:space="preserve">35*20(+1,950)</t>
  </si>
  <si>
    <t xml:space="preserve">80*60(+2,220)</t>
  </si>
  <si>
    <t xml:space="preserve">40*20(-2,180)</t>
  </si>
  <si>
    <t xml:space="preserve">100*100(+820)</t>
  </si>
  <si>
    <t xml:space="preserve">60*40(-1,950)</t>
  </si>
  <si>
    <t xml:space="preserve">100*60(+270)</t>
  </si>
  <si>
    <t xml:space="preserve">50*30(-2,480)</t>
  </si>
  <si>
    <t xml:space="preserve">80*60(+270)</t>
  </si>
  <si>
    <t xml:space="preserve">100*70(+3,880)</t>
  </si>
  <si>
    <t xml:space="preserve">100*100(+550)</t>
  </si>
  <si>
    <t xml:space="preserve">60*40(-2,220)</t>
  </si>
  <si>
    <t xml:space="preserve">50*30(-2,750)</t>
  </si>
  <si>
    <t xml:space="preserve">35*20(-270)</t>
  </si>
  <si>
    <t xml:space="preserve">80*60(+0)</t>
  </si>
  <si>
    <t xml:space="preserve">100*70(+3,610)</t>
  </si>
  <si>
    <t xml:space="preserve">100*60(+0)</t>
  </si>
  <si>
    <t xml:space="preserve">60*40(-2,770)</t>
  </si>
  <si>
    <t xml:space="preserve">100*60(-550)</t>
  </si>
  <si>
    <t xml:space="preserve">50*30(-3,300)</t>
  </si>
  <si>
    <t xml:space="preserve">35*20(-820)</t>
  </si>
  <si>
    <t xml:space="preserve">80*60(-550)</t>
  </si>
  <si>
    <t xml:space="preserve">100*70(+3,060)</t>
  </si>
  <si>
    <t xml:space="preserve">100*100(-3,060)</t>
  </si>
  <si>
    <t xml:space="preserve">100*60(-3,610)</t>
  </si>
  <si>
    <t xml:space="preserve">35*20(-3,880)</t>
  </si>
  <si>
    <t xml:space="preserve">80*60(-3,610)</t>
  </si>
  <si>
    <t xml:space="preserve">50*50(-3,850)</t>
  </si>
  <si>
    <t xml:space="preserve">50*50(-1,080)</t>
  </si>
  <si>
    <t xml:space="preserve">50*50(-3,300)</t>
  </si>
  <si>
    <t xml:space="preserve">50*50(-550)</t>
  </si>
  <si>
    <t xml:space="preserve">50*50(-3,030)</t>
  </si>
  <si>
    <t xml:space="preserve">50*50(+1,100)</t>
  </si>
  <si>
    <t xml:space="preserve">유포지 전체현황 </t>
  </si>
  <si>
    <t xml:space="preserve">판매(출고)수량</t>
  </si>
  <si>
    <r>
      <rPr>
        <sz val="10"/>
        <rFont val="Malgun Gothic"/>
        <family val="3"/>
        <charset val="129"/>
      </rPr>
      <t xml:space="preserve">4</t>
    </r>
    <r>
      <rPr>
        <sz val="10"/>
        <rFont val="WenQuanYi Zen Hei"/>
        <family val="2"/>
      </rPr>
      <t xml:space="preserve">건</t>
    </r>
    <r>
      <rPr>
        <sz val="10"/>
        <rFont val="Malgun Gothic"/>
        <family val="3"/>
        <charset val="129"/>
      </rPr>
      <t xml:space="preserve">(10</t>
    </r>
    <r>
      <rPr>
        <sz val="10"/>
        <rFont val="WenQuanYi Zen Hei"/>
        <family val="2"/>
      </rPr>
      <t xml:space="preserve">롤</t>
    </r>
    <r>
      <rPr>
        <sz val="10"/>
        <rFont val="Malgun Gothic"/>
        <family val="3"/>
        <charset val="129"/>
      </rPr>
      <t xml:space="preserve">)</t>
    </r>
  </si>
  <si>
    <t xml:space="preserve">가격?</t>
  </si>
  <si>
    <r>
      <rPr>
        <sz val="10"/>
        <rFont val="Malgun Gothic"/>
        <family val="3"/>
        <charset val="129"/>
      </rPr>
      <t xml:space="preserve">1</t>
    </r>
    <r>
      <rPr>
        <sz val="10"/>
        <rFont val="WenQuanYi Zen Hei"/>
        <family val="2"/>
      </rPr>
      <t xml:space="preserve">건</t>
    </r>
    <r>
      <rPr>
        <sz val="10"/>
        <rFont val="Malgun Gothic"/>
        <family val="3"/>
        <charset val="129"/>
      </rPr>
      <t xml:space="preserve">(5</t>
    </r>
    <r>
      <rPr>
        <sz val="10"/>
        <rFont val="WenQuanYi Zen Hei"/>
        <family val="2"/>
      </rPr>
      <t xml:space="preserve">롤</t>
    </r>
    <r>
      <rPr>
        <sz val="10"/>
        <rFont val="Malgun Gothic"/>
        <family val="3"/>
        <charset val="129"/>
      </rPr>
      <t xml:space="preserve">)</t>
    </r>
  </si>
  <si>
    <r>
      <rPr>
        <sz val="10"/>
        <rFont val="Malgun Gothic"/>
        <family val="3"/>
        <charset val="129"/>
      </rPr>
      <t xml:space="preserve">4</t>
    </r>
    <r>
      <rPr>
        <sz val="10"/>
        <rFont val="WenQuanYi Zen Hei"/>
        <family val="2"/>
      </rPr>
      <t xml:space="preserve">건</t>
    </r>
    <r>
      <rPr>
        <sz val="10"/>
        <rFont val="Malgun Gothic"/>
        <family val="3"/>
        <charset val="129"/>
      </rPr>
      <t xml:space="preserve">(7</t>
    </r>
    <r>
      <rPr>
        <sz val="10"/>
        <rFont val="WenQuanYi Zen Hei"/>
        <family val="2"/>
      </rPr>
      <t xml:space="preserve">롤</t>
    </r>
    <r>
      <rPr>
        <sz val="10"/>
        <rFont val="Malgun Gothic"/>
        <family val="3"/>
        <charset val="129"/>
      </rPr>
      <t xml:space="preserve">)</t>
    </r>
  </si>
  <si>
    <r>
      <rPr>
        <sz val="10"/>
        <rFont val="Malgun Gothic"/>
        <family val="3"/>
        <charset val="129"/>
      </rPr>
      <t xml:space="preserve">1</t>
    </r>
    <r>
      <rPr>
        <sz val="10"/>
        <rFont val="WenQuanYi Zen Hei"/>
        <family val="2"/>
      </rPr>
      <t xml:space="preserve">건</t>
    </r>
    <r>
      <rPr>
        <sz val="10"/>
        <rFont val="Malgun Gothic"/>
        <family val="3"/>
        <charset val="129"/>
      </rPr>
      <t xml:space="preserve">(50</t>
    </r>
    <r>
      <rPr>
        <sz val="10"/>
        <rFont val="WenQuanYi Zen Hei"/>
        <family val="2"/>
      </rPr>
      <t xml:space="preserve">롤</t>
    </r>
    <r>
      <rPr>
        <sz val="10"/>
        <rFont val="Malgun Gothic"/>
        <family val="3"/>
        <charset val="129"/>
      </rPr>
      <t xml:space="preserve">)</t>
    </r>
  </si>
  <si>
    <r>
      <rPr>
        <sz val="10"/>
        <rFont val="Malgun Gothic"/>
        <family val="3"/>
        <charset val="129"/>
      </rPr>
      <t xml:space="preserve">5</t>
    </r>
    <r>
      <rPr>
        <sz val="10"/>
        <rFont val="WenQuanYi Zen Hei"/>
        <family val="2"/>
      </rPr>
      <t xml:space="preserve">건</t>
    </r>
    <r>
      <rPr>
        <sz val="10"/>
        <rFont val="Malgun Gothic"/>
        <family val="3"/>
        <charset val="129"/>
      </rPr>
      <t xml:space="preserve">(14</t>
    </r>
    <r>
      <rPr>
        <sz val="10"/>
        <rFont val="WenQuanYi Zen Hei"/>
        <family val="2"/>
      </rPr>
      <t xml:space="preserve">롤</t>
    </r>
    <r>
      <rPr>
        <sz val="10"/>
        <rFont val="Malgun Gothic"/>
        <family val="3"/>
        <charset val="129"/>
      </rPr>
      <t xml:space="preserve">)</t>
    </r>
  </si>
  <si>
    <r>
      <rPr>
        <sz val="10"/>
        <rFont val="Malgun Gothic"/>
        <family val="3"/>
        <charset val="129"/>
      </rPr>
      <t xml:space="preserve">1</t>
    </r>
    <r>
      <rPr>
        <sz val="10"/>
        <rFont val="WenQuanYi Zen Hei"/>
        <family val="2"/>
      </rPr>
      <t xml:space="preserve">건</t>
    </r>
    <r>
      <rPr>
        <sz val="10"/>
        <rFont val="Malgun Gothic"/>
        <family val="3"/>
        <charset val="129"/>
      </rPr>
      <t xml:space="preserve">(19</t>
    </r>
    <r>
      <rPr>
        <sz val="10"/>
        <rFont val="WenQuanYi Zen Hei"/>
        <family val="2"/>
      </rPr>
      <t xml:space="preserve">롤</t>
    </r>
    <r>
      <rPr>
        <sz val="10"/>
        <rFont val="Malgun Gothic"/>
        <family val="3"/>
        <charset val="129"/>
      </rPr>
      <t xml:space="preserve">)</t>
    </r>
  </si>
  <si>
    <r>
      <rPr>
        <sz val="10"/>
        <rFont val="Malgun Gothic"/>
        <family val="3"/>
        <charset val="129"/>
      </rPr>
      <t xml:space="preserve">2</t>
    </r>
    <r>
      <rPr>
        <sz val="10"/>
        <rFont val="WenQuanYi Zen Hei"/>
        <family val="2"/>
      </rPr>
      <t xml:space="preserve">건</t>
    </r>
    <r>
      <rPr>
        <sz val="10"/>
        <rFont val="Malgun Gothic"/>
        <family val="3"/>
        <charset val="129"/>
      </rPr>
      <t xml:space="preserve">(3</t>
    </r>
    <r>
      <rPr>
        <sz val="10"/>
        <rFont val="WenQuanYi Zen Hei"/>
        <family val="2"/>
      </rPr>
      <t xml:space="preserve">롤</t>
    </r>
    <r>
      <rPr>
        <sz val="10"/>
        <rFont val="Malgun Gothic"/>
        <family val="3"/>
        <charset val="129"/>
      </rPr>
      <t xml:space="preserve">)</t>
    </r>
  </si>
  <si>
    <r>
      <rPr>
        <b val="true"/>
        <sz val="10"/>
        <rFont val="Malgun Gothic"/>
        <family val="3"/>
        <charset val="129"/>
      </rPr>
      <t xml:space="preserve">22</t>
    </r>
    <r>
      <rPr>
        <b val="true"/>
        <sz val="10"/>
        <rFont val="WenQuanYi Zen Hei"/>
        <family val="2"/>
      </rPr>
      <t xml:space="preserve">건</t>
    </r>
  </si>
  <si>
    <r>
      <rPr>
        <sz val="11"/>
        <color theme="1"/>
        <rFont val="맑은 고딕"/>
        <family val="3"/>
        <charset val="129"/>
      </rPr>
      <t xml:space="preserve">100*100/</t>
    </r>
    <r>
      <rPr>
        <sz val="11"/>
        <color theme="1"/>
        <rFont val="WenQuanYi Zen Hei"/>
        <family val="2"/>
      </rPr>
      <t xml:space="preserve">품절</t>
    </r>
  </si>
  <si>
    <r>
      <rPr>
        <sz val="11"/>
        <color theme="1"/>
        <rFont val="맑은 고딕"/>
        <family val="3"/>
        <charset val="129"/>
      </rPr>
      <t xml:space="preserve">100*70/</t>
    </r>
    <r>
      <rPr>
        <sz val="11"/>
        <color theme="1"/>
        <rFont val="WenQuanYi Zen Hei"/>
        <family val="2"/>
      </rPr>
      <t xml:space="preserve">품절</t>
    </r>
  </si>
  <si>
    <r>
      <rPr>
        <sz val="11"/>
        <color theme="1"/>
        <rFont val="맑은 고딕"/>
        <family val="3"/>
        <charset val="129"/>
      </rPr>
      <t xml:space="preserve">50*30/</t>
    </r>
    <r>
      <rPr>
        <sz val="11"/>
        <color theme="1"/>
        <rFont val="WenQuanYi Zen Hei"/>
        <family val="2"/>
      </rPr>
      <t xml:space="preserve">품절</t>
    </r>
  </si>
  <si>
    <t xml:space="preserve">최대옵션가</t>
  </si>
  <si>
    <t xml:space="preserve">대표가
(등록가, 부가세 포함)</t>
  </si>
  <si>
    <t xml:space="preserve">중국라벨 오픈마켓 판매현황</t>
  </si>
  <si>
    <t xml:space="preserve">입고일자</t>
  </si>
  <si>
    <t xml:space="preserve">판매일자</t>
  </si>
  <si>
    <t xml:space="preserve">규격
(가로×세로)</t>
  </si>
  <si>
    <t xml:space="preserve">판매가격(원)</t>
  </si>
  <si>
    <t xml:space="preserve">판매처
(쿠팡/지마켓/
전문몰/11번가)</t>
  </si>
  <si>
    <t xml:space="preserve">판매수량(롤)</t>
  </si>
  <si>
    <t xml:space="preserve">지마켓 총 63롤</t>
  </si>
  <si>
    <t xml:space="preserve">오픈몰x재고 없어서/퀵</t>
  </si>
  <si>
    <t xml:space="preserve">쿠팡 총 14롤</t>
  </si>
  <si>
    <t xml:space="preserve">전문몰 총 99롤</t>
  </si>
  <si>
    <t xml:space="preserve">레진과 함께 출고</t>
  </si>
  <si>
    <t xml:space="preserve">왁스레진 함께 출고</t>
  </si>
  <si>
    <t xml:space="preserve">품절/광고안함</t>
  </si>
  <si>
    <t xml:space="preserve">품절/재고없음</t>
  </si>
  <si>
    <t xml:space="preserve">80*40</t>
  </si>
  <si>
    <t xml:space="preserve">코스모스몰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</si>
</sst>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(* #,##0_);_(* \(#,##0\);_(* \-_);_(@_)"/>
    <numFmt numFmtId="166" formatCode="0.0%"/>
    <numFmt numFmtId="167" formatCode="#,##0"/>
    <numFmt numFmtId="168" formatCode="General"/>
    <numFmt numFmtId="169" formatCode="0"/>
    <numFmt numFmtId="170" formatCode="0.0"/>
    <numFmt numFmtId="171" formatCode="0%"/>
    <numFmt numFmtId="172" formatCode="_-* #,##0_-;\-* #,##0_-;_-* \-_-;_-@_-"/>
    <numFmt numFmtId="173" formatCode="0_);[RED]\(0\)"/>
    <numFmt numFmtId="174" formatCode="yyyy\-mm\-dd"/>
  </numFmts>
  <fonts count="5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맑은 고딕"/>
      <family val="3"/>
      <charset val="129"/>
    </font>
    <font>
      <b val="true"/>
      <sz val="14"/>
      <name val="WenQuanYi Zen Hei"/>
      <family val="2"/>
      <charset val="1"/>
    </font>
    <font>
      <b val="true"/>
      <sz val="12"/>
      <name val="WenQuanYi Zen Hei"/>
      <family val="2"/>
      <charset val="1"/>
    </font>
    <font>
      <sz val="12"/>
      <color rgb="FF0000FF"/>
      <name val="맑은 고딕"/>
      <family val="3"/>
      <charset val="129"/>
    </font>
    <font>
      <i val="true"/>
      <sz val="12"/>
      <color rgb="FF595959"/>
      <name val="맑은 고딕"/>
      <family val="3"/>
      <charset val="129"/>
    </font>
    <font>
      <b val="true"/>
      <sz val="12"/>
      <color rgb="FFFFFFFF"/>
      <name val="맑은 고딕"/>
      <family val="3"/>
      <charset val="129"/>
    </font>
    <font>
      <b val="true"/>
      <sz val="12"/>
      <color rgb="FFFFFFFF"/>
      <name val="WenQuanYi Zen Hei"/>
      <family val="2"/>
      <charset val="1"/>
    </font>
    <font>
      <b val="true"/>
      <sz val="12"/>
      <color theme="0"/>
      <name val="WenQuanYi Zen Hei"/>
      <family val="2"/>
      <charset val="1"/>
    </font>
    <font>
      <b val="true"/>
      <sz val="12"/>
      <color rgb="FFFFFFFF"/>
      <name val="WenQuanYi Zen Hei"/>
      <family val="2"/>
    </font>
    <font>
      <sz val="12"/>
      <name val="맑은 고딕"/>
      <family val="3"/>
      <charset val="129"/>
    </font>
    <font>
      <sz val="12"/>
      <color rgb="FF0000FF"/>
      <name val="WenQuanYi Zen Hei"/>
      <family val="2"/>
      <charset val="1"/>
    </font>
    <font>
      <b val="true"/>
      <sz val="12"/>
      <name val="맑은 고딕"/>
      <family val="3"/>
      <charset val="129"/>
    </font>
    <font>
      <sz val="10"/>
      <color rgb="FF595959"/>
      <name val="WenQuanYi Zen Hei"/>
      <family val="2"/>
      <charset val="1"/>
    </font>
    <font>
      <b val="true"/>
      <sz val="12"/>
      <color rgb="FF1F3864"/>
      <name val="WenQuanYi Zen Hei"/>
      <family val="2"/>
      <charset val="1"/>
    </font>
    <font>
      <sz val="10"/>
      <name val="Arial"/>
      <family val="2"/>
    </font>
    <font>
      <sz val="10"/>
      <name val="WenQuanYi Zen Hei"/>
      <family val="2"/>
    </font>
    <font>
      <sz val="11"/>
      <color theme="1"/>
      <name val="맑은 고딕"/>
      <family val="3"/>
      <charset val="129"/>
    </font>
    <font>
      <b val="true"/>
      <sz val="11"/>
      <color rgb="FFFFFFFF"/>
      <name val="WenQuanYi Zen Hei"/>
      <family val="2"/>
      <charset val="1"/>
    </font>
    <font>
      <sz val="11"/>
      <color rgb="FF008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0"/>
      <name val="Malgun Gothic"/>
      <family val="3"/>
      <charset val="129"/>
    </font>
    <font>
      <i val="true"/>
      <sz val="11"/>
      <color rgb="FFC00000"/>
      <name val="맑은 고딕"/>
      <family val="3"/>
      <charset val="129"/>
    </font>
    <font>
      <b val="true"/>
      <sz val="11"/>
      <name val="WenQuanYi Zen Hei"/>
      <family val="2"/>
      <charset val="1"/>
    </font>
    <font>
      <b val="true"/>
      <sz val="11"/>
      <name val="맑은 고딕"/>
      <family val="3"/>
      <charset val="129"/>
    </font>
    <font>
      <b val="true"/>
      <sz val="10"/>
      <name val="Malgun Gothic"/>
      <family val="3"/>
      <charset val="129"/>
    </font>
    <font>
      <b val="true"/>
      <sz val="10"/>
      <name val="WenQuanYi Zen Hei"/>
      <family val="2"/>
    </font>
    <font>
      <sz val="11"/>
      <name val="WenQuanYi Zen Hei"/>
      <family val="2"/>
      <charset val="1"/>
    </font>
    <font>
      <sz val="11"/>
      <color rgb="FF0000FF"/>
      <name val="맑은 고딕"/>
      <family val="3"/>
      <charset val="129"/>
    </font>
    <font>
      <b val="true"/>
      <sz val="11"/>
      <color rgb="FFFFFFFF"/>
      <name val="맑은 고딕"/>
      <family val="3"/>
      <charset val="129"/>
    </font>
    <font>
      <sz val="11"/>
      <name val="맑은 고딕"/>
      <family val="3"/>
      <charset val="129"/>
    </font>
    <font>
      <sz val="11"/>
      <name val="Noto Sans CJK SC"/>
      <family val="2"/>
      <charset val="1"/>
    </font>
    <font>
      <sz val="11"/>
      <color theme="1"/>
      <name val="WenQuanYi Zen Hei"/>
      <family val="2"/>
      <charset val="1"/>
    </font>
    <font>
      <sz val="12"/>
      <color rgb="FF008000"/>
      <name val="맑은 고딕"/>
      <family val="3"/>
      <charset val="129"/>
    </font>
    <font>
      <sz val="12"/>
      <color rgb="FFFF0000"/>
      <name val="맑은 고딕"/>
      <family val="3"/>
      <charset val="129"/>
    </font>
    <font>
      <sz val="12"/>
      <color theme="1"/>
      <name val="WenQuanYi Zen Hei"/>
      <family val="2"/>
      <charset val="1"/>
    </font>
    <font>
      <sz val="12"/>
      <color rgb="FF008000"/>
      <name val="WenQuanYi Zen Hei"/>
      <family val="2"/>
      <charset val="1"/>
    </font>
    <font>
      <i val="true"/>
      <sz val="12"/>
      <color rgb="FFC00000"/>
      <name val="맑은 고딕"/>
      <family val="3"/>
      <charset val="129"/>
    </font>
    <font>
      <sz val="12"/>
      <name val="WenQuanYi Zen Hei"/>
      <family val="2"/>
      <charset val="1"/>
    </font>
    <font>
      <sz val="12"/>
      <name val="Noto Sans CJK SC"/>
      <family val="2"/>
      <charset val="1"/>
    </font>
    <font>
      <sz val="11"/>
      <color rgb="FF9C5700"/>
      <name val="맑은 고딕"/>
      <family val="2"/>
      <charset val="129"/>
    </font>
    <font>
      <sz val="11"/>
      <color theme="1"/>
      <name val="WenQuanYi Zen Hei"/>
      <family val="2"/>
    </font>
    <font>
      <sz val="11"/>
      <color rgb="FF7030A0"/>
      <name val="맑은 고딕"/>
      <family val="3"/>
      <charset val="129"/>
    </font>
    <font>
      <b val="true"/>
      <sz val="13"/>
      <color rgb="FFFFFFFF"/>
      <name val="Noto Sans CJK SC"/>
      <family val="2"/>
      <charset val="1"/>
    </font>
    <font>
      <b val="true"/>
      <sz val="13"/>
      <color rgb="FFFFFFFF"/>
      <name val="WenQuanYi Zen Hei"/>
      <family val="2"/>
      <charset val="1"/>
    </font>
    <font>
      <b val="true"/>
      <sz val="9"/>
      <color rgb="FFFFFFFF"/>
      <name val="WenQuanYi Zen Hei"/>
      <family val="2"/>
      <charset val="1"/>
    </font>
    <font>
      <sz val="9"/>
      <color rgb="FF000000"/>
      <name val="Arial"/>
      <family val="2"/>
      <charset val="1"/>
    </font>
    <font>
      <sz val="9"/>
      <color rgb="FF000000"/>
      <name val="WenQuanYi Zen Hei"/>
      <family val="2"/>
      <charset val="1"/>
    </font>
    <font>
      <sz val="11"/>
      <color rgb="FF006100"/>
      <name val="맑은 고딕"/>
      <family val="2"/>
      <charset val="129"/>
    </font>
    <font>
      <b val="true"/>
      <sz val="9"/>
      <color rgb="FF000000"/>
      <name val="WenQuanYi Zen Hei"/>
      <family val="2"/>
      <charset val="1"/>
    </font>
    <font>
      <sz val="9"/>
      <color rgb="FF000000"/>
      <name val="Noto Sans CJK SC"/>
      <family val="2"/>
      <charset val="1"/>
    </font>
    <font>
      <b val="true"/>
      <sz val="9"/>
      <color rgb="FF274E13"/>
      <name val="WenQuanYi Zen Hei"/>
      <family val="2"/>
      <charset val="1"/>
    </font>
    <font>
      <sz val="11"/>
      <color rgb="FF9C0006"/>
      <name val="맑은 고딕"/>
      <family val="2"/>
      <charset val="129"/>
    </font>
    <font>
      <sz val="9"/>
      <color rgb="FF000000"/>
      <name val="Noto Sans CJK SC"/>
      <family val="3"/>
      <charset val="129"/>
    </font>
    <font>
      <sz val="11"/>
      <color theme="1"/>
      <name val="돋움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FFFF00"/>
        <bgColor rgb="FFFFEB9C"/>
      </patternFill>
    </fill>
    <fill>
      <patternFill patternType="solid">
        <fgColor theme="3" tint="-0.25"/>
        <bgColor rgb="FF1F3864"/>
      </patternFill>
    </fill>
    <fill>
      <patternFill patternType="solid">
        <fgColor rgb="FFFF0000"/>
        <bgColor rgb="FFC00000"/>
      </patternFill>
    </fill>
    <fill>
      <patternFill patternType="solid">
        <fgColor theme="3" tint="0.5998"/>
        <bgColor rgb="FFB0B0B0"/>
      </patternFill>
    </fill>
    <fill>
      <patternFill patternType="solid">
        <fgColor theme="3" tint="0.3998"/>
        <bgColor rgb="FF2E75B6"/>
      </patternFill>
    </fill>
    <fill>
      <patternFill patternType="solid">
        <fgColor rgb="FF1F3864"/>
        <bgColor rgb="FF17375E"/>
      </patternFill>
    </fill>
    <fill>
      <patternFill patternType="solid">
        <fgColor rgb="FFD9E1F2"/>
        <bgColor rgb="FFDCE6F1"/>
      </patternFill>
    </fill>
    <fill>
      <patternFill patternType="solid">
        <fgColor rgb="FF002060"/>
        <bgColor rgb="FF17375E"/>
      </patternFill>
    </fill>
    <fill>
      <patternFill patternType="solid">
        <fgColor theme="0"/>
        <bgColor rgb="FFF2F2F2"/>
      </patternFill>
    </fill>
    <fill>
      <patternFill patternType="solid">
        <fgColor theme="0" tint="-0.5"/>
        <bgColor rgb="FFA6A6A6"/>
      </patternFill>
    </fill>
    <fill>
      <patternFill patternType="solid">
        <fgColor rgb="FFDCE6F1"/>
        <bgColor rgb="FFD9E1F2"/>
      </patternFill>
    </fill>
    <fill>
      <patternFill patternType="solid">
        <fgColor rgb="FFFFEB9C"/>
        <bgColor rgb="FFFFF2CC"/>
      </patternFill>
    </fill>
    <fill>
      <patternFill patternType="solid">
        <fgColor rgb="FF2E75B6"/>
        <bgColor rgb="FF376092"/>
      </patternFill>
    </fill>
    <fill>
      <patternFill patternType="solid">
        <fgColor rgb="FFF2F2F2"/>
        <bgColor rgb="FFFBE4E4"/>
      </patternFill>
    </fill>
    <fill>
      <patternFill patternType="solid">
        <fgColor rgb="FFFFF2CC"/>
        <bgColor rgb="FFFBE4E4"/>
      </patternFill>
    </fill>
    <fill>
      <patternFill patternType="solid">
        <fgColor rgb="FFC6EFCE"/>
        <bgColor rgb="FFD9EAD3"/>
      </patternFill>
    </fill>
    <fill>
      <patternFill patternType="solid">
        <fgColor theme="3" tint="0.7998"/>
        <bgColor rgb="FFD9E1F2"/>
      </patternFill>
    </fill>
    <fill>
      <patternFill patternType="solid">
        <fgColor theme="4" tint="-0.25"/>
        <bgColor rgb="FF2E75B6"/>
      </patternFill>
    </fill>
    <fill>
      <patternFill patternType="solid">
        <fgColor rgb="FFD9EAD3"/>
        <bgColor rgb="FFDCE6F1"/>
      </patternFill>
    </fill>
    <fill>
      <patternFill patternType="solid">
        <fgColor theme="0" tint="-0.35"/>
        <bgColor rgb="FFB0B0B0"/>
      </patternFill>
    </fill>
    <fill>
      <patternFill patternType="solid">
        <fgColor rgb="FFFFC7CE"/>
        <bgColor rgb="FFF8CBAD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3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3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46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4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1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49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9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9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5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쉼표 [0] 2" xfId="20"/>
  </cellStyles>
  <dxfs count="18">
    <dxf>
      <fill>
        <patternFill>
          <bgColor rgb="FFF8CBAD"/>
        </patternFill>
      </fill>
    </dxf>
    <dxf>
      <font>
        <b val="1"/>
        <color rgb="FFC00000"/>
      </font>
      <fill>
        <patternFill>
          <bgColor rgb="FFFBE4E4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274E13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376092"/>
          <bgColor rgb="FF000000"/>
        </patternFill>
      </fill>
    </dxf>
    <dxf>
      <fill>
        <patternFill patternType="solid">
          <fgColor rgb="FF8DB4E3"/>
          <bgColor rgb="FF000000"/>
        </patternFill>
      </fill>
    </dxf>
    <dxf>
      <fill>
        <patternFill patternType="solid">
          <fgColor rgb="FFC6D9F1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2060"/>
      <rgbColor rgb="FF808000"/>
      <rgbColor rgb="FF800080"/>
      <rgbColor rgb="FF008080"/>
      <rgbColor rgb="FFBFBFBF"/>
      <rgbColor rgb="FF808080"/>
      <rgbColor rgb="FFB0B0B0"/>
      <rgbColor rgb="FF7030A0"/>
      <rgbColor rgb="FFFFF2CC"/>
      <rgbColor rgb="FFDCE6F1"/>
      <rgbColor rgb="FF660066"/>
      <rgbColor rgb="FFD9E1F2"/>
      <rgbColor rgb="FF0066CC"/>
      <rgbColor rgb="FFC6D9F1"/>
      <rgbColor rgb="FF000080"/>
      <rgbColor rgb="FFFF00FF"/>
      <rgbColor rgb="FFF2F2F2"/>
      <rgbColor rgb="FF00FFFF"/>
      <rgbColor rgb="FF800080"/>
      <rgbColor rgb="FFC00000"/>
      <rgbColor rgb="FF008080"/>
      <rgbColor rgb="FF0000FF"/>
      <rgbColor rgb="FF00CCFF"/>
      <rgbColor rgb="FFD9EAD3"/>
      <rgbColor rgb="FFC6EFCE"/>
      <rgbColor rgb="FFFFEB9C"/>
      <rgbColor rgb="FF8DB4E3"/>
      <rgbColor rgb="FFFFC7CE"/>
      <rgbColor rgb="FFD9D9D9"/>
      <rgbColor rgb="FFF8CBAD"/>
      <rgbColor rgb="FF2E75B6"/>
      <rgbColor rgb="FF33CCCC"/>
      <rgbColor rgb="FF99CC00"/>
      <rgbColor rgb="FFFBE4E4"/>
      <rgbColor rgb="FFFF9900"/>
      <rgbColor rgb="FFFF6600"/>
      <rgbColor rgb="FF595959"/>
      <rgbColor rgb="FFA6A6A6"/>
      <rgbColor rgb="FF17375E"/>
      <rgbColor rgb="FF558ED5"/>
      <rgbColor rgb="FF006100"/>
      <rgbColor rgb="FF274E13"/>
      <rgbColor rgb="FF9C5700"/>
      <rgbColor rgb="FF993366"/>
      <rgbColor rgb="FF376092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N12" activeCellId="0" sqref="N12"/>
    </sheetView>
  </sheetViews>
  <sheetFormatPr defaultColWidth="16.00390625" defaultRowHeight="17.25" zeroHeight="false" outlineLevelRow="0" outlineLevelCol="0"/>
  <cols>
    <col collapsed="false" customWidth="true" hidden="false" outlineLevel="0" max="1" min="1" style="1" width="10.42"/>
    <col collapsed="false" customWidth="true" hidden="false" outlineLevel="0" max="2" min="2" style="1" width="16.29"/>
    <col collapsed="false" customWidth="true" hidden="false" outlineLevel="0" max="3" min="3" style="1" width="10"/>
    <col collapsed="false" customWidth="true" hidden="false" outlineLevel="0" max="4" min="4" style="1" width="13.71"/>
    <col collapsed="false" customWidth="true" hidden="false" outlineLevel="0" max="5" min="5" style="1" width="15"/>
    <col collapsed="false" customWidth="true" hidden="false" outlineLevel="0" max="6" min="6" style="1" width="15.42"/>
    <col collapsed="false" customWidth="true" hidden="false" outlineLevel="0" max="7" min="7" style="1" width="14.29"/>
    <col collapsed="false" customWidth="true" hidden="false" outlineLevel="0" max="8" min="8" style="1" width="13.42"/>
    <col collapsed="false" customWidth="true" hidden="true" outlineLevel="0" max="9" min="9" style="1" width="12"/>
    <col collapsed="false" customWidth="true" hidden="true" outlineLevel="0" max="10" min="10" style="1" width="10.71"/>
    <col collapsed="false" customWidth="true" hidden="true" outlineLevel="0" max="11" min="11" style="1" width="16.43"/>
    <col collapsed="false" customWidth="true" hidden="false" outlineLevel="0" max="12" min="12" style="1" width="11.14"/>
    <col collapsed="false" customWidth="true" hidden="false" outlineLevel="0" max="13" min="13" style="1" width="10.14"/>
    <col collapsed="false" customWidth="true" hidden="false" outlineLevel="0" max="14" min="14" style="1" width="9.71"/>
    <col collapsed="false" customWidth="true" hidden="false" outlineLevel="0" max="15" min="15" style="1" width="13.42"/>
    <col collapsed="false" customWidth="true" hidden="false" outlineLevel="0" max="16" min="16" style="1" width="18.14"/>
    <col collapsed="false" customWidth="true" hidden="false" outlineLevel="0" max="17" min="17" style="1" width="15"/>
    <col collapsed="false" customWidth="true" hidden="false" outlineLevel="0" max="18" min="18" style="1" width="16.43"/>
    <col collapsed="false" customWidth="true" hidden="false" outlineLevel="0" max="19" min="19" style="1" width="9.29"/>
    <col collapsed="false" customWidth="true" hidden="false" outlineLevel="0" max="20" min="20" style="1" width="9"/>
    <col collapsed="false" customWidth="true" hidden="false" outlineLevel="0" max="21" min="21" style="1" width="9.42"/>
    <col collapsed="false" customWidth="true" hidden="false" outlineLevel="0" max="23" min="22" style="1" width="8.86"/>
    <col collapsed="false" customWidth="true" hidden="true" outlineLevel="0" max="24" min="24" style="1" width="13"/>
    <col collapsed="false" customWidth="true" hidden="false" outlineLevel="0" max="25" min="25" style="1" width="16.29"/>
    <col collapsed="false" customWidth="true" hidden="false" outlineLevel="0" max="26" min="26" style="1" width="10"/>
    <col collapsed="false" customWidth="false" hidden="false" outlineLevel="0" max="16384" min="27" style="1" width="16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C2" s="4" t="n">
        <v>0.054</v>
      </c>
      <c r="E2" s="5"/>
    </row>
    <row r="3" customFormat="false" ht="15" hidden="false" customHeight="true" outlineLevel="0" collapsed="false">
      <c r="A3" s="3" t="s">
        <v>2</v>
      </c>
      <c r="C3" s="4" t="n">
        <v>0.1</v>
      </c>
      <c r="E3" s="5"/>
    </row>
    <row r="4" customFormat="false" ht="63.75" hidden="false" customHeight="true" outlineLevel="0" collapsed="false">
      <c r="A4" s="6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8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  <c r="N4" s="7" t="s">
        <v>16</v>
      </c>
      <c r="O4" s="7" t="s">
        <v>17</v>
      </c>
      <c r="P4" s="7" t="s">
        <v>18</v>
      </c>
      <c r="Q4" s="7" t="s">
        <v>19</v>
      </c>
      <c r="R4" s="7" t="s">
        <v>20</v>
      </c>
      <c r="S4" s="7" t="s">
        <v>21</v>
      </c>
      <c r="T4" s="7" t="s">
        <v>22</v>
      </c>
      <c r="U4" s="7" t="s">
        <v>23</v>
      </c>
      <c r="V4" s="6" t="s">
        <v>24</v>
      </c>
      <c r="W4" s="7" t="s">
        <v>25</v>
      </c>
      <c r="X4" s="7" t="s">
        <v>26</v>
      </c>
      <c r="Y4" s="7" t="s">
        <v>27</v>
      </c>
      <c r="Z4" s="7" t="s">
        <v>28</v>
      </c>
      <c r="AA4" s="7" t="s">
        <v>29</v>
      </c>
    </row>
    <row r="5" customFormat="false" ht="15" hidden="false" customHeight="true" outlineLevel="0" collapsed="false">
      <c r="A5" s="9" t="n">
        <v>1</v>
      </c>
      <c r="B5" s="10" t="s">
        <v>30</v>
      </c>
      <c r="C5" s="11" t="s">
        <v>31</v>
      </c>
      <c r="D5" s="12" t="n">
        <v>120</v>
      </c>
      <c r="E5" s="13" t="n">
        <f aca="false">D5-G5</f>
        <v>16</v>
      </c>
      <c r="F5" s="13" t="n">
        <f aca="false">S5+T5+U5+V5+Z5</f>
        <v>0</v>
      </c>
      <c r="G5" s="12" t="n">
        <v>104</v>
      </c>
      <c r="H5" s="14" t="n">
        <f aca="false">COUNTIFS(판매현황!$C$3:$C$1000,LEFT($B5,3),판매현황!$D$3:$D$1000,$C5,판매현황!$G$3:$G$1000,"&gt;0")</f>
        <v>0</v>
      </c>
      <c r="I5" s="15" t="n">
        <f aca="false">IF(E5=0,"",F5/E5)</f>
        <v>0</v>
      </c>
      <c r="J5" s="16" t="n">
        <f aca="false">COUNTIFS($A$5:$A$30,"&gt;0",$G$5:$G$30,"&gt;"&amp;G5)+1</f>
        <v>2</v>
      </c>
      <c r="K5" s="16" t="n">
        <f aca="false">COUNTIFS($A$5:$A$30,"&gt;0",$E$5:$E$30,"&gt;"&amp;E5)+1</f>
        <v>18</v>
      </c>
      <c r="L5" s="17" t="n">
        <v>2500</v>
      </c>
      <c r="M5" s="18" t="n">
        <v>0.6</v>
      </c>
      <c r="N5" s="12" t="n">
        <f aca="false">L5*M5</f>
        <v>1500</v>
      </c>
      <c r="O5" s="19" t="n">
        <v>2500</v>
      </c>
      <c r="P5" s="20" t="n">
        <f aca="false">IF(O5="","",ROUNDDOWN(O5*(1+$C$3),-1))</f>
        <v>2750</v>
      </c>
      <c r="Q5" s="20" t="n">
        <f aca="false">IF(O5="","",O5-O5*$C$2-N5)</f>
        <v>865</v>
      </c>
      <c r="R5" s="15" t="n">
        <f aca="false">IF(O5="","",Q5/O5)</f>
        <v>0.346</v>
      </c>
      <c r="S5" s="13" t="n">
        <f aca="false">SUMIFS(판매현황!$G$3:$G$1000,판매현황!$C$3:$C$1000,LEFT($B5,3),판매현황!$D$3:$D$1000,$C5,판매현황!$F$3:$F$1000,"쿠팡")</f>
        <v>0</v>
      </c>
      <c r="T5" s="13" t="n">
        <f aca="false">SUMIFS(판매현황!$G$3:$G$1000,판매현황!$C$3:$C$1000,LEFT($B5,3),판매현황!$D$3:$D$1000,$C5,판매현황!$F$3:$F$1000,"지마켓")</f>
        <v>0</v>
      </c>
      <c r="U5" s="13" t="n">
        <f aca="false">SUMIFS(판매현황!$G$3:$G$1000,판매현황!$C$3:$C$1000,LEFT($B5,3),판매현황!$D$3:$D$1000,$C5,판매현황!$F$3:$F$1000,"전문몰")</f>
        <v>0</v>
      </c>
      <c r="V5" s="13" t="n">
        <f aca="false">SUMIFS(판매현황!$G$3:$G$1000,판매현황!$C$3:$C$1000,LEFT($B5,3),판매현황!$D$3:$D$1000,$C5,판매현황!$F$3:$F$1000,"11번가")</f>
        <v>0</v>
      </c>
      <c r="W5" s="9" t="str">
        <f aca="false">IF(G5&lt;=0,"품절",IF(E5=0,"미판매","판매중"))</f>
        <v>판매중</v>
      </c>
      <c r="X5" s="21" t="n">
        <f aca="false">아트지!G23</f>
        <v>3</v>
      </c>
      <c r="Y5" s="22" t="s">
        <v>32</v>
      </c>
      <c r="Z5" s="13" t="n">
        <f aca="false">SUMIFS(판매현황!$G$3:$G$1000,판매현황!$C$3:$C$1000,LEFT($B5,3),판매현황!$D$3:$D$1000,$C5)-S5-T5-U5-V5</f>
        <v>0</v>
      </c>
      <c r="AA5" s="13" t="n">
        <f aca="false">E5-F5</f>
        <v>16</v>
      </c>
    </row>
    <row r="6" customFormat="false" ht="15" hidden="false" customHeight="true" outlineLevel="0" collapsed="false">
      <c r="A6" s="9" t="n">
        <v>2</v>
      </c>
      <c r="B6" s="10" t="s">
        <v>30</v>
      </c>
      <c r="C6" s="11" t="s">
        <v>33</v>
      </c>
      <c r="D6" s="12" t="n">
        <v>100</v>
      </c>
      <c r="E6" s="13" t="n">
        <f aca="false">D6-G6</f>
        <v>71</v>
      </c>
      <c r="F6" s="13" t="n">
        <f aca="false">S6+T6+U6+V6+Z6</f>
        <v>14</v>
      </c>
      <c r="G6" s="12" t="n">
        <v>29</v>
      </c>
      <c r="H6" s="14" t="n">
        <f aca="false">COUNTIFS(판매현황!$C$3:$C$1000,LEFT($B6,3),판매현황!$D$3:$D$1000,$C6,판매현황!$G$3:$G$1000,"&gt;0")</f>
        <v>2</v>
      </c>
      <c r="I6" s="15" t="n">
        <f aca="false">IF(E6=0,"",F6/E6)</f>
        <v>0.197183098591549</v>
      </c>
      <c r="J6" s="16" t="n">
        <f aca="false">COUNTIFS($A$5:$A$30,"&gt;0",$G$5:$G$30,"&gt;"&amp;G6)+1</f>
        <v>11</v>
      </c>
      <c r="K6" s="16" t="n">
        <f aca="false">COUNTIFS($A$5:$A$30,"&gt;0",$E$5:$E$30,"&gt;"&amp;E6)+1</f>
        <v>4</v>
      </c>
      <c r="L6" s="17" t="n">
        <v>2500</v>
      </c>
      <c r="M6" s="18" t="n">
        <v>0.6</v>
      </c>
      <c r="N6" s="12" t="n">
        <f aca="false">L6*M6</f>
        <v>1500</v>
      </c>
      <c r="O6" s="12" t="n">
        <v>2500</v>
      </c>
      <c r="P6" s="20" t="n">
        <f aca="false">IF(O6="","",ROUNDDOWN(O6*(1+$C$3),-1))</f>
        <v>2750</v>
      </c>
      <c r="Q6" s="20" t="n">
        <f aca="false">IF(O6="","",O6-O6*$C$2-N6)</f>
        <v>865</v>
      </c>
      <c r="R6" s="15" t="n">
        <f aca="false">IF(O6="","",Q6/O6)</f>
        <v>0.346</v>
      </c>
      <c r="S6" s="13" t="n">
        <f aca="false">SUMIFS(판매현황!$G$3:$G$1000,판매현황!$C$3:$C$1000,LEFT($B6,3),판매현황!$D$3:$D$1000,$C6,판매현황!$F$3:$F$1000,"쿠팡")</f>
        <v>12</v>
      </c>
      <c r="T6" s="13" t="n">
        <f aca="false">SUMIFS(판매현황!$G$3:$G$1000,판매현황!$C$3:$C$1000,LEFT($B6,3),판매현황!$D$3:$D$1000,$C6,판매현황!$F$3:$F$1000,"지마켓")</f>
        <v>0</v>
      </c>
      <c r="U6" s="13" t="n">
        <f aca="false">SUMIFS(판매현황!$G$3:$G$1000,판매현황!$C$3:$C$1000,LEFT($B6,3),판매현황!$D$3:$D$1000,$C6,판매현황!$F$3:$F$1000,"전문몰")</f>
        <v>2</v>
      </c>
      <c r="V6" s="13" t="n">
        <f aca="false">SUMIFS(판매현황!$G$3:$G$1000,판매현황!$C$3:$C$1000,LEFT($B6,3),판매현황!$D$3:$D$1000,$C6,판매현황!$F$3:$F$1000,"11번가")</f>
        <v>0</v>
      </c>
      <c r="W6" s="9" t="str">
        <f aca="false">IF(G6&lt;=0,"품절",IF(E6=0,"미판매","판매중"))</f>
        <v>판매중</v>
      </c>
      <c r="X6" s="21" t="n">
        <f aca="false">아트지!G24</f>
        <v>4</v>
      </c>
      <c r="Y6" s="22" t="s">
        <v>34</v>
      </c>
      <c r="Z6" s="13" t="n">
        <f aca="false">SUMIFS(판매현황!$G$3:$G$1000,판매현황!$C$3:$C$1000,LEFT($B6,3),판매현황!$D$3:$D$1000,$C6)-S6-T6-U6-V6</f>
        <v>0</v>
      </c>
      <c r="AA6" s="13" t="n">
        <f aca="false">E6-F6</f>
        <v>57</v>
      </c>
    </row>
    <row r="7" customFormat="false" ht="15" hidden="false" customHeight="true" outlineLevel="0" collapsed="false">
      <c r="A7" s="9" t="n">
        <v>3</v>
      </c>
      <c r="B7" s="10" t="s">
        <v>30</v>
      </c>
      <c r="C7" s="11" t="s">
        <v>35</v>
      </c>
      <c r="D7" s="12" t="n">
        <v>120</v>
      </c>
      <c r="E7" s="13" t="n">
        <f aca="false">D7-G7</f>
        <v>78</v>
      </c>
      <c r="F7" s="13" t="n">
        <f aca="false">S7+T7+U7+V7+Z7</f>
        <v>0</v>
      </c>
      <c r="G7" s="12" t="n">
        <v>42</v>
      </c>
      <c r="H7" s="14" t="n">
        <f aca="false">COUNTIFS(판매현황!$C$3:$C$1000,LEFT($B7,3),판매현황!$D$3:$D$1000,$C7,판매현황!$G$3:$G$1000,"&gt;0")</f>
        <v>0</v>
      </c>
      <c r="I7" s="15" t="n">
        <f aca="false">IF(E7=0,"",F7/E7)</f>
        <v>0</v>
      </c>
      <c r="J7" s="16" t="n">
        <f aca="false">COUNTIFS($A$5:$A$30,"&gt;0",$G$5:$G$30,"&gt;"&amp;G7)+1</f>
        <v>7</v>
      </c>
      <c r="K7" s="16" t="n">
        <f aca="false">COUNTIFS($A$5:$A$30,"&gt;0",$E$5:$E$30,"&gt;"&amp;E7)+1</f>
        <v>2</v>
      </c>
      <c r="L7" s="17" t="n">
        <v>2000</v>
      </c>
      <c r="M7" s="18" t="n">
        <v>0.9</v>
      </c>
      <c r="N7" s="12" t="n">
        <f aca="false">L7*M7</f>
        <v>1800</v>
      </c>
      <c r="O7" s="12" t="n">
        <v>4000</v>
      </c>
      <c r="P7" s="20" t="n">
        <f aca="false">IF(O7="","",ROUNDDOWN(O7*(1+$C$3),-1))</f>
        <v>4400</v>
      </c>
      <c r="Q7" s="20" t="n">
        <f aca="false">IF(O7="","",O7-O7*$C$2-N7)</f>
        <v>1984</v>
      </c>
      <c r="R7" s="15" t="n">
        <f aca="false">IF(O7="","",Q7/O7)</f>
        <v>0.496</v>
      </c>
      <c r="S7" s="13" t="n">
        <f aca="false">SUMIFS(판매현황!$G$3:$G$1000,판매현황!$C$3:$C$1000,LEFT($B7,3),판매현황!$D$3:$D$1000,$C7,판매현황!$F$3:$F$1000,"쿠팡")</f>
        <v>0</v>
      </c>
      <c r="T7" s="13" t="n">
        <f aca="false">SUMIFS(판매현황!$G$3:$G$1000,판매현황!$C$3:$C$1000,LEFT($B7,3),판매현황!$D$3:$D$1000,$C7,판매현황!$F$3:$F$1000,"지마켓")</f>
        <v>0</v>
      </c>
      <c r="U7" s="13" t="n">
        <f aca="false">SUMIFS(판매현황!$G$3:$G$1000,판매현황!$C$3:$C$1000,LEFT($B7,3),판매현황!$D$3:$D$1000,$C7,판매현황!$F$3:$F$1000,"전문몰")</f>
        <v>0</v>
      </c>
      <c r="V7" s="13" t="n">
        <f aca="false">SUMIFS(판매현황!$G$3:$G$1000,판매현황!$C$3:$C$1000,LEFT($B7,3),판매현황!$D$3:$D$1000,$C7,판매현황!$F$3:$F$1000,"11번가")</f>
        <v>0</v>
      </c>
      <c r="W7" s="9" t="str">
        <f aca="false">IF(G7&lt;=0,"품절",IF(E7=0,"미판매","판매중"))</f>
        <v>판매중</v>
      </c>
      <c r="X7" s="21" t="n">
        <f aca="false">아트지!G25</f>
        <v>6</v>
      </c>
      <c r="Y7" s="22" t="s">
        <v>36</v>
      </c>
      <c r="Z7" s="13" t="n">
        <f aca="false">SUMIFS(판매현황!$G$3:$G$1000,판매현황!$C$3:$C$1000,LEFT($B7,3),판매현황!$D$3:$D$1000,$C7)-S7-T7-U7-V7</f>
        <v>0</v>
      </c>
      <c r="AA7" s="13" t="n">
        <f aca="false">E7-F7</f>
        <v>78</v>
      </c>
    </row>
    <row r="8" customFormat="false" ht="15" hidden="false" customHeight="true" outlineLevel="0" collapsed="false">
      <c r="A8" s="9" t="n">
        <v>4</v>
      </c>
      <c r="B8" s="10" t="s">
        <v>30</v>
      </c>
      <c r="C8" s="11" t="s">
        <v>37</v>
      </c>
      <c r="D8" s="12" t="n">
        <v>70</v>
      </c>
      <c r="E8" s="13" t="n">
        <f aca="false">D8-G8</f>
        <v>52</v>
      </c>
      <c r="F8" s="13" t="n">
        <f aca="false">S8+T8+U8+V8+Z8</f>
        <v>22</v>
      </c>
      <c r="G8" s="12" t="n">
        <v>18</v>
      </c>
      <c r="H8" s="14" t="n">
        <f aca="false">COUNTIFS(판매현황!$C$3:$C$1000,LEFT($B8,3),판매현황!$D$3:$D$1000,$C8,판매현황!$G$3:$G$1000,"&gt;0")</f>
        <v>3</v>
      </c>
      <c r="I8" s="15" t="n">
        <f aca="false">IF(E8=0,"",F8/E8)</f>
        <v>0.423076923076923</v>
      </c>
      <c r="J8" s="16" t="n">
        <f aca="false">COUNTIFS($A$5:$A$30,"&gt;0",$G$5:$G$30,"&gt;"&amp;G8)+1</f>
        <v>13</v>
      </c>
      <c r="K8" s="16" t="n">
        <f aca="false">COUNTIFS($A$5:$A$30,"&gt;0",$E$5:$E$30,"&gt;"&amp;E8)+1</f>
        <v>8</v>
      </c>
      <c r="L8" s="17" t="n">
        <v>1000</v>
      </c>
      <c r="M8" s="18" t="n">
        <v>1.8</v>
      </c>
      <c r="N8" s="12" t="n">
        <f aca="false">L8*M8</f>
        <v>1800</v>
      </c>
      <c r="O8" s="12" t="n">
        <v>3500</v>
      </c>
      <c r="P8" s="20" t="n">
        <f aca="false">IF(O8="","",ROUNDDOWN(O8*(1+$C$3),-1))</f>
        <v>3850</v>
      </c>
      <c r="Q8" s="20" t="n">
        <f aca="false">IF(O8="","",O8-O8*$C$2-N8)</f>
        <v>1511</v>
      </c>
      <c r="R8" s="15" t="n">
        <f aca="false">IF(O8="","",Q8/O8)</f>
        <v>0.431714285714286</v>
      </c>
      <c r="S8" s="13" t="n">
        <f aca="false">SUMIFS(판매현황!$G$3:$G$1000,판매현황!$C$3:$C$1000,LEFT($B8,3),판매현황!$D$3:$D$1000,$C8,판매현황!$F$3:$F$1000,"쿠팡")</f>
        <v>2</v>
      </c>
      <c r="T8" s="13" t="n">
        <f aca="false">SUMIFS(판매현황!$G$3:$G$1000,판매현황!$C$3:$C$1000,LEFT($B8,3),판매현황!$D$3:$D$1000,$C8,판매현황!$F$3:$F$1000,"지마켓")</f>
        <v>20</v>
      </c>
      <c r="U8" s="13" t="n">
        <f aca="false">SUMIFS(판매현황!$G$3:$G$1000,판매현황!$C$3:$C$1000,LEFT($B8,3),판매현황!$D$3:$D$1000,$C8,판매현황!$F$3:$F$1000,"전문몰")</f>
        <v>0</v>
      </c>
      <c r="V8" s="13" t="n">
        <f aca="false">SUMIFS(판매현황!$G$3:$G$1000,판매현황!$C$3:$C$1000,LEFT($B8,3),판매현황!$D$3:$D$1000,$C8,판매현황!$F$3:$F$1000,"11번가")</f>
        <v>0</v>
      </c>
      <c r="W8" s="9" t="str">
        <f aca="false">IF(G8&lt;=0,"품절",IF(E8=0,"미판매","판매중"))</f>
        <v>판매중</v>
      </c>
      <c r="X8" s="21" t="n">
        <f aca="false">아트지!G26</f>
        <v>7</v>
      </c>
      <c r="Y8" s="22" t="s">
        <v>38</v>
      </c>
      <c r="Z8" s="13" t="n">
        <f aca="false">SUMIFS(판매현황!$G$3:$G$1000,판매현황!$C$3:$C$1000,LEFT($B8,3),판매현황!$D$3:$D$1000,$C8)-S8-T8-U8-V8</f>
        <v>0</v>
      </c>
      <c r="AA8" s="13" t="n">
        <f aca="false">E8-F8</f>
        <v>30</v>
      </c>
    </row>
    <row r="9" customFormat="false" ht="15" hidden="false" customHeight="true" outlineLevel="0" collapsed="false">
      <c r="A9" s="9" t="n">
        <v>5</v>
      </c>
      <c r="B9" s="10" t="s">
        <v>30</v>
      </c>
      <c r="C9" s="23" t="s">
        <v>39</v>
      </c>
      <c r="D9" s="12" t="n">
        <v>100</v>
      </c>
      <c r="E9" s="13" t="n">
        <f aca="false">D9-G9</f>
        <v>9</v>
      </c>
      <c r="F9" s="13" t="n">
        <f aca="false">S9+T9+U9+V9+Z9</f>
        <v>9</v>
      </c>
      <c r="G9" s="12" t="n">
        <v>91</v>
      </c>
      <c r="H9" s="14" t="n">
        <f aca="false">COUNTIFS(판매현황!$C$3:$C$1000,LEFT($B9,3),판매현황!$D$3:$D$1000,$C9,판매현황!$G$3:$G$1000,"&gt;0")</f>
        <v>5</v>
      </c>
      <c r="I9" s="15" t="n">
        <f aca="false">IF(E9=0,"",F9/E9)</f>
        <v>1</v>
      </c>
      <c r="J9" s="16" t="n">
        <f aca="false">COUNTIFS($A$5:$A$30,"&gt;0",$G$5:$G$30,"&gt;"&amp;G9)+1</f>
        <v>3</v>
      </c>
      <c r="K9" s="16" t="n">
        <f aca="false">COUNTIFS($A$5:$A$30,"&gt;0",$E$5:$E$30,"&gt;"&amp;E9)+1</f>
        <v>22</v>
      </c>
      <c r="L9" s="17" t="n">
        <v>1400</v>
      </c>
      <c r="M9" s="18" t="n">
        <v>1.6</v>
      </c>
      <c r="N9" s="12" t="n">
        <f aca="false">L9*M9</f>
        <v>2240</v>
      </c>
      <c r="O9" s="12" t="n">
        <v>4482</v>
      </c>
      <c r="P9" s="20" t="n">
        <f aca="false">IF(O9="","",ROUNDDOWN(O9*(1+$C$3),-1))</f>
        <v>4930</v>
      </c>
      <c r="Q9" s="20" t="n">
        <f aca="false">IF(O9="","",O9-O9*$C$2-N9)</f>
        <v>1999.972</v>
      </c>
      <c r="R9" s="15" t="n">
        <f aca="false">IF(O9="","",Q9/O9)</f>
        <v>0.446223114680946</v>
      </c>
      <c r="S9" s="13" t="n">
        <f aca="false">SUMIFS(판매현황!$G$3:$G$1000,판매현황!$C$3:$C$1000,LEFT($B9,3),판매현황!$D$3:$D$1000,$C9,판매현황!$F$3:$F$1000,"쿠팡")</f>
        <v>4</v>
      </c>
      <c r="T9" s="13" t="n">
        <f aca="false">SUMIFS(판매현황!$G$3:$G$1000,판매현황!$C$3:$C$1000,LEFT($B9,3),판매현황!$D$3:$D$1000,$C9,판매현황!$F$3:$F$1000,"지마켓")</f>
        <v>0</v>
      </c>
      <c r="U9" s="13" t="n">
        <f aca="false">SUMIFS(판매현황!$G$3:$G$1000,판매현황!$C$3:$C$1000,LEFT($B9,3),판매현황!$D$3:$D$1000,$C9,판매현황!$F$3:$F$1000,"전문몰")</f>
        <v>5</v>
      </c>
      <c r="V9" s="13" t="n">
        <f aca="false">SUMIFS(판매현황!$G$3:$G$1000,판매현황!$C$3:$C$1000,LEFT($B9,3),판매현황!$D$3:$D$1000,$C9,판매현황!$F$3:$F$1000,"11번가")</f>
        <v>0</v>
      </c>
      <c r="W9" s="9" t="str">
        <f aca="false">IF(G9&lt;=0,"품절",IF(E9=0,"미판매","판매중"))</f>
        <v>판매중</v>
      </c>
      <c r="X9" s="21" t="n">
        <f aca="false">아트지!G27</f>
        <v>6</v>
      </c>
      <c r="Y9" s="22" t="s">
        <v>40</v>
      </c>
      <c r="Z9" s="13" t="n">
        <f aca="false">SUMIFS(판매현황!$G$3:$G$1000,판매현황!$C$3:$C$1000,LEFT($B9,3),판매현황!$D$3:$D$1000,$C9)-S9-T9-U9-V9</f>
        <v>0</v>
      </c>
      <c r="AA9" s="13" t="n">
        <f aca="false">E9-F9</f>
        <v>0</v>
      </c>
    </row>
    <row r="10" customFormat="false" ht="15" hidden="false" customHeight="true" outlineLevel="0" collapsed="false">
      <c r="A10" s="9" t="n">
        <v>6</v>
      </c>
      <c r="B10" s="10" t="s">
        <v>41</v>
      </c>
      <c r="C10" s="11" t="s">
        <v>42</v>
      </c>
      <c r="D10" s="12" t="n">
        <v>50</v>
      </c>
      <c r="E10" s="13" t="n">
        <f aca="false">D10-G10</f>
        <v>50</v>
      </c>
      <c r="F10" s="13" t="n">
        <f aca="false">S10+T10+U10+V10+Z10</f>
        <v>0</v>
      </c>
      <c r="G10" s="12" t="n">
        <v>0</v>
      </c>
      <c r="H10" s="14" t="n">
        <f aca="false">COUNTIFS(판매현황!$C$3:$C$1000,LEFT($B10,3),판매현황!$D$3:$D$1000,$C10,판매현황!$G$3:$G$1000,"&gt;0")</f>
        <v>0</v>
      </c>
      <c r="I10" s="15" t="n">
        <f aca="false">IF(E10=0,"",F10/E10)</f>
        <v>0</v>
      </c>
      <c r="J10" s="16" t="n">
        <f aca="false">COUNTIFS($A$5:$A$30,"&gt;0",$G$5:$G$30,"&gt;"&amp;G10)+1</f>
        <v>21</v>
      </c>
      <c r="K10" s="16" t="n">
        <f aca="false">COUNTIFS($A$5:$A$30,"&gt;0",$E$5:$E$30,"&gt;"&amp;E10)+1</f>
        <v>9</v>
      </c>
      <c r="L10" s="17" t="n">
        <v>1250</v>
      </c>
      <c r="M10" s="18" t="n">
        <v>1.9</v>
      </c>
      <c r="N10" s="12" t="n">
        <f aca="false">L10*M10</f>
        <v>2375</v>
      </c>
      <c r="O10" s="12"/>
      <c r="P10" s="20" t="str">
        <f aca="false">IF(O10="","",ROUNDDOWN(O10*(1+$C$3),-1))</f>
        <v/>
      </c>
      <c r="Q10" s="20" t="str">
        <f aca="false">IF(O10="","",O10-O10*$C$2-N10)</f>
        <v/>
      </c>
      <c r="R10" s="15" t="str">
        <f aca="false">IF(O10="","",Q10/O10)</f>
        <v/>
      </c>
      <c r="S10" s="13" t="n">
        <f aca="false">SUMIFS(판매현황!$G$3:$G$1000,판매현황!$C$3:$C$1000,LEFT($B10,3),판매현황!$D$3:$D$1000,$C10,판매현황!$F$3:$F$1000,"쿠팡")</f>
        <v>0</v>
      </c>
      <c r="T10" s="13" t="n">
        <f aca="false">SUMIFS(판매현황!$G$3:$G$1000,판매현황!$C$3:$C$1000,LEFT($B10,3),판매현황!$D$3:$D$1000,$C10,판매현황!$F$3:$F$1000,"지마켓")</f>
        <v>0</v>
      </c>
      <c r="U10" s="13" t="n">
        <f aca="false">SUMIFS(판매현황!$G$3:$G$1000,판매현황!$C$3:$C$1000,LEFT($B10,3),판매현황!$D$3:$D$1000,$C10,판매현황!$F$3:$F$1000,"전문몰")</f>
        <v>0</v>
      </c>
      <c r="V10" s="13" t="n">
        <f aca="false">SUMIFS(판매현황!$G$3:$G$1000,판매현황!$C$3:$C$1000,LEFT($B10,3),판매현황!$D$3:$D$1000,$C10,판매현황!$F$3:$F$1000,"11번가")</f>
        <v>0</v>
      </c>
      <c r="W10" s="9" t="str">
        <f aca="false">IF(G10&lt;=0,"품절",IF(E10=0,"미판매","판매중"))</f>
        <v>품절</v>
      </c>
      <c r="X10" s="21" t="n">
        <f aca="false">아트지!G28</f>
        <v>0</v>
      </c>
      <c r="Y10" s="22"/>
      <c r="Z10" s="13" t="n">
        <f aca="false">SUMIFS(판매현황!$G$3:$G$1000,판매현황!$C$3:$C$1000,LEFT($B10,3),판매현황!$D$3:$D$1000,$C10)-S10-T10-U10-V10</f>
        <v>0</v>
      </c>
      <c r="AA10" s="13" t="n">
        <f aca="false">E10-F10</f>
        <v>50</v>
      </c>
    </row>
    <row r="11" customFormat="false" ht="15" hidden="false" customHeight="true" outlineLevel="0" collapsed="false">
      <c r="A11" s="9" t="n">
        <v>7</v>
      </c>
      <c r="B11" s="10" t="s">
        <v>30</v>
      </c>
      <c r="C11" s="11" t="s">
        <v>43</v>
      </c>
      <c r="D11" s="12" t="n">
        <v>100</v>
      </c>
      <c r="E11" s="13" t="n">
        <f aca="false">D11-G11</f>
        <v>87</v>
      </c>
      <c r="F11" s="13" t="n">
        <f aca="false">S11+T11+U11+V11+Z11</f>
        <v>2</v>
      </c>
      <c r="G11" s="12" t="n">
        <v>13</v>
      </c>
      <c r="H11" s="14" t="n">
        <f aca="false">COUNTIFS(판매현황!$C$3:$C$1000,LEFT($B11,3),판매현황!$D$3:$D$1000,$C11,판매현황!$G$3:$G$1000,"&gt;0")</f>
        <v>2</v>
      </c>
      <c r="I11" s="15" t="n">
        <f aca="false">IF(E11=0,"",F11/E11)</f>
        <v>0.0229885057471264</v>
      </c>
      <c r="J11" s="16" t="n">
        <f aca="false">COUNTIFS($A$5:$A$30,"&gt;0",$G$5:$G$30,"&gt;"&amp;G11)+1</f>
        <v>15</v>
      </c>
      <c r="K11" s="16" t="n">
        <f aca="false">COUNTIFS($A$5:$A$30,"&gt;0",$E$5:$E$30,"&gt;"&amp;E11)+1</f>
        <v>1</v>
      </c>
      <c r="L11" s="17" t="n">
        <v>1000</v>
      </c>
      <c r="M11" s="18" t="n">
        <v>3.1</v>
      </c>
      <c r="N11" s="12" t="n">
        <f aca="false">L11*M11</f>
        <v>3100</v>
      </c>
      <c r="O11" s="12" t="n">
        <v>6500</v>
      </c>
      <c r="P11" s="20" t="n">
        <f aca="false">IF(O11="","",ROUNDDOWN(O11*(1+$C$3),-1))</f>
        <v>7150</v>
      </c>
      <c r="Q11" s="20" t="n">
        <f aca="false">IF(O11="","",O11-O11*$C$2-N11)</f>
        <v>3049</v>
      </c>
      <c r="R11" s="15" t="n">
        <f aca="false">IF(O11="","",Q11/O11)</f>
        <v>0.469076923076923</v>
      </c>
      <c r="S11" s="13" t="n">
        <f aca="false">SUMIFS(판매현황!$G$3:$G$1000,판매현황!$C$3:$C$1000,LEFT($B11,3),판매현황!$D$3:$D$1000,$C11,판매현황!$F$3:$F$1000,"쿠팡")</f>
        <v>0</v>
      </c>
      <c r="T11" s="13" t="n">
        <f aca="false">SUMIFS(판매현황!$G$3:$G$1000,판매현황!$C$3:$C$1000,LEFT($B11,3),판매현황!$D$3:$D$1000,$C11,판매현황!$F$3:$F$1000,"지마켓")</f>
        <v>0</v>
      </c>
      <c r="U11" s="13" t="n">
        <f aca="false">SUMIFS(판매현황!$G$3:$G$1000,판매현황!$C$3:$C$1000,LEFT($B11,3),판매현황!$D$3:$D$1000,$C11,판매현황!$F$3:$F$1000,"전문몰")</f>
        <v>2</v>
      </c>
      <c r="V11" s="13" t="n">
        <f aca="false">SUMIFS(판매현황!$G$3:$G$1000,판매현황!$C$3:$C$1000,LEFT($B11,3),판매현황!$D$3:$D$1000,$C11,판매현황!$F$3:$F$1000,"11번가")</f>
        <v>0</v>
      </c>
      <c r="W11" s="9" t="str">
        <f aca="false">IF(G11&lt;=0,"품절",IF(E11=0,"미판매","판매중"))</f>
        <v>판매중</v>
      </c>
      <c r="X11" s="21" t="n">
        <f aca="false">아트지!G29</f>
        <v>5</v>
      </c>
      <c r="Y11" s="22" t="s">
        <v>32</v>
      </c>
      <c r="Z11" s="13" t="n">
        <f aca="false">SUMIFS(판매현황!$G$3:$G$1000,판매현황!$C$3:$C$1000,LEFT($B11,3),판매현황!$D$3:$D$1000,$C11)-S11-T11-U11-V11</f>
        <v>0</v>
      </c>
      <c r="AA11" s="13" t="n">
        <f aca="false">E11-F11</f>
        <v>85</v>
      </c>
    </row>
    <row r="12" customFormat="false" ht="15" hidden="false" customHeight="true" outlineLevel="0" collapsed="false">
      <c r="A12" s="9" t="n">
        <v>8</v>
      </c>
      <c r="B12" s="10" t="s">
        <v>30</v>
      </c>
      <c r="C12" s="11" t="s">
        <v>44</v>
      </c>
      <c r="D12" s="12" t="n">
        <v>80</v>
      </c>
      <c r="E12" s="13" t="n">
        <f aca="false">D12-G12</f>
        <v>72</v>
      </c>
      <c r="F12" s="13" t="n">
        <f aca="false">S12+T12+U12+V12+Z12</f>
        <v>13</v>
      </c>
      <c r="G12" s="12" t="n">
        <v>8</v>
      </c>
      <c r="H12" s="14" t="n">
        <f aca="false">COUNTIFS(판매현황!$C$3:$C$1000,LEFT($B12,3),판매현황!$D$3:$D$1000,$C12,판매현황!$G$3:$G$1000,"&gt;0")</f>
        <v>4</v>
      </c>
      <c r="I12" s="15" t="n">
        <f aca="false">IF(E12=0,"",F12/E12)</f>
        <v>0.180555555555556</v>
      </c>
      <c r="J12" s="16" t="n">
        <f aca="false">COUNTIFS($A$5:$A$30,"&gt;0",$G$5:$G$30,"&gt;"&amp;G12)+1</f>
        <v>16</v>
      </c>
      <c r="K12" s="16" t="n">
        <f aca="false">COUNTIFS($A$5:$A$30,"&gt;0",$E$5:$E$30,"&gt;"&amp;E12)+1</f>
        <v>3</v>
      </c>
      <c r="L12" s="17" t="n">
        <v>1000</v>
      </c>
      <c r="M12" s="18" t="n">
        <v>3.8</v>
      </c>
      <c r="N12" s="12" t="n">
        <f aca="false">L12*M12</f>
        <v>3800</v>
      </c>
      <c r="O12" s="12" t="n">
        <v>6500</v>
      </c>
      <c r="P12" s="20" t="n">
        <f aca="false">IF(O12="","",ROUNDDOWN(O12*(1+$C$3),-1))</f>
        <v>7150</v>
      </c>
      <c r="Q12" s="20" t="n">
        <f aca="false">IF(O12="","",O12-O12*$C$2-N12)</f>
        <v>2349</v>
      </c>
      <c r="R12" s="15" t="n">
        <f aca="false">IF(O12="","",Q12/O12)</f>
        <v>0.361384615384615</v>
      </c>
      <c r="S12" s="13" t="n">
        <f aca="false">SUMIFS(판매현황!$G$3:$G$1000,판매현황!$C$3:$C$1000,LEFT($B12,3),판매현황!$D$3:$D$1000,$C12,판매현황!$F$3:$F$1000,"쿠팡")</f>
        <v>2</v>
      </c>
      <c r="T12" s="13" t="n">
        <f aca="false">SUMIFS(판매현황!$G$3:$G$1000,판매현황!$C$3:$C$1000,LEFT($B12,3),판매현황!$D$3:$D$1000,$C12,판매현황!$F$3:$F$1000,"지마켓")</f>
        <v>5</v>
      </c>
      <c r="U12" s="13" t="n">
        <f aca="false">SUMIFS(판매현황!$G$3:$G$1000,판매현황!$C$3:$C$1000,LEFT($B12,3),판매현황!$D$3:$D$1000,$C12,판매현황!$F$3:$F$1000,"전문몰")</f>
        <v>6</v>
      </c>
      <c r="V12" s="13" t="n">
        <f aca="false">SUMIFS(판매현황!$G$3:$G$1000,판매현황!$C$3:$C$1000,LEFT($B12,3),판매현황!$D$3:$D$1000,$C12,판매현황!$F$3:$F$1000,"11번가")</f>
        <v>0</v>
      </c>
      <c r="W12" s="9" t="str">
        <f aca="false">IF(G12&lt;=0,"품절",IF(E12=0,"미판매","판매중"))</f>
        <v>판매중</v>
      </c>
      <c r="X12" s="21" t="n">
        <f aca="false">아트지!G30</f>
        <v>5</v>
      </c>
      <c r="Y12" s="22" t="s">
        <v>45</v>
      </c>
      <c r="Z12" s="13" t="n">
        <f aca="false">SUMIFS(판매현황!$G$3:$G$1000,판매현황!$C$3:$C$1000,LEFT($B12,3),판매현황!$D$3:$D$1000,$C12)-S12-T12-U12-V12</f>
        <v>0</v>
      </c>
      <c r="AA12" s="13" t="n">
        <f aca="false">E12-F12</f>
        <v>59</v>
      </c>
    </row>
    <row r="13" customFormat="false" ht="15" hidden="false" customHeight="true" outlineLevel="0" collapsed="false">
      <c r="A13" s="9" t="n">
        <v>9</v>
      </c>
      <c r="B13" s="10" t="s">
        <v>30</v>
      </c>
      <c r="C13" s="11" t="s">
        <v>46</v>
      </c>
      <c r="D13" s="12" t="n">
        <v>70</v>
      </c>
      <c r="E13" s="13" t="n">
        <f aca="false">D13-G13</f>
        <v>68</v>
      </c>
      <c r="F13" s="13" t="n">
        <f aca="false">S13+T13+U13+V13+Z13</f>
        <v>0</v>
      </c>
      <c r="G13" s="12" t="n">
        <v>2</v>
      </c>
      <c r="H13" s="14" t="n">
        <f aca="false">COUNTIFS(판매현황!$C$3:$C$1000,LEFT($B13,3),판매현황!$D$3:$D$1000,$C13,판매현황!$G$3:$G$1000,"&gt;0")</f>
        <v>0</v>
      </c>
      <c r="I13" s="15" t="n">
        <f aca="false">IF(E13=0,"",F13/E13)</f>
        <v>0</v>
      </c>
      <c r="J13" s="16" t="n">
        <f aca="false">COUNTIFS($A$5:$A$30,"&gt;0",$G$5:$G$30,"&gt;"&amp;G13)+1</f>
        <v>18</v>
      </c>
      <c r="K13" s="16" t="n">
        <f aca="false">COUNTIFS($A$5:$A$30,"&gt;0",$E$5:$E$30,"&gt;"&amp;E13)+1</f>
        <v>5</v>
      </c>
      <c r="L13" s="17" t="n">
        <v>850</v>
      </c>
      <c r="M13" s="18" t="n">
        <v>2.3</v>
      </c>
      <c r="N13" s="12" t="n">
        <f aca="false">L13*M13</f>
        <v>1955</v>
      </c>
      <c r="O13" s="12" t="n">
        <v>9782</v>
      </c>
      <c r="P13" s="20" t="n">
        <f aca="false">IF(O13="","",ROUNDDOWN(O13*(1+$C$3),-1))</f>
        <v>10760</v>
      </c>
      <c r="Q13" s="20" t="n">
        <f aca="false">IF(O13="","",O13-O13*$C$2-N13)</f>
        <v>7298.772</v>
      </c>
      <c r="R13" s="15" t="n">
        <f aca="false">IF(O13="","",Q13/O13)</f>
        <v>0.746143120016357</v>
      </c>
      <c r="S13" s="13" t="n">
        <f aca="false">SUMIFS(판매현황!$G$3:$G$1000,판매현황!$C$3:$C$1000,LEFT($B13,3),판매현황!$D$3:$D$1000,$C13,판매현황!$F$3:$F$1000,"쿠팡")</f>
        <v>0</v>
      </c>
      <c r="T13" s="13" t="n">
        <f aca="false">SUMIFS(판매현황!$G$3:$G$1000,판매현황!$C$3:$C$1000,LEFT($B13,3),판매현황!$D$3:$D$1000,$C13,판매현황!$F$3:$F$1000,"지마켓")</f>
        <v>0</v>
      </c>
      <c r="U13" s="13" t="n">
        <f aca="false">SUMIFS(판매현황!$G$3:$G$1000,판매현황!$C$3:$C$1000,LEFT($B13,3),판매현황!$D$3:$D$1000,$C13,판매현황!$F$3:$F$1000,"전문몰")</f>
        <v>0</v>
      </c>
      <c r="V13" s="13" t="n">
        <f aca="false">SUMIFS(판매현황!$G$3:$G$1000,판매현황!$C$3:$C$1000,LEFT($B13,3),판매현황!$D$3:$D$1000,$C13,판매현황!$F$3:$F$1000,"11번가")</f>
        <v>0</v>
      </c>
      <c r="W13" s="9" t="str">
        <f aca="false">IF(G13&lt;=0,"품절",IF(E13=0,"미판매","판매중"))</f>
        <v>판매중</v>
      </c>
      <c r="X13" s="21" t="n">
        <f aca="false">아트지!G31</f>
        <v>3</v>
      </c>
      <c r="Y13" s="22" t="s">
        <v>32</v>
      </c>
      <c r="Z13" s="13" t="n">
        <f aca="false">SUMIFS(판매현황!$G$3:$G$1000,판매현황!$C$3:$C$1000,LEFT($B13,3),판매현황!$D$3:$D$1000,$C13)-S13-T13-U13-V13</f>
        <v>0</v>
      </c>
      <c r="AA13" s="13" t="n">
        <f aca="false">E13-F13</f>
        <v>68</v>
      </c>
    </row>
    <row r="14" customFormat="false" ht="15" hidden="false" customHeight="true" outlineLevel="0" collapsed="false">
      <c r="A14" s="9" t="n">
        <v>10</v>
      </c>
      <c r="B14" s="10" t="s">
        <v>30</v>
      </c>
      <c r="C14" s="11" t="s">
        <v>47</v>
      </c>
      <c r="D14" s="12" t="n">
        <v>80</v>
      </c>
      <c r="E14" s="13" t="n">
        <f aca="false">D14-G14</f>
        <v>50</v>
      </c>
      <c r="F14" s="13" t="n">
        <f aca="false">S14+T14+U14+V14+Z14</f>
        <v>11</v>
      </c>
      <c r="G14" s="12" t="n">
        <v>30</v>
      </c>
      <c r="H14" s="14" t="n">
        <f aca="false">COUNTIFS(판매현황!$C$3:$C$1000,LEFT($B14,3),판매현황!$D$3:$D$1000,$C14,판매현황!$G$3:$G$1000,"&gt;0")</f>
        <v>2</v>
      </c>
      <c r="I14" s="15" t="n">
        <f aca="false">IF(E14=0,"",F14/E14)</f>
        <v>0.22</v>
      </c>
      <c r="J14" s="16" t="n">
        <f aca="false">COUNTIFS($A$5:$A$30,"&gt;0",$G$5:$G$30,"&gt;"&amp;G14)+1</f>
        <v>10</v>
      </c>
      <c r="K14" s="16" t="n">
        <f aca="false">COUNTIFS($A$5:$A$30,"&gt;0",$E$5:$E$30,"&gt;"&amp;E14)+1</f>
        <v>9</v>
      </c>
      <c r="L14" s="17" t="n">
        <v>500</v>
      </c>
      <c r="M14" s="18" t="n">
        <v>6.1</v>
      </c>
      <c r="N14" s="12" t="n">
        <f aca="false">L14*M14</f>
        <v>3050</v>
      </c>
      <c r="O14" s="19" t="n">
        <v>7000</v>
      </c>
      <c r="P14" s="20" t="n">
        <f aca="false">IF(O14="","",ROUNDDOWN(O14*(1+$C$3),-1))</f>
        <v>7700</v>
      </c>
      <c r="Q14" s="20" t="n">
        <f aca="false">IF(O14="","",O14-O14*$C$2-N14)</f>
        <v>3572</v>
      </c>
      <c r="R14" s="15" t="n">
        <f aca="false">IF(O14="","",Q14/O14)</f>
        <v>0.510285714285714</v>
      </c>
      <c r="S14" s="13" t="n">
        <f aca="false">SUMIFS(판매현황!$G$3:$G$1000,판매현황!$C$3:$C$1000,LEFT($B14,3),판매현황!$D$3:$D$1000,$C14,판매현황!$F$3:$F$1000,"쿠팡")</f>
        <v>0</v>
      </c>
      <c r="T14" s="13" t="n">
        <f aca="false">SUMIFS(판매현황!$G$3:$G$1000,판매현황!$C$3:$C$1000,LEFT($B14,3),판매현황!$D$3:$D$1000,$C14,판매현황!$F$3:$F$1000,"지마켓")</f>
        <v>0</v>
      </c>
      <c r="U14" s="13" t="n">
        <f aca="false">SUMIFS(판매현황!$G$3:$G$1000,판매현황!$C$3:$C$1000,LEFT($B14,3),판매현황!$D$3:$D$1000,$C14,판매현황!$F$3:$F$1000,"전문몰")</f>
        <v>11</v>
      </c>
      <c r="V14" s="13" t="n">
        <f aca="false">SUMIFS(판매현황!$G$3:$G$1000,판매현황!$C$3:$C$1000,LEFT($B14,3),판매현황!$D$3:$D$1000,$C14,판매현황!$F$3:$F$1000,"11번가")</f>
        <v>0</v>
      </c>
      <c r="W14" s="9" t="str">
        <f aca="false">IF(G14&lt;=0,"품절",IF(E14=0,"미판매","판매중"))</f>
        <v>판매중</v>
      </c>
      <c r="X14" s="21" t="n">
        <f aca="false">아트지!G32</f>
        <v>6</v>
      </c>
      <c r="Y14" s="22" t="s">
        <v>48</v>
      </c>
      <c r="Z14" s="13" t="n">
        <f aca="false">SUMIFS(판매현황!$G$3:$G$1000,판매현황!$C$3:$C$1000,LEFT($B14,3),판매현황!$D$3:$D$1000,$C14)-S14-T14-U14-V14</f>
        <v>0</v>
      </c>
      <c r="AA14" s="13" t="n">
        <f aca="false">E14-F14</f>
        <v>39</v>
      </c>
    </row>
    <row r="15" customFormat="false" ht="15" hidden="false" customHeight="true" outlineLevel="0" collapsed="false">
      <c r="A15" s="24"/>
      <c r="B15" s="25" t="s">
        <v>49</v>
      </c>
      <c r="C15" s="24"/>
      <c r="D15" s="26" t="n">
        <f aca="false">SUM(D5:D14)</f>
        <v>890</v>
      </c>
      <c r="E15" s="26" t="n">
        <f aca="false">SUM(E5:E14)</f>
        <v>553</v>
      </c>
      <c r="F15" s="26" t="n">
        <f aca="false">SUM(F5:F14)</f>
        <v>71</v>
      </c>
      <c r="G15" s="26" t="n">
        <f aca="false">SUM(G5:G14)</f>
        <v>337</v>
      </c>
      <c r="H15" s="26" t="n">
        <f aca="false">SUM(H5:H14)</f>
        <v>18</v>
      </c>
      <c r="I15" s="27"/>
      <c r="J15" s="27"/>
      <c r="K15" s="27"/>
      <c r="L15" s="27"/>
      <c r="M15" s="28"/>
      <c r="N15" s="26"/>
      <c r="O15" s="26"/>
      <c r="P15" s="29"/>
      <c r="Q15" s="24"/>
      <c r="R15" s="24"/>
      <c r="S15" s="26" t="n">
        <f aca="false">SUM(S5:S14)</f>
        <v>20</v>
      </c>
      <c r="T15" s="26" t="n">
        <f aca="false">SUM(T5:T14)</f>
        <v>25</v>
      </c>
      <c r="U15" s="26" t="n">
        <f aca="false">SUM(U5:U14)</f>
        <v>26</v>
      </c>
      <c r="V15" s="26" t="n">
        <f aca="false">SUM(V5:V14)</f>
        <v>0</v>
      </c>
      <c r="W15" s="27"/>
      <c r="X15" s="27"/>
      <c r="Y15" s="27"/>
      <c r="Z15" s="26" t="n">
        <f aca="false">SUM(Z5:Z14)</f>
        <v>0</v>
      </c>
      <c r="AA15" s="26" t="n">
        <f aca="false">SUM(AA5:AA14)</f>
        <v>482</v>
      </c>
    </row>
    <row r="16" customFormat="false" ht="15" hidden="false" customHeight="true" outlineLevel="0" collapsed="false">
      <c r="A16" s="9" t="n">
        <v>11</v>
      </c>
      <c r="B16" s="10" t="s">
        <v>50</v>
      </c>
      <c r="C16" s="23" t="s">
        <v>51</v>
      </c>
      <c r="D16" s="12" t="n">
        <v>80</v>
      </c>
      <c r="E16" s="20" t="n">
        <f aca="false">D16-G16</f>
        <v>12</v>
      </c>
      <c r="F16" s="20" t="n">
        <f aca="false">S16+T16+U16+V16+Z16</f>
        <v>12</v>
      </c>
      <c r="G16" s="12" t="n">
        <v>68</v>
      </c>
      <c r="H16" s="30" t="n">
        <f aca="false">COUNTIFS(판매현황!$C$3:$C$1000,LEFT($B16,3),판매현황!$D$3:$D$1000,$C16,판매현황!$G$3:$G$1000,"&gt;0")</f>
        <v>6</v>
      </c>
      <c r="I16" s="15" t="n">
        <f aca="false">IF(E16=0,"",F16/E16)</f>
        <v>1</v>
      </c>
      <c r="J16" s="17" t="n">
        <f aca="false">COUNTIFS($A$5:$A$30,"&gt;0",$G$5:$G$30,"&gt;"&amp;G16)+1</f>
        <v>5</v>
      </c>
      <c r="K16" s="17" t="n">
        <f aca="false">COUNTIFS($A$5:$A$30,"&gt;0",$E$5:$E$30,"&gt;"&amp;E16)+1</f>
        <v>21</v>
      </c>
      <c r="L16" s="17" t="n">
        <v>3120</v>
      </c>
      <c r="M16" s="18" t="n">
        <v>0.5</v>
      </c>
      <c r="N16" s="12" t="n">
        <f aca="false">L16*M16</f>
        <v>1560</v>
      </c>
      <c r="O16" s="12" t="n">
        <v>4564</v>
      </c>
      <c r="P16" s="20" t="n">
        <f aca="false">IF(O16="","",ROUNDDOWN(O16*(1+$C$3),-1))</f>
        <v>5020</v>
      </c>
      <c r="Q16" s="20" t="n">
        <f aca="false">IF(O16="","",O16-O16*$C$2-N16)</f>
        <v>2757.544</v>
      </c>
      <c r="R16" s="15" t="n">
        <f aca="false">IF(O16="","",Q16/O16)</f>
        <v>0.604194566170026</v>
      </c>
      <c r="S16" s="20" t="n">
        <f aca="false">SUMIFS(판매현황!$G$3:$G$1000,판매현황!$C$3:$C$1000,LEFT($B16,3),판매현황!$D$3:$D$1000,$C16,판매현황!$F$3:$F$1000,"쿠팡")</f>
        <v>2</v>
      </c>
      <c r="T16" s="20" t="n">
        <f aca="false">SUMIFS(판매현황!$G$3:$G$1000,판매현황!$C$3:$C$1000,LEFT($B16,3),판매현황!$D$3:$D$1000,$C16,판매현황!$F$3:$F$1000,"지마켓")</f>
        <v>0</v>
      </c>
      <c r="U16" s="20" t="n">
        <f aca="false">SUMIFS(판매현황!$G$3:$G$1000,판매현황!$C$3:$C$1000,LEFT($B16,3),판매현황!$D$3:$D$1000,$C16,판매현황!$F$3:$F$1000,"전문몰")</f>
        <v>10</v>
      </c>
      <c r="V16" s="20" t="n">
        <f aca="false">SUMIFS(판매현황!$G$3:$G$1000,판매현황!$C$3:$C$1000,LEFT($B16,3),판매현황!$D$3:$D$1000,$C16,판매현황!$F$3:$F$1000,"11번가")</f>
        <v>0</v>
      </c>
      <c r="W16" s="9" t="str">
        <f aca="false">IF(G16&lt;=0,"품절",IF(E16=0,"미판매","판매중"))</f>
        <v>판매중</v>
      </c>
      <c r="X16" s="21" t="n">
        <f aca="false">유포지!G25</f>
        <v>5</v>
      </c>
      <c r="Y16" s="22" t="s">
        <v>52</v>
      </c>
      <c r="Z16" s="20" t="n">
        <f aca="false">SUMIFS(판매현황!$G$3:$G$1000,판매현황!$C$3:$C$1000,LEFT($B16,3),판매현황!$D$3:$D$1000,$C16)-S16-T16-U16-V16</f>
        <v>0</v>
      </c>
      <c r="AA16" s="13" t="n">
        <f aca="false">E16-F16</f>
        <v>0</v>
      </c>
    </row>
    <row r="17" customFormat="false" ht="15" hidden="false" customHeight="true" outlineLevel="0" collapsed="false">
      <c r="A17" s="9" t="n">
        <v>12</v>
      </c>
      <c r="B17" s="10" t="s">
        <v>50</v>
      </c>
      <c r="C17" s="11" t="s">
        <v>33</v>
      </c>
      <c r="D17" s="12" t="n">
        <v>80</v>
      </c>
      <c r="E17" s="20" t="n">
        <f aca="false">D17-G17</f>
        <v>0</v>
      </c>
      <c r="F17" s="20" t="n">
        <f aca="false">S17+T17+U17+V17+Z17</f>
        <v>0</v>
      </c>
      <c r="G17" s="12" t="n">
        <v>80</v>
      </c>
      <c r="H17" s="30" t="n">
        <f aca="false">COUNTIFS(판매현황!$C$3:$C$1000,LEFT($B17,3),판매현황!$D$3:$D$1000,$C17,판매현황!$G$3:$G$1000,"&gt;0")</f>
        <v>0</v>
      </c>
      <c r="I17" s="15" t="str">
        <f aca="false">IF(E17=0,"",F17/E17)</f>
        <v/>
      </c>
      <c r="J17" s="17" t="n">
        <f aca="false">COUNTIFS($A$5:$A$30,"&gt;0",$G$5:$G$30,"&gt;"&amp;G17)+1</f>
        <v>4</v>
      </c>
      <c r="K17" s="17" t="n">
        <f aca="false">COUNTIFS($A$5:$A$30,"&gt;0",$E$5:$E$30,"&gt;"&amp;E17)+1</f>
        <v>23</v>
      </c>
      <c r="L17" s="17" t="n">
        <v>2500</v>
      </c>
      <c r="M17" s="18" t="n">
        <v>0.8</v>
      </c>
      <c r="N17" s="12" t="n">
        <f aca="false">L17*M17</f>
        <v>2000</v>
      </c>
      <c r="O17" s="12" t="n">
        <v>5582</v>
      </c>
      <c r="P17" s="20" t="n">
        <f aca="false">IF(O17="","",ROUNDDOWN(O17*(1+$C$3),-1))</f>
        <v>6140</v>
      </c>
      <c r="Q17" s="20" t="n">
        <f aca="false">IF(O17="","",O17-O17*$C$2-N17)</f>
        <v>3280.572</v>
      </c>
      <c r="R17" s="15" t="n">
        <f aca="false">IF(O17="","",Q17/O17)</f>
        <v>0.587705481906127</v>
      </c>
      <c r="S17" s="20" t="n">
        <f aca="false">SUMIFS(판매현황!$G$3:$G$1000,판매현황!$C$3:$C$1000,LEFT($B17,3),판매현황!$D$3:$D$1000,$C17,판매현황!$F$3:$F$1000,"쿠팡")</f>
        <v>0</v>
      </c>
      <c r="T17" s="20" t="n">
        <f aca="false">SUMIFS(판매현황!$G$3:$G$1000,판매현황!$C$3:$C$1000,LEFT($B17,3),판매현황!$D$3:$D$1000,$C17,판매현황!$F$3:$F$1000,"지마켓")</f>
        <v>0</v>
      </c>
      <c r="U17" s="20" t="n">
        <f aca="false">SUMIFS(판매현황!$G$3:$G$1000,판매현황!$C$3:$C$1000,LEFT($B17,3),판매현황!$D$3:$D$1000,$C17,판매현황!$F$3:$F$1000,"전문몰")</f>
        <v>0</v>
      </c>
      <c r="V17" s="20" t="n">
        <f aca="false">SUMIFS(판매현황!$G$3:$G$1000,판매현황!$C$3:$C$1000,LEFT($B17,3),판매현황!$D$3:$D$1000,$C17,판매현황!$F$3:$F$1000,"11번가")</f>
        <v>0</v>
      </c>
      <c r="W17" s="9" t="str">
        <f aca="false">IF(G17&lt;=0,"품절",IF(E17=0,"미판매","판매중"))</f>
        <v>미판매</v>
      </c>
      <c r="X17" s="21" t="n">
        <f aca="false">유포지!G26</f>
        <v>6</v>
      </c>
      <c r="Y17" s="22"/>
      <c r="Z17" s="20" t="n">
        <f aca="false">SUMIFS(판매현황!$G$3:$G$1000,판매현황!$C$3:$C$1000,LEFT($B17,3),판매현황!$D$3:$D$1000,$C17)-S17-T17-U17-V17</f>
        <v>0</v>
      </c>
      <c r="AA17" s="13" t="n">
        <f aca="false">E17-F17</f>
        <v>0</v>
      </c>
    </row>
    <row r="18" customFormat="false" ht="15" hidden="false" customHeight="true" outlineLevel="0" collapsed="false">
      <c r="A18" s="9" t="n">
        <v>13</v>
      </c>
      <c r="B18" s="10" t="s">
        <v>53</v>
      </c>
      <c r="C18" s="11" t="s">
        <v>35</v>
      </c>
      <c r="D18" s="12" t="n">
        <v>50</v>
      </c>
      <c r="E18" s="20" t="n">
        <f aca="false">D18-G18</f>
        <v>50</v>
      </c>
      <c r="F18" s="20" t="n">
        <f aca="false">S18+T18+U18+V18+Z18</f>
        <v>50</v>
      </c>
      <c r="G18" s="12" t="n">
        <v>0</v>
      </c>
      <c r="H18" s="30" t="n">
        <f aca="false">COUNTIFS(판매현황!$C$3:$C$1000,LEFT($B18,3),판매현황!$D$3:$D$1000,$C18,판매현황!$G$3:$G$1000,"&gt;0")</f>
        <v>1</v>
      </c>
      <c r="I18" s="15" t="n">
        <f aca="false">IF(E18=0,"",F18/E18)</f>
        <v>1</v>
      </c>
      <c r="J18" s="17" t="n">
        <f aca="false">COUNTIFS($A$5:$A$30,"&gt;0",$G$5:$G$30,"&gt;"&amp;G18)+1</f>
        <v>21</v>
      </c>
      <c r="K18" s="17" t="n">
        <f aca="false">COUNTIFS($A$5:$A$30,"&gt;0",$E$5:$E$30,"&gt;"&amp;E18)+1</f>
        <v>9</v>
      </c>
      <c r="L18" s="17" t="n">
        <v>2000</v>
      </c>
      <c r="M18" s="18" t="n">
        <v>1.4</v>
      </c>
      <c r="N18" s="12" t="n">
        <f aca="false">L18*M18</f>
        <v>2800</v>
      </c>
      <c r="O18" s="12"/>
      <c r="P18" s="20" t="str">
        <f aca="false">IF(O18="","",ROUNDDOWN(O18*(1+$C$3),-1))</f>
        <v/>
      </c>
      <c r="Q18" s="20" t="str">
        <f aca="false">IF(O18="","",O18-O18*$C$2-N18)</f>
        <v/>
      </c>
      <c r="R18" s="15" t="str">
        <f aca="false">IF(O18="","",Q18/O18)</f>
        <v/>
      </c>
      <c r="S18" s="20" t="n">
        <f aca="false">SUMIFS(판매현황!$G$3:$G$1000,판매현황!$C$3:$C$1000,LEFT($B18,3),판매현황!$D$3:$D$1000,$C18,판매현황!$F$3:$F$1000,"쿠팡")</f>
        <v>0</v>
      </c>
      <c r="T18" s="20" t="n">
        <f aca="false">SUMIFS(판매현황!$G$3:$G$1000,판매현황!$C$3:$C$1000,LEFT($B18,3),판매현황!$D$3:$D$1000,$C18,판매현황!$F$3:$F$1000,"지마켓")</f>
        <v>0</v>
      </c>
      <c r="U18" s="20" t="n">
        <f aca="false">SUMIFS(판매현황!$G$3:$G$1000,판매현황!$C$3:$C$1000,LEFT($B18,3),판매현황!$D$3:$D$1000,$C18,판매현황!$F$3:$F$1000,"전문몰")</f>
        <v>50</v>
      </c>
      <c r="V18" s="20" t="n">
        <f aca="false">SUMIFS(판매현황!$G$3:$G$1000,판매현황!$C$3:$C$1000,LEFT($B18,3),판매현황!$D$3:$D$1000,$C18,판매현황!$F$3:$F$1000,"11번가")</f>
        <v>0</v>
      </c>
      <c r="W18" s="9" t="str">
        <f aca="false">IF(G18&lt;=0,"품절",IF(E18=0,"미판매","판매중"))</f>
        <v>품절</v>
      </c>
      <c r="X18" s="21" t="n">
        <f aca="false">유포지!G27</f>
        <v>0</v>
      </c>
      <c r="Y18" s="22" t="s">
        <v>54</v>
      </c>
      <c r="Z18" s="20" t="n">
        <f aca="false">SUMIFS(판매현황!$G$3:$G$1000,판매현황!$C$3:$C$1000,LEFT($B18,3),판매현황!$D$3:$D$1000,$C18)-S18-T18-U18-V18</f>
        <v>0</v>
      </c>
      <c r="AA18" s="13" t="n">
        <f aca="false">E18-F18</f>
        <v>0</v>
      </c>
    </row>
    <row r="19" customFormat="false" ht="15" hidden="false" customHeight="true" outlineLevel="0" collapsed="false">
      <c r="A19" s="9" t="n">
        <v>14</v>
      </c>
      <c r="B19" s="10" t="s">
        <v>50</v>
      </c>
      <c r="C19" s="11" t="s">
        <v>39</v>
      </c>
      <c r="D19" s="12" t="n">
        <v>50</v>
      </c>
      <c r="E19" s="20" t="n">
        <f aca="false">D19-G19</f>
        <v>48</v>
      </c>
      <c r="F19" s="20" t="n">
        <f aca="false">S19+T19+U19+V19+Z19</f>
        <v>5</v>
      </c>
      <c r="G19" s="12" t="n">
        <v>2</v>
      </c>
      <c r="H19" s="30" t="n">
        <f aca="false">COUNTIFS(판매현황!$C$3:$C$1000,LEFT($B19,3),판매현황!$D$3:$D$1000,$C19,판매현황!$G$3:$G$1000,"&gt;0")</f>
        <v>1</v>
      </c>
      <c r="I19" s="15" t="n">
        <f aca="false">IF(E19=0,"",F19/E19)</f>
        <v>0.104166666666667</v>
      </c>
      <c r="J19" s="17" t="n">
        <f aca="false">COUNTIFS($A$5:$A$30,"&gt;0",$G$5:$G$30,"&gt;"&amp;G19)+1</f>
        <v>18</v>
      </c>
      <c r="K19" s="17" t="n">
        <f aca="false">COUNTIFS($A$5:$A$30,"&gt;0",$E$5:$E$30,"&gt;"&amp;E19)+1</f>
        <v>12</v>
      </c>
      <c r="L19" s="17" t="n">
        <v>1400</v>
      </c>
      <c r="M19" s="18" t="n">
        <v>2.2</v>
      </c>
      <c r="N19" s="12" t="n">
        <f aca="false">L19*M19</f>
        <v>3080</v>
      </c>
      <c r="O19" s="12" t="n">
        <v>5255</v>
      </c>
      <c r="P19" s="20" t="n">
        <f aca="false">IF(O19="","",ROUNDDOWN(O19*(1+$C$3),-1))</f>
        <v>5780</v>
      </c>
      <c r="Q19" s="20" t="n">
        <f aca="false">IF(O19="","",O19-O19*$C$2-N19)</f>
        <v>1891.23</v>
      </c>
      <c r="R19" s="15" t="n">
        <f aca="false">IF(O19="","",Q19/O19)</f>
        <v>0.359891531874405</v>
      </c>
      <c r="S19" s="20" t="n">
        <f aca="false">SUMIFS(판매현황!$G$3:$G$1000,판매현황!$C$3:$C$1000,LEFT($B19,3),판매현황!$D$3:$D$1000,$C19,판매현황!$F$3:$F$1000,"쿠팡")</f>
        <v>0</v>
      </c>
      <c r="T19" s="20" t="n">
        <f aca="false">SUMIFS(판매현황!$G$3:$G$1000,판매현황!$C$3:$C$1000,LEFT($B19,3),판매현황!$D$3:$D$1000,$C19,판매현황!$F$3:$F$1000,"지마켓")</f>
        <v>0</v>
      </c>
      <c r="U19" s="20" t="n">
        <f aca="false">SUMIFS(판매현황!$G$3:$G$1000,판매현황!$C$3:$C$1000,LEFT($B19,3),판매현황!$D$3:$D$1000,$C19,판매현황!$F$3:$F$1000,"전문몰")</f>
        <v>5</v>
      </c>
      <c r="V19" s="20" t="n">
        <f aca="false">SUMIFS(판매현황!$G$3:$G$1000,판매현황!$C$3:$C$1000,LEFT($B19,3),판매현황!$D$3:$D$1000,$C19,판매현황!$F$3:$F$1000,"11번가")</f>
        <v>0</v>
      </c>
      <c r="W19" s="9" t="str">
        <f aca="false">IF(G19&lt;=0,"품절",IF(E19=0,"미판매","판매중"))</f>
        <v>판매중</v>
      </c>
      <c r="X19" s="21" t="n">
        <f aca="false">유포지!G28</f>
        <v>6</v>
      </c>
      <c r="Y19" s="22" t="s">
        <v>55</v>
      </c>
      <c r="Z19" s="20" t="n">
        <f aca="false">SUMIFS(판매현황!$G$3:$G$1000,판매현황!$C$3:$C$1000,LEFT($B19,3),판매현황!$D$3:$D$1000,$C19)-S19-T19-U19-V19</f>
        <v>0</v>
      </c>
      <c r="AA19" s="13" t="n">
        <f aca="false">E19-F19</f>
        <v>43</v>
      </c>
    </row>
    <row r="20" customFormat="false" ht="15" hidden="false" customHeight="true" outlineLevel="0" collapsed="false">
      <c r="A20" s="9" t="n">
        <v>15</v>
      </c>
      <c r="B20" s="10" t="s">
        <v>50</v>
      </c>
      <c r="C20" s="11" t="s">
        <v>56</v>
      </c>
      <c r="D20" s="12" t="n">
        <v>60</v>
      </c>
      <c r="E20" s="20" t="n">
        <f aca="false">D20-G20</f>
        <v>45</v>
      </c>
      <c r="F20" s="20" t="n">
        <f aca="false">S20+T20+U20+V20+Z20</f>
        <v>12</v>
      </c>
      <c r="G20" s="12" t="n">
        <v>15</v>
      </c>
      <c r="H20" s="30" t="n">
        <f aca="false">COUNTIFS(판매현황!$C$3:$C$1000,LEFT($B20,3),판매현황!$D$3:$D$1000,$C20,판매현황!$G$3:$G$1000,"&gt;0")</f>
        <v>5</v>
      </c>
      <c r="I20" s="15" t="n">
        <f aca="false">IF(E20=0,"",F20/E20)</f>
        <v>0.266666666666667</v>
      </c>
      <c r="J20" s="17" t="n">
        <f aca="false">COUNTIFS($A$5:$A$30,"&gt;0",$G$5:$G$30,"&gt;"&amp;G20)+1</f>
        <v>14</v>
      </c>
      <c r="K20" s="17" t="n">
        <f aca="false">COUNTIFS($A$5:$A$30,"&gt;0",$E$5:$E$30,"&gt;"&amp;E20)+1</f>
        <v>14</v>
      </c>
      <c r="L20" s="17" t="n">
        <v>1000</v>
      </c>
      <c r="M20" s="18" t="n">
        <v>3.1</v>
      </c>
      <c r="N20" s="12" t="n">
        <f aca="false">L20*M20</f>
        <v>3100</v>
      </c>
      <c r="O20" s="12" t="n">
        <v>5445</v>
      </c>
      <c r="P20" s="20" t="n">
        <f aca="false">IF(O20="","",ROUNDDOWN(O20*(1+$C$3),-1))</f>
        <v>5980</v>
      </c>
      <c r="Q20" s="20" t="n">
        <f aca="false">IF(O20="","",O20-O20*$C$2-N20)</f>
        <v>2050.97</v>
      </c>
      <c r="R20" s="15" t="n">
        <f aca="false">IF(O20="","",Q20/O20)</f>
        <v>0.376670339761249</v>
      </c>
      <c r="S20" s="20" t="n">
        <f aca="false">SUMIFS(판매현황!$G$3:$G$1000,판매현황!$C$3:$C$1000,LEFT($B20,3),판매현황!$D$3:$D$1000,$C20,판매현황!$F$3:$F$1000,"쿠팡")</f>
        <v>1</v>
      </c>
      <c r="T20" s="20" t="n">
        <f aca="false">SUMIFS(판매현황!$G$3:$G$1000,판매현황!$C$3:$C$1000,LEFT($B20,3),판매현황!$D$3:$D$1000,$C20,판매현황!$F$3:$F$1000,"지마켓")</f>
        <v>0</v>
      </c>
      <c r="U20" s="20" t="n">
        <f aca="false">SUMIFS(판매현황!$G$3:$G$1000,판매현황!$C$3:$C$1000,LEFT($B20,3),판매현황!$D$3:$D$1000,$C20,판매현황!$F$3:$F$1000,"전문몰")</f>
        <v>11</v>
      </c>
      <c r="V20" s="20" t="n">
        <f aca="false">SUMIFS(판매현황!$G$3:$G$1000,판매현황!$C$3:$C$1000,LEFT($B20,3),판매현황!$D$3:$D$1000,$C20,판매현황!$F$3:$F$1000,"11번가")</f>
        <v>0</v>
      </c>
      <c r="W20" s="9" t="str">
        <f aca="false">IF(G20&lt;=0,"품절",IF(E20=0,"미판매","판매중"))</f>
        <v>판매중</v>
      </c>
      <c r="X20" s="21" t="n">
        <f aca="false">유포지!G29</f>
        <v>6</v>
      </c>
      <c r="Y20" s="22" t="s">
        <v>57</v>
      </c>
      <c r="Z20" s="20" t="n">
        <f aca="false">SUMIFS(판매현황!$G$3:$G$1000,판매현황!$C$3:$C$1000,LEFT($B20,3),판매현황!$D$3:$D$1000,$C20)-S20-T20-U20-V20</f>
        <v>0</v>
      </c>
      <c r="AA20" s="13" t="n">
        <f aca="false">E20-F20</f>
        <v>33</v>
      </c>
    </row>
    <row r="21" customFormat="false" ht="15" hidden="false" customHeight="true" outlineLevel="0" collapsed="false">
      <c r="A21" s="9" t="n">
        <v>16</v>
      </c>
      <c r="B21" s="10" t="s">
        <v>50</v>
      </c>
      <c r="C21" s="11" t="s">
        <v>58</v>
      </c>
      <c r="D21" s="12" t="n">
        <v>50</v>
      </c>
      <c r="E21" s="20" t="n">
        <f aca="false">D21-G21</f>
        <v>0</v>
      </c>
      <c r="F21" s="20" t="n">
        <f aca="false">S21+T21+U21+V21+Z21</f>
        <v>0</v>
      </c>
      <c r="G21" s="12" t="n">
        <v>50</v>
      </c>
      <c r="H21" s="30" t="n">
        <f aca="false">COUNTIFS(판매현황!$C$3:$C$1000,LEFT($B21,3),판매현황!$D$3:$D$1000,$C21,판매현황!$G$3:$G$1000,"&gt;0")</f>
        <v>0</v>
      </c>
      <c r="I21" s="15" t="str">
        <f aca="false">IF(E21=0,"",F21/E21)</f>
        <v/>
      </c>
      <c r="J21" s="17" t="n">
        <f aca="false">COUNTIFS($A$5:$A$30,"&gt;0",$G$5:$G$30,"&gt;"&amp;G21)+1</f>
        <v>6</v>
      </c>
      <c r="K21" s="17" t="n">
        <f aca="false">COUNTIFS($A$5:$A$30,"&gt;0",$E$5:$E$30,"&gt;"&amp;E21)+1</f>
        <v>23</v>
      </c>
      <c r="L21" s="17" t="n">
        <v>1000</v>
      </c>
      <c r="M21" s="18" t="n">
        <v>3.7</v>
      </c>
      <c r="N21" s="12" t="n">
        <f aca="false">L21*M21</f>
        <v>3700</v>
      </c>
      <c r="O21" s="12" t="n">
        <v>6527</v>
      </c>
      <c r="P21" s="20" t="n">
        <f aca="false">IF(O21="","",ROUNDDOWN(O21*(1+$C$3),-1))</f>
        <v>7170</v>
      </c>
      <c r="Q21" s="20" t="n">
        <f aca="false">IF(O21="","",O21-O21*$C$2-N21)</f>
        <v>2474.542</v>
      </c>
      <c r="R21" s="15" t="n">
        <f aca="false">IF(O21="","",Q21/O21)</f>
        <v>0.379123946683009</v>
      </c>
      <c r="S21" s="20" t="n">
        <f aca="false">SUMIFS(판매현황!$G$3:$G$1000,판매현황!$C$3:$C$1000,LEFT($B21,3),판매현황!$D$3:$D$1000,$C21,판매현황!$F$3:$F$1000,"쿠팡")</f>
        <v>0</v>
      </c>
      <c r="T21" s="20" t="n">
        <f aca="false">SUMIFS(판매현황!$G$3:$G$1000,판매현황!$C$3:$C$1000,LEFT($B21,3),판매현황!$D$3:$D$1000,$C21,판매현황!$F$3:$F$1000,"지마켓")</f>
        <v>0</v>
      </c>
      <c r="U21" s="20" t="n">
        <f aca="false">SUMIFS(판매현황!$G$3:$G$1000,판매현황!$C$3:$C$1000,LEFT($B21,3),판매현황!$D$3:$D$1000,$C21,판매현황!$F$3:$F$1000,"전문몰")</f>
        <v>0</v>
      </c>
      <c r="V21" s="20" t="n">
        <f aca="false">SUMIFS(판매현황!$G$3:$G$1000,판매현황!$C$3:$C$1000,LEFT($B21,3),판매현황!$D$3:$D$1000,$C21,판매현황!$F$3:$F$1000,"11번가")</f>
        <v>0</v>
      </c>
      <c r="W21" s="9" t="str">
        <f aca="false">IF(G21&lt;=0,"품절",IF(E21=0,"미판매","판매중"))</f>
        <v>미판매</v>
      </c>
      <c r="X21" s="21" t="n">
        <f aca="false">유포지!G30</f>
        <v>8</v>
      </c>
      <c r="Y21" s="22"/>
      <c r="Z21" s="20" t="n">
        <f aca="false">SUMIFS(판매현황!$G$3:$G$1000,판매현황!$C$3:$C$1000,LEFT($B21,3),판매현황!$D$3:$D$1000,$C21)-S21-T21-U21-V21</f>
        <v>0</v>
      </c>
      <c r="AA21" s="13" t="n">
        <f aca="false">E21-F21</f>
        <v>0</v>
      </c>
    </row>
    <row r="22" customFormat="false" ht="15" hidden="false" customHeight="true" outlineLevel="0" collapsed="false">
      <c r="A22" s="9" t="n">
        <v>17</v>
      </c>
      <c r="B22" s="10" t="s">
        <v>50</v>
      </c>
      <c r="C22" s="11" t="s">
        <v>59</v>
      </c>
      <c r="D22" s="12" t="n">
        <v>50</v>
      </c>
      <c r="E22" s="20" t="n">
        <f aca="false">D22-G22</f>
        <v>14</v>
      </c>
      <c r="F22" s="20" t="n">
        <f aca="false">S22+T22+U22+V22+Z22</f>
        <v>1</v>
      </c>
      <c r="G22" s="12" t="n">
        <v>36</v>
      </c>
      <c r="H22" s="30" t="n">
        <f aca="false">COUNTIFS(판매현황!$C$3:$C$1000,LEFT($B22,3),판매현황!$D$3:$D$1000,$C22,판매현황!$G$3:$G$1000,"&gt;0")</f>
        <v>1</v>
      </c>
      <c r="I22" s="15" t="n">
        <f aca="false">IF(E22=0,"",F22/E22)</f>
        <v>0.0714285714285714</v>
      </c>
      <c r="J22" s="17" t="n">
        <f aca="false">COUNTIFS($A$5:$A$30,"&gt;0",$G$5:$G$30,"&gt;"&amp;G22)+1</f>
        <v>9</v>
      </c>
      <c r="K22" s="17" t="n">
        <f aca="false">COUNTIFS($A$5:$A$30,"&gt;0",$E$5:$E$30,"&gt;"&amp;E22)+1</f>
        <v>20</v>
      </c>
      <c r="L22" s="17" t="n">
        <v>1500</v>
      </c>
      <c r="M22" s="18" t="n">
        <v>3.1</v>
      </c>
      <c r="N22" s="12" t="n">
        <f aca="false">L22*M22</f>
        <v>4650</v>
      </c>
      <c r="O22" s="12" t="n">
        <v>12891</v>
      </c>
      <c r="P22" s="20" t="n">
        <f aca="false">IF(O22="","",ROUNDDOWN(O22*(1+$C$3),-1))</f>
        <v>14180</v>
      </c>
      <c r="Q22" s="20" t="n">
        <f aca="false">IF(O22="","",O22-O22*$C$2-N22)</f>
        <v>7544.886</v>
      </c>
      <c r="R22" s="15" t="n">
        <f aca="false">IF(O22="","",Q22/O22)</f>
        <v>0.585283220851757</v>
      </c>
      <c r="S22" s="20" t="n">
        <f aca="false">SUMIFS(판매현황!$G$3:$G$1000,판매현황!$C$3:$C$1000,LEFT($B22,3),판매현황!$D$3:$D$1000,$C22,판매현황!$F$3:$F$1000,"쿠팡")</f>
        <v>0</v>
      </c>
      <c r="T22" s="20" t="n">
        <f aca="false">SUMIFS(판매현황!$G$3:$G$1000,판매현황!$C$3:$C$1000,LEFT($B22,3),판매현황!$D$3:$D$1000,$C22,판매현황!$F$3:$F$1000,"지마켓")</f>
        <v>0</v>
      </c>
      <c r="U22" s="20" t="n">
        <f aca="false">SUMIFS(판매현황!$G$3:$G$1000,판매현황!$C$3:$C$1000,LEFT($B22,3),판매현황!$D$3:$D$1000,$C22,판매현황!$F$3:$F$1000,"전문몰")</f>
        <v>1</v>
      </c>
      <c r="V22" s="20" t="n">
        <f aca="false">SUMIFS(판매현황!$G$3:$G$1000,판매현황!$C$3:$C$1000,LEFT($B22,3),판매현황!$D$3:$D$1000,$C22,판매현황!$F$3:$F$1000,"11번가")</f>
        <v>0</v>
      </c>
      <c r="W22" s="9" t="str">
        <f aca="false">IF(G22&lt;=0,"품절",IF(E22=0,"미판매","판매중"))</f>
        <v>판매중</v>
      </c>
      <c r="X22" s="21" t="n">
        <f aca="false">유포지!G31</f>
        <v>4</v>
      </c>
      <c r="Y22" s="22" t="s">
        <v>36</v>
      </c>
      <c r="Z22" s="20" t="n">
        <f aca="false">SUMIFS(판매현황!$G$3:$G$1000,판매현황!$C$3:$C$1000,LEFT($B22,3),판매현황!$D$3:$D$1000,$C22)-S22-T22-U22-V22</f>
        <v>0</v>
      </c>
      <c r="AA22" s="13" t="n">
        <f aca="false">E22-F22</f>
        <v>13</v>
      </c>
    </row>
    <row r="23" customFormat="false" ht="15" hidden="false" customHeight="true" outlineLevel="0" collapsed="false">
      <c r="A23" s="9" t="n">
        <v>18</v>
      </c>
      <c r="B23" s="10" t="s">
        <v>53</v>
      </c>
      <c r="C23" s="11" t="s">
        <v>46</v>
      </c>
      <c r="D23" s="12" t="n">
        <v>55</v>
      </c>
      <c r="E23" s="20" t="n">
        <f aca="false">D23-G23</f>
        <v>55</v>
      </c>
      <c r="F23" s="20" t="n">
        <f aca="false">S23+T23+U23+V23+Z23</f>
        <v>2</v>
      </c>
      <c r="G23" s="12" t="n">
        <v>0</v>
      </c>
      <c r="H23" s="30" t="n">
        <f aca="false">COUNTIFS(판매현황!$C$3:$C$1000,LEFT($B23,3),판매현황!$D$3:$D$1000,$C23,판매현황!$G$3:$G$1000,"&gt;0")</f>
        <v>2</v>
      </c>
      <c r="I23" s="15" t="n">
        <f aca="false">IF(E23=0,"",F23/E23)</f>
        <v>0.0363636363636364</v>
      </c>
      <c r="J23" s="17" t="n">
        <f aca="false">COUNTIFS($A$5:$A$30,"&gt;0",$G$5:$G$30,"&gt;"&amp;G23)+1</f>
        <v>21</v>
      </c>
      <c r="K23" s="17" t="n">
        <f aca="false">COUNTIFS($A$5:$A$30,"&gt;0",$E$5:$E$30,"&gt;"&amp;E23)+1</f>
        <v>7</v>
      </c>
      <c r="L23" s="17" t="n">
        <v>850</v>
      </c>
      <c r="M23" s="18" t="n">
        <v>6</v>
      </c>
      <c r="N23" s="12" t="n">
        <f aca="false">L23*M23</f>
        <v>5100</v>
      </c>
      <c r="O23" s="12" t="n">
        <v>9636</v>
      </c>
      <c r="P23" s="20" t="n">
        <f aca="false">IF(O23="","",ROUNDDOWN(O23*(1+$C$3),-1))</f>
        <v>10590</v>
      </c>
      <c r="Q23" s="20" t="n">
        <f aca="false">IF(O23="","",O23-O23*$C$2-N23)</f>
        <v>4015.656</v>
      </c>
      <c r="R23" s="15" t="n">
        <f aca="false">IF(O23="","",Q23/O23)</f>
        <v>0.416734744707347</v>
      </c>
      <c r="S23" s="20" t="n">
        <f aca="false">SUMIFS(판매현황!$G$3:$G$1000,판매현황!$C$3:$C$1000,LEFT($B23,3),판매현황!$D$3:$D$1000,$C23,판매현황!$F$3:$F$1000,"쿠팡")</f>
        <v>1</v>
      </c>
      <c r="T23" s="20" t="n">
        <f aca="false">SUMIFS(판매현황!$G$3:$G$1000,판매현황!$C$3:$C$1000,LEFT($B23,3),판매현황!$D$3:$D$1000,$C23,판매현황!$F$3:$F$1000,"지마켓")</f>
        <v>0</v>
      </c>
      <c r="U23" s="20" t="n">
        <f aca="false">SUMIFS(판매현황!$G$3:$G$1000,판매현황!$C$3:$C$1000,LEFT($B23,3),판매현황!$D$3:$D$1000,$C23,판매현황!$F$3:$F$1000,"전문몰")</f>
        <v>1</v>
      </c>
      <c r="V23" s="20" t="n">
        <f aca="false">SUMIFS(판매현황!$G$3:$G$1000,판매현황!$C$3:$C$1000,LEFT($B23,3),판매현황!$D$3:$D$1000,$C23,판매현황!$F$3:$F$1000,"11번가")</f>
        <v>0</v>
      </c>
      <c r="W23" s="9" t="str">
        <f aca="false">IF(G23&lt;=0,"품절",IF(E23=0,"미판매","판매중"))</f>
        <v>품절</v>
      </c>
      <c r="X23" s="21" t="n">
        <f aca="false">유포지!G32</f>
        <v>8</v>
      </c>
      <c r="Y23" s="22" t="s">
        <v>60</v>
      </c>
      <c r="Z23" s="20" t="n">
        <f aca="false">SUMIFS(판매현황!$G$3:$G$1000,판매현황!$C$3:$C$1000,LEFT($B23,3),판매현황!$D$3:$D$1000,$C23)-S23-T23-U23-V23</f>
        <v>0</v>
      </c>
      <c r="AA23" s="13" t="n">
        <f aca="false">E23-F23</f>
        <v>53</v>
      </c>
    </row>
    <row r="24" customFormat="false" ht="15" hidden="false" customHeight="true" outlineLevel="0" collapsed="false">
      <c r="A24" s="9" t="n">
        <v>19</v>
      </c>
      <c r="B24" s="10" t="s">
        <v>50</v>
      </c>
      <c r="C24" s="11" t="s">
        <v>61</v>
      </c>
      <c r="D24" s="12" t="n">
        <v>50</v>
      </c>
      <c r="E24" s="20" t="n">
        <f aca="false">D24-G24</f>
        <v>42</v>
      </c>
      <c r="F24" s="20" t="n">
        <f aca="false">S24+T24+U24+V24+Z24</f>
        <v>19</v>
      </c>
      <c r="G24" s="12" t="n">
        <v>8</v>
      </c>
      <c r="H24" s="30" t="n">
        <f aca="false">COUNTIFS(판매현황!$C$3:$C$1000,LEFT($B24,3),판매현황!$D$3:$D$1000,$C24,판매현황!$G$3:$G$1000,"&gt;0")</f>
        <v>1</v>
      </c>
      <c r="I24" s="15" t="n">
        <f aca="false">IF(E24=0,"",F24/E24)</f>
        <v>0.452380952380952</v>
      </c>
      <c r="J24" s="17" t="n">
        <f aca="false">COUNTIFS($A$5:$A$30,"&gt;0",$G$5:$G$30,"&gt;"&amp;G24)+1</f>
        <v>16</v>
      </c>
      <c r="K24" s="17" t="n">
        <f aca="false">COUNTIFS($A$5:$A$30,"&gt;0",$E$5:$E$30,"&gt;"&amp;E24)+1</f>
        <v>15</v>
      </c>
      <c r="L24" s="17" t="n">
        <v>700</v>
      </c>
      <c r="M24" s="18" t="n">
        <v>7</v>
      </c>
      <c r="N24" s="12" t="n">
        <f aca="false">L24*M24</f>
        <v>4900</v>
      </c>
      <c r="O24" s="12" t="n">
        <v>8118</v>
      </c>
      <c r="P24" s="20" t="n">
        <f aca="false">IF(O24="","",ROUNDDOWN(O24*(1+$C$3),-1))</f>
        <v>8920</v>
      </c>
      <c r="Q24" s="20" t="n">
        <f aca="false">IF(O24="","",O24-O24*$C$2-N24)</f>
        <v>2779.628</v>
      </c>
      <c r="R24" s="15" t="n">
        <f aca="false">IF(O24="","",Q24/O24)</f>
        <v>0.34240305493964</v>
      </c>
      <c r="S24" s="20" t="n">
        <f aca="false">SUMIFS(판매현황!$G$3:$G$1000,판매현황!$C$3:$C$1000,LEFT($B24,3),판매현황!$D$3:$D$1000,$C24,판매현황!$F$3:$F$1000,"쿠팡")</f>
        <v>0</v>
      </c>
      <c r="T24" s="20" t="n">
        <f aca="false">SUMIFS(판매현황!$G$3:$G$1000,판매현황!$C$3:$C$1000,LEFT($B24,3),판매현황!$D$3:$D$1000,$C24,판매현황!$F$3:$F$1000,"지마켓")</f>
        <v>19</v>
      </c>
      <c r="U24" s="20" t="n">
        <f aca="false">SUMIFS(판매현황!$G$3:$G$1000,판매현황!$C$3:$C$1000,LEFT($B24,3),판매현황!$D$3:$D$1000,$C24,판매현황!$F$3:$F$1000,"전문몰")</f>
        <v>0</v>
      </c>
      <c r="V24" s="20" t="n">
        <f aca="false">SUMIFS(판매현황!$G$3:$G$1000,판매현황!$C$3:$C$1000,LEFT($B24,3),판매현황!$D$3:$D$1000,$C24,판매현황!$F$3:$F$1000,"11번가")</f>
        <v>0</v>
      </c>
      <c r="W24" s="9" t="str">
        <f aca="false">IF(G24&lt;=0,"품절",IF(E24=0,"미판매","판매중"))</f>
        <v>판매중</v>
      </c>
      <c r="X24" s="21" t="n">
        <f aca="false">유포지!G33</f>
        <v>8</v>
      </c>
      <c r="Y24" s="22" t="s">
        <v>62</v>
      </c>
      <c r="Z24" s="20" t="n">
        <f aca="false">SUMIFS(판매현황!$G$3:$G$1000,판매현황!$C$3:$C$1000,LEFT($B24,3),판매현황!$D$3:$D$1000,$C24)-S24-T24-U24-V24</f>
        <v>0</v>
      </c>
      <c r="AA24" s="13" t="n">
        <f aca="false">E24-F24</f>
        <v>23</v>
      </c>
    </row>
    <row r="25" customFormat="false" ht="15" hidden="false" customHeight="true" outlineLevel="0" collapsed="false">
      <c r="A25" s="9" t="n">
        <v>20</v>
      </c>
      <c r="B25" s="10" t="s">
        <v>50</v>
      </c>
      <c r="C25" s="11" t="s">
        <v>63</v>
      </c>
      <c r="D25" s="12" t="n">
        <v>50</v>
      </c>
      <c r="E25" s="20" t="n">
        <f aca="false">D25-G25</f>
        <v>23</v>
      </c>
      <c r="F25" s="20" t="n">
        <f aca="false">S25+T25+U25+V25+Z25</f>
        <v>3</v>
      </c>
      <c r="G25" s="12" t="n">
        <v>27</v>
      </c>
      <c r="H25" s="30" t="n">
        <f aca="false">COUNTIFS(판매현황!$C$3:$C$1000,LEFT($B25,3),판매현황!$D$3:$D$1000,$C25,판매현황!$G$3:$G$1000,"&gt;0")</f>
        <v>2</v>
      </c>
      <c r="I25" s="15" t="n">
        <f aca="false">IF(E25=0,"",F25/E25)</f>
        <v>0.130434782608696</v>
      </c>
      <c r="J25" s="17" t="n">
        <f aca="false">COUNTIFS($A$5:$A$30,"&gt;0",$G$5:$G$30,"&gt;"&amp;G25)+1</f>
        <v>12</v>
      </c>
      <c r="K25" s="17" t="n">
        <f aca="false">COUNTIFS($A$5:$A$30,"&gt;0",$E$5:$E$30,"&gt;"&amp;E25)+1</f>
        <v>17</v>
      </c>
      <c r="L25" s="17" t="n">
        <v>625</v>
      </c>
      <c r="M25" s="18" t="n">
        <v>7.9</v>
      </c>
      <c r="N25" s="12" t="n">
        <f aca="false">L25*M25</f>
        <v>4937.5</v>
      </c>
      <c r="O25" s="12" t="n">
        <v>12664</v>
      </c>
      <c r="P25" s="20" t="n">
        <f aca="false">IF(O25="","",ROUNDDOWN(O25*(1+$C$3),-1))</f>
        <v>13930</v>
      </c>
      <c r="Q25" s="20" t="n">
        <f aca="false">IF(O25="","",O25-O25*$C$2-N25)</f>
        <v>7042.644</v>
      </c>
      <c r="R25" s="15" t="n">
        <f aca="false">IF(O25="","",Q25/O25)</f>
        <v>0.556115287428933</v>
      </c>
      <c r="S25" s="20" t="n">
        <f aca="false">SUMIFS(판매현황!$G$3:$G$1000,판매현황!$C$3:$C$1000,LEFT($B25,3),판매현황!$D$3:$D$1000,$C25,판매현황!$F$3:$F$1000,"쿠팡")</f>
        <v>1</v>
      </c>
      <c r="T25" s="20" t="n">
        <f aca="false">SUMIFS(판매현황!$G$3:$G$1000,판매현황!$C$3:$C$1000,LEFT($B25,3),판매현황!$D$3:$D$1000,$C25,판매현황!$F$3:$F$1000,"지마켓")</f>
        <v>0</v>
      </c>
      <c r="U25" s="20" t="n">
        <f aca="false">SUMIFS(판매현황!$G$3:$G$1000,판매현황!$C$3:$C$1000,LEFT($B25,3),판매현황!$D$3:$D$1000,$C25,판매현황!$F$3:$F$1000,"전문몰")</f>
        <v>2</v>
      </c>
      <c r="V25" s="20" t="n">
        <f aca="false">SUMIFS(판매현황!$G$3:$G$1000,판매현황!$C$3:$C$1000,LEFT($B25,3),판매현황!$D$3:$D$1000,$C25,판매현황!$F$3:$F$1000,"11번가")</f>
        <v>0</v>
      </c>
      <c r="W25" s="9" t="str">
        <f aca="false">IF(G25&lt;=0,"품절",IF(E25=0,"미판매","판매중"))</f>
        <v>판매중</v>
      </c>
      <c r="X25" s="21" t="n">
        <f aca="false">유포지!G34</f>
        <v>4</v>
      </c>
      <c r="Y25" s="22" t="s">
        <v>64</v>
      </c>
      <c r="Z25" s="20" t="n">
        <f aca="false">SUMIFS(판매현황!$G$3:$G$1000,판매현황!$C$3:$C$1000,LEFT($B25,3),판매현황!$D$3:$D$1000,$C25)-S25-T25-U25-V25</f>
        <v>0</v>
      </c>
      <c r="AA25" s="13" t="n">
        <f aca="false">E25-F25</f>
        <v>20</v>
      </c>
    </row>
    <row r="26" customFormat="false" ht="15" hidden="false" customHeight="true" outlineLevel="0" collapsed="false">
      <c r="A26" s="9" t="n">
        <v>21</v>
      </c>
      <c r="B26" s="10" t="s">
        <v>53</v>
      </c>
      <c r="C26" s="11" t="s">
        <v>47</v>
      </c>
      <c r="D26" s="12" t="n">
        <v>67</v>
      </c>
      <c r="E26" s="20" t="n">
        <f aca="false">D26-G26</f>
        <v>67</v>
      </c>
      <c r="F26" s="20" t="n">
        <f aca="false">S26+T26+U26+V26+Z26</f>
        <v>14</v>
      </c>
      <c r="G26" s="12" t="n">
        <v>0</v>
      </c>
      <c r="H26" s="30" t="n">
        <f aca="false">COUNTIFS(판매현황!$C$3:$C$1000,LEFT($B26,3),판매현황!$D$3:$D$1000,$C26,판매현황!$G$3:$G$1000,"&gt;0")</f>
        <v>5</v>
      </c>
      <c r="I26" s="15" t="n">
        <f aca="false">IF(E26=0,"",F26/E26)</f>
        <v>0.208955223880597</v>
      </c>
      <c r="J26" s="17" t="n">
        <f aca="false">COUNTIFS($A$5:$A$30,"&gt;0",$G$5:$G$30,"&gt;"&amp;G26)+1</f>
        <v>21</v>
      </c>
      <c r="K26" s="17" t="n">
        <f aca="false">COUNTIFS($A$5:$A$30,"&gt;0",$E$5:$E$30,"&gt;"&amp;E26)+1</f>
        <v>6</v>
      </c>
      <c r="L26" s="17" t="n">
        <v>500</v>
      </c>
      <c r="M26" s="18" t="n">
        <v>8.4</v>
      </c>
      <c r="N26" s="12" t="n">
        <f aca="false">L26*M26</f>
        <v>4200</v>
      </c>
      <c r="O26" s="12" t="n">
        <v>7727</v>
      </c>
      <c r="P26" s="20" t="n">
        <f aca="false">IF(O26="","",ROUNDDOWN(O26*(1+$C$3),-1))</f>
        <v>8490</v>
      </c>
      <c r="Q26" s="20" t="n">
        <f aca="false">IF(O26="","",O26-O26*$C$2-N26)</f>
        <v>3109.742</v>
      </c>
      <c r="R26" s="15" t="n">
        <f aca="false">IF(O26="","",Q26/O26)</f>
        <v>0.402451404167206</v>
      </c>
      <c r="S26" s="20" t="n">
        <f aca="false">SUMIFS(판매현황!$G$3:$G$1000,판매현황!$C$3:$C$1000,LEFT($B26,3),판매현황!$D$3:$D$1000,$C26,판매현황!$F$3:$F$1000,"쿠팡")</f>
        <v>0</v>
      </c>
      <c r="T26" s="20" t="n">
        <f aca="false">SUMIFS(판매현황!$G$3:$G$1000,판매현황!$C$3:$C$1000,LEFT($B26,3),판매현황!$D$3:$D$1000,$C26,판매현황!$F$3:$F$1000,"지마켓")</f>
        <v>0</v>
      </c>
      <c r="U26" s="20" t="n">
        <f aca="false">SUMIFS(판매현황!$G$3:$G$1000,판매현황!$C$3:$C$1000,LEFT($B26,3),판매현황!$D$3:$D$1000,$C26,판매현황!$F$3:$F$1000,"전문몰")</f>
        <v>14</v>
      </c>
      <c r="V26" s="20" t="n">
        <f aca="false">SUMIFS(판매현황!$G$3:$G$1000,판매현황!$C$3:$C$1000,LEFT($B26,3),판매현황!$D$3:$D$1000,$C26,판매현황!$F$3:$F$1000,"11번가")</f>
        <v>0</v>
      </c>
      <c r="W26" s="9" t="str">
        <f aca="false">IF(G26&lt;=0,"품절",IF(E26=0,"미판매","판매중"))</f>
        <v>품절</v>
      </c>
      <c r="X26" s="21" t="n">
        <f aca="false">유포지!G35</f>
        <v>9</v>
      </c>
      <c r="Y26" s="22" t="s">
        <v>65</v>
      </c>
      <c r="Z26" s="20" t="n">
        <f aca="false">SUMIFS(판매현황!$G$3:$G$1000,판매현황!$C$3:$C$1000,LEFT($B26,3),판매현황!$D$3:$D$1000,$C26)-S26-T26-U26-V26</f>
        <v>0</v>
      </c>
      <c r="AA26" s="13" t="n">
        <f aca="false">E26-F26</f>
        <v>53</v>
      </c>
    </row>
    <row r="27" customFormat="false" ht="15" hidden="false" customHeight="true" outlineLevel="0" collapsed="false">
      <c r="A27" s="9" t="n">
        <v>22</v>
      </c>
      <c r="B27" s="10" t="s">
        <v>50</v>
      </c>
      <c r="C27" s="11" t="s">
        <v>66</v>
      </c>
      <c r="D27" s="12" t="n">
        <v>50</v>
      </c>
      <c r="E27" s="20" t="n">
        <f aca="false">D27-G27</f>
        <v>48</v>
      </c>
      <c r="F27" s="20" t="n">
        <f aca="false">S27+T27+U27+V27+Z27</f>
        <v>5</v>
      </c>
      <c r="G27" s="12" t="n">
        <v>2</v>
      </c>
      <c r="H27" s="30" t="n">
        <f aca="false">COUNTIFS(판매현황!$C$3:$C$1000,LEFT($B27,3),판매현황!$D$3:$D$1000,$C27,판매현황!$G$3:$G$1000,"&gt;0")</f>
        <v>1</v>
      </c>
      <c r="I27" s="15" t="n">
        <f aca="false">IF(E27=0,"",F27/E27)</f>
        <v>0.104166666666667</v>
      </c>
      <c r="J27" s="17" t="n">
        <f aca="false">COUNTIFS($A$5:$A$30,"&gt;0",$G$5:$G$30,"&gt;"&amp;G27)+1</f>
        <v>18</v>
      </c>
      <c r="K27" s="17" t="n">
        <f aca="false">COUNTIFS($A$5:$A$30,"&gt;0",$E$5:$E$30,"&gt;"&amp;E27)+1</f>
        <v>12</v>
      </c>
      <c r="L27" s="17" t="n">
        <v>400</v>
      </c>
      <c r="M27" s="18" t="n">
        <v>12.6</v>
      </c>
      <c r="N27" s="12" t="n">
        <f aca="false">L27*M27</f>
        <v>5040</v>
      </c>
      <c r="O27" s="12" t="n">
        <v>9273</v>
      </c>
      <c r="P27" s="20" t="n">
        <f aca="false">IF(O27="","",ROUNDDOWN(O27*(1+$C$3),-1))</f>
        <v>10200</v>
      </c>
      <c r="Q27" s="20" t="n">
        <f aca="false">IF(O27="","",O27-O27*$C$2-N27)</f>
        <v>3732.258</v>
      </c>
      <c r="R27" s="15" t="n">
        <f aca="false">IF(O27="","",Q27/O27)</f>
        <v>0.402486573924296</v>
      </c>
      <c r="S27" s="20" t="n">
        <f aca="false">SUMIFS(판매현황!$G$3:$G$1000,판매현황!$C$3:$C$1000,LEFT($B27,3),판매현황!$D$3:$D$1000,$C27,판매현황!$F$3:$F$1000,"쿠팡")</f>
        <v>0</v>
      </c>
      <c r="T27" s="20" t="n">
        <f aca="false">SUMIFS(판매현황!$G$3:$G$1000,판매현황!$C$3:$C$1000,LEFT($B27,3),판매현황!$D$3:$D$1000,$C27,판매현황!$F$3:$F$1000,"지마켓")</f>
        <v>0</v>
      </c>
      <c r="U27" s="20" t="n">
        <f aca="false">SUMIFS(판매현황!$G$3:$G$1000,판매현황!$C$3:$C$1000,LEFT($B27,3),판매현황!$D$3:$D$1000,$C27,판매현황!$F$3:$F$1000,"전문몰")</f>
        <v>5</v>
      </c>
      <c r="V27" s="20" t="n">
        <f aca="false">SUMIFS(판매현황!$G$3:$G$1000,판매현황!$C$3:$C$1000,LEFT($B27,3),판매현황!$D$3:$D$1000,$C27,판매현황!$F$3:$F$1000,"11번가")</f>
        <v>0</v>
      </c>
      <c r="W27" s="9" t="str">
        <f aca="false">IF(G27&lt;=0,"품절",IF(E27=0,"미판매","판매중"))</f>
        <v>판매중</v>
      </c>
      <c r="X27" s="21" t="n">
        <f aca="false">유포지!G36</f>
        <v>7</v>
      </c>
      <c r="Y27" s="22" t="s">
        <v>55</v>
      </c>
      <c r="Z27" s="20" t="n">
        <f aca="false">SUMIFS(판매현황!$G$3:$G$1000,판매현황!$C$3:$C$1000,LEFT($B27,3),판매현황!$D$3:$D$1000,$C27)-S27-T27-U27-V27</f>
        <v>0</v>
      </c>
      <c r="AA27" s="13" t="n">
        <f aca="false">E27-F27</f>
        <v>43</v>
      </c>
    </row>
    <row r="28" customFormat="false" ht="15" hidden="false" customHeight="true" outlineLevel="0" collapsed="false">
      <c r="A28" s="24"/>
      <c r="B28" s="25" t="s">
        <v>67</v>
      </c>
      <c r="C28" s="24"/>
      <c r="D28" s="26" t="n">
        <f aca="false">SUM(D16:D27)</f>
        <v>692</v>
      </c>
      <c r="E28" s="26" t="n">
        <f aca="false">SUM(E16:E27)</f>
        <v>404</v>
      </c>
      <c r="F28" s="26" t="n">
        <f aca="false">SUM(F16:F27)</f>
        <v>123</v>
      </c>
      <c r="G28" s="26" t="n">
        <f aca="false">SUM(G16:G27)</f>
        <v>288</v>
      </c>
      <c r="H28" s="26" t="n">
        <f aca="false">SUM(H16:H27)</f>
        <v>25</v>
      </c>
      <c r="I28" s="27"/>
      <c r="J28" s="27"/>
      <c r="K28" s="27"/>
      <c r="L28" s="27"/>
      <c r="M28" s="28"/>
      <c r="N28" s="26"/>
      <c r="O28" s="26"/>
      <c r="P28" s="29"/>
      <c r="Q28" s="24"/>
      <c r="R28" s="24"/>
      <c r="S28" s="26" t="n">
        <f aca="false">SUM(S16:S27)</f>
        <v>5</v>
      </c>
      <c r="T28" s="26" t="n">
        <f aca="false">SUM(T16:T27)</f>
        <v>19</v>
      </c>
      <c r="U28" s="26" t="n">
        <f aca="false">SUM(U16:U27)</f>
        <v>99</v>
      </c>
      <c r="V28" s="26" t="n">
        <f aca="false">SUM(V16:V27)</f>
        <v>0</v>
      </c>
      <c r="W28" s="27"/>
      <c r="X28" s="27"/>
      <c r="Y28" s="27"/>
      <c r="Z28" s="26" t="n">
        <f aca="false">SUM(Z16:Z27)</f>
        <v>0</v>
      </c>
      <c r="AA28" s="26" t="n">
        <f aca="false">SUM(AA16:AA27)</f>
        <v>281</v>
      </c>
    </row>
    <row r="29" customFormat="false" ht="15" hidden="false" customHeight="true" outlineLevel="0" collapsed="false">
      <c r="A29" s="9" t="n">
        <v>23</v>
      </c>
      <c r="B29" s="10" t="s">
        <v>68</v>
      </c>
      <c r="C29" s="11" t="s">
        <v>69</v>
      </c>
      <c r="D29" s="12" t="n">
        <v>56</v>
      </c>
      <c r="E29" s="20" t="n">
        <f aca="false">D29-G29</f>
        <v>16</v>
      </c>
      <c r="F29" s="20" t="n">
        <f aca="false">S29+T29+U29+V29+Z29</f>
        <v>11</v>
      </c>
      <c r="G29" s="12" t="n">
        <v>40</v>
      </c>
      <c r="H29" s="30" t="n">
        <f aca="false">COUNTIFS(판매현황!$C$3:$C$1000,LEFT($B29,3),판매현황!$D$3:$D$1000,$C29,판매현황!$G$3:$G$1000,"&gt;0")</f>
        <v>2</v>
      </c>
      <c r="I29" s="15" t="n">
        <f aca="false">IF(E29=0,"",F29/E29)</f>
        <v>0.6875</v>
      </c>
      <c r="J29" s="17" t="n">
        <f aca="false">COUNTIFS($A$5:$A$30,"&gt;0",$G$5:$G$30,"&gt;"&amp;G29)+1</f>
        <v>8</v>
      </c>
      <c r="K29" s="17" t="n">
        <f aca="false">COUNTIFS($A$5:$A$30,"&gt;0",$E$5:$E$30,"&gt;"&amp;E29)+1</f>
        <v>18</v>
      </c>
      <c r="L29" s="17" t="n">
        <v>900</v>
      </c>
      <c r="M29" s="18" t="n">
        <v>5.2</v>
      </c>
      <c r="N29" s="12" t="n">
        <f aca="false">L29*M29</f>
        <v>4680</v>
      </c>
      <c r="O29" s="12" t="n">
        <v>5090</v>
      </c>
      <c r="P29" s="20" t="n">
        <f aca="false">IF(O29="","",ROUNDDOWN(O29*(1+$C$3),-1))</f>
        <v>5590</v>
      </c>
      <c r="Q29" s="20" t="n">
        <f aca="false">IF(O29="","",O29-O29*$C$2-N29)</f>
        <v>135.14</v>
      </c>
      <c r="R29" s="15" t="n">
        <f aca="false">IF(O29="","",Q29/O29)</f>
        <v>0.0265500982318272</v>
      </c>
      <c r="S29" s="20" t="n">
        <f aca="false">SUMIFS(판매현황!$G$3:$G$1000,판매현황!$C$3:$C$1000,LEFT($B29,3),판매현황!$D$3:$D$1000,$C29,판매현황!$F$3:$F$1000,"쿠팡")</f>
        <v>11</v>
      </c>
      <c r="T29" s="20" t="n">
        <f aca="false">SUMIFS(판매현황!$G$3:$G$1000,판매현황!$C$3:$C$1000,LEFT($B29,3),판매현황!$D$3:$D$1000,$C29,판매현황!$F$3:$F$1000,"지마켓")</f>
        <v>0</v>
      </c>
      <c r="U29" s="20" t="n">
        <f aca="false">SUMIFS(판매현황!$G$3:$G$1000,판매현황!$C$3:$C$1000,LEFT($B29,3),판매현황!$D$3:$D$1000,$C29,판매현황!$F$3:$F$1000,"전문몰")</f>
        <v>0</v>
      </c>
      <c r="V29" s="20" t="n">
        <f aca="false">SUMIFS(판매현황!$G$3:$G$1000,판매현황!$C$3:$C$1000,LEFT($B29,3),판매현황!$D$3:$D$1000,$C29,판매현황!$F$3:$F$1000,"11번가")</f>
        <v>0</v>
      </c>
      <c r="W29" s="9" t="str">
        <f aca="false">IF(G29&lt;=0,"품절",IF(E29=0,"미판매","판매중"))</f>
        <v>판매중</v>
      </c>
      <c r="X29" s="21" t="str">
        <f aca="false">""</f>
        <v/>
      </c>
      <c r="Y29" s="22" t="s">
        <v>70</v>
      </c>
      <c r="Z29" s="20" t="n">
        <f aca="false">SUMIFS(판매현황!$G$3:$G$1000,판매현황!$C$3:$C$1000,LEFT($B29,3),판매현황!$D$3:$D$1000,$C29)-S29-T29-U29-V29</f>
        <v>0</v>
      </c>
      <c r="AA29" s="13" t="n">
        <f aca="false">E29-F29</f>
        <v>5</v>
      </c>
    </row>
    <row r="30" customFormat="false" ht="15" hidden="false" customHeight="true" outlineLevel="0" collapsed="false">
      <c r="A30" s="9" t="n">
        <v>24</v>
      </c>
      <c r="B30" s="10" t="s">
        <v>68</v>
      </c>
      <c r="C30" s="11" t="s">
        <v>47</v>
      </c>
      <c r="D30" s="12" t="n">
        <v>360</v>
      </c>
      <c r="E30" s="20" t="n">
        <f aca="false">D30-G30</f>
        <v>31</v>
      </c>
      <c r="F30" s="20" t="n">
        <f aca="false">S30+T30+U30+V30+Z30</f>
        <v>23</v>
      </c>
      <c r="G30" s="12" t="n">
        <v>329</v>
      </c>
      <c r="H30" s="30" t="n">
        <f aca="false">COUNTIFS(판매현황!$C$3:$C$1000,LEFT($B30,3),판매현황!$D$3:$D$1000,$C30,판매현황!$G$3:$G$1000,"&gt;0")</f>
        <v>3</v>
      </c>
      <c r="I30" s="15" t="n">
        <f aca="false">IF(E30=0,"",F30/E30)</f>
        <v>0.741935483870968</v>
      </c>
      <c r="J30" s="17" t="n">
        <f aca="false">COUNTIFS($A$5:$A$30,"&gt;0",$G$5:$G$30,"&gt;"&amp;G30)+1</f>
        <v>1</v>
      </c>
      <c r="K30" s="17" t="n">
        <f aca="false">COUNTIFS($A$5:$A$30,"&gt;0",$E$5:$E$30,"&gt;"&amp;E30)+1</f>
        <v>16</v>
      </c>
      <c r="L30" s="17" t="n">
        <v>500</v>
      </c>
      <c r="M30" s="18" t="n">
        <v>9.7</v>
      </c>
      <c r="N30" s="12" t="n">
        <f aca="false">L30*M30</f>
        <v>4850</v>
      </c>
      <c r="O30" s="12" t="n">
        <v>6870</v>
      </c>
      <c r="P30" s="20" t="n">
        <f aca="false">IF(O30="","",ROUNDDOWN(O30*(1+$C$3),-1))</f>
        <v>7550</v>
      </c>
      <c r="Q30" s="20" t="n">
        <f aca="false">IF(O30="","",O30-O30*$C$2-N30)</f>
        <v>1649.02</v>
      </c>
      <c r="R30" s="15" t="n">
        <f aca="false">IF(O30="","",Q30/O30)</f>
        <v>0.240032023289665</v>
      </c>
      <c r="S30" s="20" t="n">
        <f aca="false">SUMIFS(판매현황!$G$3:$G$1000,판매현황!$C$3:$C$1000,LEFT($B30,3),판매현황!$D$3:$D$1000,$C30,판매현황!$F$3:$F$1000,"쿠팡")</f>
        <v>0</v>
      </c>
      <c r="T30" s="20" t="n">
        <f aca="false">SUMIFS(판매현황!$G$3:$G$1000,판매현황!$C$3:$C$1000,LEFT($B30,3),판매현황!$D$3:$D$1000,$C30,판매현황!$F$3:$F$1000,"지마켓")</f>
        <v>17</v>
      </c>
      <c r="U30" s="20" t="n">
        <f aca="false">SUMIFS(판매현황!$G$3:$G$1000,판매현황!$C$3:$C$1000,LEFT($B30,3),판매현황!$D$3:$D$1000,$C30,판매현황!$F$3:$F$1000,"전문몰")</f>
        <v>0</v>
      </c>
      <c r="V30" s="20" t="n">
        <f aca="false">SUMIFS(판매현황!$G$3:$G$1000,판매현황!$C$3:$C$1000,LEFT($B30,3),판매현황!$D$3:$D$1000,$C30,판매현황!$F$3:$F$1000,"11번가")</f>
        <v>0</v>
      </c>
      <c r="W30" s="9" t="str">
        <f aca="false">IF(G30&lt;=0,"품절",IF(E30=0,"미판매","판매중"))</f>
        <v>판매중</v>
      </c>
      <c r="X30" s="21" t="str">
        <f aca="false">""</f>
        <v/>
      </c>
      <c r="Y30" s="22" t="s">
        <v>71</v>
      </c>
      <c r="Z30" s="20" t="n">
        <f aca="false">SUMIFS(판매현황!$G$3:$G$1000,판매현황!$C$3:$C$1000,LEFT($B30,3),판매현황!$D$3:$D$1000,$C30)-S30-T30-U30-V30</f>
        <v>6</v>
      </c>
      <c r="AA30" s="13" t="n">
        <f aca="false">E30-F30</f>
        <v>8</v>
      </c>
    </row>
    <row r="31" customFormat="false" ht="15" hidden="false" customHeight="true" outlineLevel="0" collapsed="false">
      <c r="A31" s="24"/>
      <c r="B31" s="25" t="s">
        <v>72</v>
      </c>
      <c r="C31" s="24"/>
      <c r="D31" s="26" t="n">
        <f aca="false">SUM(D29:D30)</f>
        <v>416</v>
      </c>
      <c r="E31" s="26" t="n">
        <f aca="false">SUM(E29:E30)</f>
        <v>47</v>
      </c>
      <c r="F31" s="26" t="n">
        <f aca="false">SUM(F29:F30)</f>
        <v>34</v>
      </c>
      <c r="G31" s="26" t="n">
        <f aca="false">SUM(G29:G30)</f>
        <v>369</v>
      </c>
      <c r="H31" s="26" t="n">
        <f aca="false">SUM(H29:H30)</f>
        <v>5</v>
      </c>
      <c r="I31" s="27"/>
      <c r="J31" s="27"/>
      <c r="K31" s="27"/>
      <c r="L31" s="27"/>
      <c r="M31" s="27"/>
      <c r="N31" s="26"/>
      <c r="O31" s="26"/>
      <c r="P31" s="29" t="n">
        <f aca="false">E31/D31</f>
        <v>0.112980769230769</v>
      </c>
      <c r="Q31" s="24"/>
      <c r="R31" s="24"/>
      <c r="S31" s="26" t="n">
        <f aca="false">SUM(S29:S30)</f>
        <v>11</v>
      </c>
      <c r="T31" s="26" t="n">
        <f aca="false">SUM(T29:T30)</f>
        <v>17</v>
      </c>
      <c r="U31" s="26" t="n">
        <f aca="false">SUM(U29:U30)</f>
        <v>0</v>
      </c>
      <c r="V31" s="26" t="n">
        <f aca="false">SUM(V29:V30)</f>
        <v>0</v>
      </c>
      <c r="W31" s="27"/>
      <c r="X31" s="27"/>
      <c r="Y31" s="27"/>
      <c r="Z31" s="26" t="n">
        <f aca="false">SUM(Z29:Z30)</f>
        <v>6</v>
      </c>
      <c r="AA31" s="26" t="n">
        <f aca="false">SUM(AA29:AA30)</f>
        <v>13</v>
      </c>
    </row>
    <row r="32" customFormat="false" ht="15" hidden="false" customHeight="true" outlineLevel="0" collapsed="false">
      <c r="A32" s="31"/>
      <c r="B32" s="32" t="s">
        <v>73</v>
      </c>
      <c r="C32" s="31"/>
      <c r="D32" s="33" t="n">
        <f aca="false">D15+D28+D31</f>
        <v>1998</v>
      </c>
      <c r="E32" s="33" t="n">
        <f aca="false">E15+E28+E31</f>
        <v>1004</v>
      </c>
      <c r="F32" s="33" t="n">
        <f aca="false">F15+F28+F31</f>
        <v>228</v>
      </c>
      <c r="G32" s="33" t="n">
        <f aca="false">G15+G28+G31</f>
        <v>994</v>
      </c>
      <c r="H32" s="33" t="n">
        <f aca="false">H15+H28+H31</f>
        <v>48</v>
      </c>
      <c r="I32" s="34"/>
      <c r="J32" s="34"/>
      <c r="K32" s="34"/>
      <c r="L32" s="34"/>
      <c r="M32" s="34"/>
      <c r="N32" s="33"/>
      <c r="O32" s="33"/>
      <c r="P32" s="35"/>
      <c r="Q32" s="31"/>
      <c r="R32" s="31"/>
      <c r="S32" s="33" t="n">
        <f aca="false">S15+S28+S31</f>
        <v>36</v>
      </c>
      <c r="T32" s="33" t="n">
        <f aca="false">T15+T28+T31</f>
        <v>61</v>
      </c>
      <c r="U32" s="33" t="n">
        <f aca="false">U15+U28+U31</f>
        <v>125</v>
      </c>
      <c r="V32" s="33" t="n">
        <f aca="false">V15+V28+V31</f>
        <v>0</v>
      </c>
      <c r="W32" s="34"/>
      <c r="X32" s="34"/>
      <c r="Y32" s="34"/>
      <c r="Z32" s="33" t="n">
        <f aca="false">Z15+Z28+Z31</f>
        <v>6</v>
      </c>
      <c r="AA32" s="33" t="n">
        <f aca="false">AA15+AA28+AA31</f>
        <v>776</v>
      </c>
    </row>
    <row r="33" customFormat="false" ht="15" hidden="false" customHeight="true" outlineLevel="0" collapsed="false">
      <c r="A33" s="36" t="s">
        <v>74</v>
      </c>
      <c r="B33" s="32"/>
      <c r="C33" s="37"/>
      <c r="D33" s="38"/>
      <c r="E33" s="38"/>
      <c r="F33" s="34"/>
      <c r="G33" s="38"/>
      <c r="H33" s="34"/>
      <c r="I33" s="34"/>
      <c r="J33" s="34"/>
      <c r="K33" s="34"/>
      <c r="L33" s="34"/>
      <c r="M33" s="34"/>
      <c r="N33" s="38"/>
      <c r="O33" s="38"/>
      <c r="P33" s="39"/>
      <c r="Q33" s="37"/>
      <c r="R33" s="37"/>
      <c r="S33" s="37"/>
      <c r="T33" s="37"/>
      <c r="U33" s="34"/>
      <c r="V33" s="34"/>
      <c r="W33" s="34"/>
      <c r="X33" s="34"/>
      <c r="Y33" s="34"/>
    </row>
    <row r="34" customFormat="false" ht="17.25" hidden="false" customHeight="true" outlineLevel="0" collapsed="false">
      <c r="A34" s="40" t="s">
        <v>75</v>
      </c>
    </row>
    <row r="35" customFormat="false" ht="16.5" hidden="false" customHeight="true" outlineLevel="0" collapsed="false"/>
    <row r="36" customFormat="false" ht="38.25" hidden="false" customHeight="true" outlineLevel="0" collapsed="false">
      <c r="A36" s="41" t="s">
        <v>76</v>
      </c>
    </row>
    <row r="37" customFormat="false" ht="15" hidden="false" customHeight="true" outlineLevel="0" collapsed="false">
      <c r="A37" s="42" t="s">
        <v>3</v>
      </c>
      <c r="B37" s="43" t="s">
        <v>4</v>
      </c>
      <c r="C37" s="43" t="s">
        <v>5</v>
      </c>
      <c r="D37" s="43" t="s">
        <v>77</v>
      </c>
      <c r="E37" s="43" t="s">
        <v>78</v>
      </c>
      <c r="F37" s="42" t="s">
        <v>79</v>
      </c>
      <c r="G37" s="43" t="s">
        <v>80</v>
      </c>
      <c r="H37" s="43" t="s">
        <v>81</v>
      </c>
      <c r="I37" s="43" t="s">
        <v>82</v>
      </c>
    </row>
    <row r="38" customFormat="false" ht="15" hidden="false" customHeight="true" outlineLevel="0" collapsed="false">
      <c r="A38" s="17" t="n">
        <f aca="false">A5</f>
        <v>1</v>
      </c>
      <c r="B38" s="9" t="str">
        <f aca="false">B5</f>
        <v>아트지</v>
      </c>
      <c r="C38" s="9" t="str">
        <f aca="false">C5</f>
        <v>35*20</v>
      </c>
      <c r="D38" s="20" t="n">
        <f aca="false">S5</f>
        <v>0</v>
      </c>
      <c r="E38" s="20" t="n">
        <f aca="false">T5</f>
        <v>0</v>
      </c>
      <c r="F38" s="20" t="n">
        <f aca="false">V5</f>
        <v>0</v>
      </c>
      <c r="G38" s="20" t="n">
        <f aca="false">U5</f>
        <v>0</v>
      </c>
      <c r="H38" s="20" t="n">
        <f aca="false">Z5</f>
        <v>0</v>
      </c>
      <c r="I38" s="20" t="n">
        <f aca="false">E5</f>
        <v>16</v>
      </c>
    </row>
    <row r="39" customFormat="false" ht="15" hidden="false" customHeight="true" outlineLevel="0" collapsed="false">
      <c r="A39" s="17" t="n">
        <f aca="false">A6</f>
        <v>2</v>
      </c>
      <c r="B39" s="9" t="str">
        <f aca="false">B6</f>
        <v>아트지</v>
      </c>
      <c r="C39" s="9" t="str">
        <f aca="false">C6</f>
        <v>40*20</v>
      </c>
      <c r="D39" s="20" t="n">
        <f aca="false">S6</f>
        <v>12</v>
      </c>
      <c r="E39" s="20" t="n">
        <f aca="false">T6</f>
        <v>0</v>
      </c>
      <c r="F39" s="20" t="n">
        <f aca="false">V6</f>
        <v>0</v>
      </c>
      <c r="G39" s="20" t="n">
        <f aca="false">U6</f>
        <v>2</v>
      </c>
      <c r="H39" s="20" t="n">
        <f aca="false">Z6</f>
        <v>0</v>
      </c>
      <c r="I39" s="20" t="n">
        <f aca="false">E6</f>
        <v>71</v>
      </c>
    </row>
    <row r="40" customFormat="false" ht="15" hidden="false" customHeight="true" outlineLevel="0" collapsed="false">
      <c r="A40" s="17" t="n">
        <f aca="false">A7</f>
        <v>3</v>
      </c>
      <c r="B40" s="9" t="str">
        <f aca="false">B7</f>
        <v>아트지</v>
      </c>
      <c r="C40" s="9" t="str">
        <f aca="false">C7</f>
        <v>50*30</v>
      </c>
      <c r="D40" s="20" t="n">
        <f aca="false">S7</f>
        <v>0</v>
      </c>
      <c r="E40" s="20" t="n">
        <f aca="false">T7</f>
        <v>0</v>
      </c>
      <c r="F40" s="20" t="n">
        <f aca="false">V7</f>
        <v>0</v>
      </c>
      <c r="G40" s="20" t="n">
        <f aca="false">U7</f>
        <v>0</v>
      </c>
      <c r="H40" s="20" t="n">
        <f aca="false">Z7</f>
        <v>0</v>
      </c>
      <c r="I40" s="20" t="n">
        <f aca="false">E7</f>
        <v>78</v>
      </c>
    </row>
    <row r="41" customFormat="false" ht="15" hidden="false" customHeight="true" outlineLevel="0" collapsed="false">
      <c r="A41" s="17" t="n">
        <f aca="false">A8</f>
        <v>4</v>
      </c>
      <c r="B41" s="9" t="str">
        <f aca="false">B8</f>
        <v>아트지</v>
      </c>
      <c r="C41" s="9" t="str">
        <f aca="false">C8</f>
        <v>50*50</v>
      </c>
      <c r="D41" s="20" t="n">
        <f aca="false">S8</f>
        <v>2</v>
      </c>
      <c r="E41" s="20" t="n">
        <f aca="false">T8</f>
        <v>20</v>
      </c>
      <c r="F41" s="20" t="n">
        <f aca="false">V8</f>
        <v>0</v>
      </c>
      <c r="G41" s="20" t="n">
        <f aca="false">U8</f>
        <v>0</v>
      </c>
      <c r="H41" s="20" t="n">
        <f aca="false">Z8</f>
        <v>0</v>
      </c>
      <c r="I41" s="20" t="n">
        <f aca="false">E8</f>
        <v>52</v>
      </c>
    </row>
    <row r="42" customFormat="false" ht="15" hidden="false" customHeight="true" outlineLevel="0" collapsed="false">
      <c r="A42" s="17" t="n">
        <f aca="false">A9</f>
        <v>5</v>
      </c>
      <c r="B42" s="9" t="str">
        <f aca="false">B9</f>
        <v>아트지</v>
      </c>
      <c r="C42" s="9" t="str">
        <f aca="false">C9</f>
        <v>60*40</v>
      </c>
      <c r="D42" s="20" t="n">
        <f aca="false">S9</f>
        <v>4</v>
      </c>
      <c r="E42" s="20" t="n">
        <f aca="false">T9</f>
        <v>0</v>
      </c>
      <c r="F42" s="20" t="n">
        <f aca="false">V9</f>
        <v>0</v>
      </c>
      <c r="G42" s="20" t="n">
        <f aca="false">U9</f>
        <v>5</v>
      </c>
      <c r="H42" s="20" t="n">
        <f aca="false">Z9</f>
        <v>0</v>
      </c>
      <c r="I42" s="20" t="n">
        <f aca="false">E9</f>
        <v>9</v>
      </c>
    </row>
    <row r="43" customFormat="false" ht="15" hidden="false" customHeight="true" outlineLevel="0" collapsed="false">
      <c r="A43" s="17" t="n">
        <f aca="false">A10</f>
        <v>6</v>
      </c>
      <c r="B43" s="9" t="str">
        <f aca="false">B10</f>
        <v>아트지/품절</v>
      </c>
      <c r="C43" s="9" t="str">
        <f aca="false">C10</f>
        <v>70*40</v>
      </c>
      <c r="D43" s="20" t="n">
        <f aca="false">S10</f>
        <v>0</v>
      </c>
      <c r="E43" s="20" t="n">
        <f aca="false">T10</f>
        <v>0</v>
      </c>
      <c r="F43" s="20" t="n">
        <f aca="false">V10</f>
        <v>0</v>
      </c>
      <c r="G43" s="20" t="n">
        <f aca="false">U10</f>
        <v>0</v>
      </c>
      <c r="H43" s="20" t="n">
        <f aca="false">Z10</f>
        <v>0</v>
      </c>
      <c r="I43" s="20" t="n">
        <f aca="false">E10</f>
        <v>50</v>
      </c>
    </row>
    <row r="44" customFormat="false" ht="15" hidden="false" customHeight="true" outlineLevel="0" collapsed="false">
      <c r="A44" s="17" t="n">
        <f aca="false">A11</f>
        <v>7</v>
      </c>
      <c r="B44" s="9" t="str">
        <f aca="false">B11</f>
        <v>아트지</v>
      </c>
      <c r="C44" s="9" t="str">
        <f aca="false">C11</f>
        <v>80*60</v>
      </c>
      <c r="D44" s="20" t="n">
        <f aca="false">S11</f>
        <v>0</v>
      </c>
      <c r="E44" s="20" t="n">
        <f aca="false">T11</f>
        <v>0</v>
      </c>
      <c r="F44" s="20" t="n">
        <f aca="false">V11</f>
        <v>0</v>
      </c>
      <c r="G44" s="20" t="n">
        <f aca="false">U11</f>
        <v>2</v>
      </c>
      <c r="H44" s="20" t="n">
        <f aca="false">Z11</f>
        <v>0</v>
      </c>
      <c r="I44" s="20" t="n">
        <f aca="false">E11</f>
        <v>87</v>
      </c>
    </row>
    <row r="45" customFormat="false" ht="15" hidden="false" customHeight="true" outlineLevel="0" collapsed="false">
      <c r="A45" s="17" t="n">
        <f aca="false">A12</f>
        <v>8</v>
      </c>
      <c r="B45" s="9" t="str">
        <f aca="false">B12</f>
        <v>아트지</v>
      </c>
      <c r="C45" s="9" t="str">
        <f aca="false">C12</f>
        <v>100*60</v>
      </c>
      <c r="D45" s="20" t="n">
        <f aca="false">S12</f>
        <v>2</v>
      </c>
      <c r="E45" s="20" t="n">
        <f aca="false">T12</f>
        <v>5</v>
      </c>
      <c r="F45" s="20" t="n">
        <f aca="false">V12</f>
        <v>0</v>
      </c>
      <c r="G45" s="20" t="n">
        <f aca="false">U12</f>
        <v>6</v>
      </c>
      <c r="H45" s="20" t="n">
        <f aca="false">Z12</f>
        <v>0</v>
      </c>
      <c r="I45" s="20" t="n">
        <f aca="false">E12</f>
        <v>72</v>
      </c>
    </row>
    <row r="46" customFormat="false" ht="15" hidden="false" customHeight="true" outlineLevel="0" collapsed="false">
      <c r="A46" s="17" t="n">
        <f aca="false">A13</f>
        <v>9</v>
      </c>
      <c r="B46" s="9" t="str">
        <f aca="false">B13</f>
        <v>아트지</v>
      </c>
      <c r="C46" s="9" t="str">
        <f aca="false">C13</f>
        <v>100*70</v>
      </c>
      <c r="D46" s="20" t="n">
        <f aca="false">S13</f>
        <v>0</v>
      </c>
      <c r="E46" s="20" t="n">
        <f aca="false">T13</f>
        <v>0</v>
      </c>
      <c r="F46" s="20" t="n">
        <f aca="false">V13</f>
        <v>0</v>
      </c>
      <c r="G46" s="20" t="n">
        <f aca="false">U13</f>
        <v>0</v>
      </c>
      <c r="H46" s="20" t="n">
        <f aca="false">Z13</f>
        <v>0</v>
      </c>
      <c r="I46" s="20" t="n">
        <f aca="false">E13</f>
        <v>68</v>
      </c>
    </row>
    <row r="47" customFormat="false" ht="15" hidden="false" customHeight="true" outlineLevel="0" collapsed="false">
      <c r="A47" s="17" t="n">
        <f aca="false">A14</f>
        <v>10</v>
      </c>
      <c r="B47" s="9" t="str">
        <f aca="false">B14</f>
        <v>아트지</v>
      </c>
      <c r="C47" s="9" t="str">
        <f aca="false">C14</f>
        <v>100*100</v>
      </c>
      <c r="D47" s="20" t="n">
        <f aca="false">S14</f>
        <v>0</v>
      </c>
      <c r="E47" s="20" t="n">
        <f aca="false">T14</f>
        <v>0</v>
      </c>
      <c r="F47" s="20" t="n">
        <f aca="false">V14</f>
        <v>0</v>
      </c>
      <c r="G47" s="20" t="n">
        <f aca="false">U14</f>
        <v>11</v>
      </c>
      <c r="H47" s="20" t="n">
        <f aca="false">Z14</f>
        <v>0</v>
      </c>
      <c r="I47" s="20" t="n">
        <f aca="false">E14</f>
        <v>50</v>
      </c>
    </row>
    <row r="48" customFormat="false" ht="15" hidden="false" customHeight="true" outlineLevel="0" collapsed="false">
      <c r="A48" s="17" t="n">
        <f aca="false">A16</f>
        <v>11</v>
      </c>
      <c r="B48" s="9" t="str">
        <f aca="false">B16</f>
        <v>유포지</v>
      </c>
      <c r="C48" s="9" t="str">
        <f aca="false">C16</f>
        <v>30*15</v>
      </c>
      <c r="D48" s="20" t="n">
        <f aca="false">S16</f>
        <v>2</v>
      </c>
      <c r="E48" s="20" t="n">
        <f aca="false">T16</f>
        <v>0</v>
      </c>
      <c r="F48" s="20" t="n">
        <f aca="false">V16</f>
        <v>0</v>
      </c>
      <c r="G48" s="20" t="n">
        <f aca="false">U16</f>
        <v>10</v>
      </c>
      <c r="H48" s="20" t="n">
        <f aca="false">Z16</f>
        <v>0</v>
      </c>
      <c r="I48" s="20" t="n">
        <f aca="false">E16</f>
        <v>12</v>
      </c>
    </row>
    <row r="49" customFormat="false" ht="15" hidden="false" customHeight="true" outlineLevel="0" collapsed="false">
      <c r="A49" s="17" t="n">
        <f aca="false">A17</f>
        <v>12</v>
      </c>
      <c r="B49" s="9" t="str">
        <f aca="false">B17</f>
        <v>유포지</v>
      </c>
      <c r="C49" s="9" t="str">
        <f aca="false">C17</f>
        <v>40*20</v>
      </c>
      <c r="D49" s="20" t="n">
        <f aca="false">S17</f>
        <v>0</v>
      </c>
      <c r="E49" s="20" t="n">
        <f aca="false">T17</f>
        <v>0</v>
      </c>
      <c r="F49" s="20" t="n">
        <f aca="false">V17</f>
        <v>0</v>
      </c>
      <c r="G49" s="20" t="n">
        <f aca="false">U17</f>
        <v>0</v>
      </c>
      <c r="H49" s="20" t="n">
        <f aca="false">Z17</f>
        <v>0</v>
      </c>
      <c r="I49" s="20" t="n">
        <f aca="false">E17</f>
        <v>0</v>
      </c>
    </row>
    <row r="50" customFormat="false" ht="15" hidden="false" customHeight="true" outlineLevel="0" collapsed="false">
      <c r="A50" s="17" t="n">
        <f aca="false">A18</f>
        <v>13</v>
      </c>
      <c r="B50" s="9" t="str">
        <f aca="false">B18</f>
        <v>유포지/품절</v>
      </c>
      <c r="C50" s="9" t="str">
        <f aca="false">C18</f>
        <v>50*30</v>
      </c>
      <c r="D50" s="20" t="n">
        <f aca="false">S18</f>
        <v>0</v>
      </c>
      <c r="E50" s="20" t="n">
        <f aca="false">T18</f>
        <v>0</v>
      </c>
      <c r="F50" s="20" t="n">
        <f aca="false">V18</f>
        <v>0</v>
      </c>
      <c r="G50" s="20" t="n">
        <f aca="false">U18</f>
        <v>50</v>
      </c>
      <c r="H50" s="20" t="n">
        <f aca="false">Z18</f>
        <v>0</v>
      </c>
      <c r="I50" s="20" t="n">
        <f aca="false">E18</f>
        <v>50</v>
      </c>
    </row>
    <row r="51" customFormat="false" ht="15" hidden="false" customHeight="true" outlineLevel="0" collapsed="false">
      <c r="A51" s="17" t="n">
        <f aca="false">A19</f>
        <v>14</v>
      </c>
      <c r="B51" s="9" t="str">
        <f aca="false">B19</f>
        <v>유포지</v>
      </c>
      <c r="C51" s="9" t="str">
        <f aca="false">C19</f>
        <v>60*40</v>
      </c>
      <c r="D51" s="20" t="n">
        <f aca="false">S19</f>
        <v>0</v>
      </c>
      <c r="E51" s="20" t="n">
        <f aca="false">T19</f>
        <v>0</v>
      </c>
      <c r="F51" s="20" t="n">
        <f aca="false">V19</f>
        <v>0</v>
      </c>
      <c r="G51" s="20" t="n">
        <f aca="false">U19</f>
        <v>5</v>
      </c>
      <c r="H51" s="20" t="n">
        <f aca="false">Z19</f>
        <v>0</v>
      </c>
      <c r="I51" s="20" t="n">
        <f aca="false">E19</f>
        <v>48</v>
      </c>
    </row>
    <row r="52" customFormat="false" ht="15" hidden="false" customHeight="true" outlineLevel="0" collapsed="false">
      <c r="A52" s="17" t="n">
        <f aca="false">A20</f>
        <v>15</v>
      </c>
      <c r="B52" s="9" t="str">
        <f aca="false">B20</f>
        <v>유포지</v>
      </c>
      <c r="C52" s="9" t="str">
        <f aca="false">C20</f>
        <v>70*50</v>
      </c>
      <c r="D52" s="20" t="n">
        <f aca="false">S20</f>
        <v>1</v>
      </c>
      <c r="E52" s="20" t="n">
        <f aca="false">T20</f>
        <v>0</v>
      </c>
      <c r="F52" s="20" t="n">
        <f aca="false">V20</f>
        <v>0</v>
      </c>
      <c r="G52" s="20" t="n">
        <f aca="false">U20</f>
        <v>11</v>
      </c>
      <c r="H52" s="20" t="n">
        <f aca="false">Z20</f>
        <v>0</v>
      </c>
      <c r="I52" s="20" t="n">
        <f aca="false">E20</f>
        <v>45</v>
      </c>
    </row>
    <row r="53" customFormat="false" ht="15" hidden="false" customHeight="true" outlineLevel="0" collapsed="false">
      <c r="A53" s="17" t="n">
        <f aca="false">A21</f>
        <v>16</v>
      </c>
      <c r="B53" s="9" t="str">
        <f aca="false">B21</f>
        <v>유포지</v>
      </c>
      <c r="C53" s="9" t="str">
        <f aca="false">C21</f>
        <v>70*60</v>
      </c>
      <c r="D53" s="20" t="n">
        <f aca="false">S21</f>
        <v>0</v>
      </c>
      <c r="E53" s="20" t="n">
        <f aca="false">T21</f>
        <v>0</v>
      </c>
      <c r="F53" s="20" t="n">
        <f aca="false">V21</f>
        <v>0</v>
      </c>
      <c r="G53" s="20" t="n">
        <f aca="false">U21</f>
        <v>0</v>
      </c>
      <c r="H53" s="20" t="n">
        <f aca="false">Z21</f>
        <v>0</v>
      </c>
      <c r="I53" s="20" t="n">
        <f aca="false">E21</f>
        <v>0</v>
      </c>
    </row>
    <row r="54" customFormat="false" ht="15" hidden="false" customHeight="true" outlineLevel="0" collapsed="false">
      <c r="A54" s="17" t="n">
        <f aca="false">A22</f>
        <v>17</v>
      </c>
      <c r="B54" s="9" t="str">
        <f aca="false">B22</f>
        <v>유포지</v>
      </c>
      <c r="C54" s="9" t="str">
        <f aca="false">C22</f>
        <v>100*35</v>
      </c>
      <c r="D54" s="20" t="n">
        <f aca="false">S22</f>
        <v>0</v>
      </c>
      <c r="E54" s="20" t="n">
        <f aca="false">T22</f>
        <v>0</v>
      </c>
      <c r="F54" s="20" t="n">
        <f aca="false">V22</f>
        <v>0</v>
      </c>
      <c r="G54" s="20" t="n">
        <f aca="false">U22</f>
        <v>1</v>
      </c>
      <c r="H54" s="20" t="n">
        <f aca="false">Z22</f>
        <v>0</v>
      </c>
      <c r="I54" s="20" t="n">
        <f aca="false">E22</f>
        <v>14</v>
      </c>
    </row>
    <row r="55" customFormat="false" ht="15" hidden="false" customHeight="true" outlineLevel="0" collapsed="false">
      <c r="A55" s="17" t="n">
        <f aca="false">A23</f>
        <v>18</v>
      </c>
      <c r="B55" s="9" t="str">
        <f aca="false">B23</f>
        <v>유포지/품절</v>
      </c>
      <c r="C55" s="9" t="str">
        <f aca="false">C23</f>
        <v>100*70</v>
      </c>
      <c r="D55" s="20" t="n">
        <f aca="false">S23</f>
        <v>1</v>
      </c>
      <c r="E55" s="20" t="n">
        <f aca="false">T23</f>
        <v>0</v>
      </c>
      <c r="F55" s="20" t="n">
        <f aca="false">V23</f>
        <v>0</v>
      </c>
      <c r="G55" s="20" t="n">
        <f aca="false">U23</f>
        <v>1</v>
      </c>
      <c r="H55" s="20" t="n">
        <f aca="false">Z23</f>
        <v>0</v>
      </c>
      <c r="I55" s="20" t="n">
        <f aca="false">E23</f>
        <v>55</v>
      </c>
    </row>
    <row r="56" customFormat="false" ht="15" hidden="false" customHeight="true" outlineLevel="0" collapsed="false">
      <c r="A56" s="17" t="n">
        <f aca="false">A24</f>
        <v>19</v>
      </c>
      <c r="B56" s="9" t="str">
        <f aca="false">B24</f>
        <v>유포지</v>
      </c>
      <c r="C56" s="9" t="str">
        <f aca="false">C24</f>
        <v>100*80</v>
      </c>
      <c r="D56" s="20" t="n">
        <f aca="false">S24</f>
        <v>0</v>
      </c>
      <c r="E56" s="20" t="n">
        <f aca="false">T24</f>
        <v>19</v>
      </c>
      <c r="F56" s="20" t="n">
        <f aca="false">V24</f>
        <v>0</v>
      </c>
      <c r="G56" s="20" t="n">
        <f aca="false">U24</f>
        <v>0</v>
      </c>
      <c r="H56" s="20" t="n">
        <f aca="false">Z24</f>
        <v>0</v>
      </c>
      <c r="I56" s="20" t="n">
        <f aca="false">E24</f>
        <v>42</v>
      </c>
    </row>
    <row r="57" customFormat="false" ht="15" hidden="false" customHeight="true" outlineLevel="0" collapsed="false">
      <c r="A57" s="17" t="n">
        <f aca="false">A25</f>
        <v>20</v>
      </c>
      <c r="B57" s="9" t="str">
        <f aca="false">B25</f>
        <v>유포지</v>
      </c>
      <c r="C57" s="9" t="str">
        <f aca="false">C25</f>
        <v>100*90</v>
      </c>
      <c r="D57" s="20" t="n">
        <f aca="false">S25</f>
        <v>1</v>
      </c>
      <c r="E57" s="20" t="n">
        <f aca="false">T25</f>
        <v>0</v>
      </c>
      <c r="F57" s="20" t="n">
        <f aca="false">V25</f>
        <v>0</v>
      </c>
      <c r="G57" s="20" t="n">
        <f aca="false">U25</f>
        <v>2</v>
      </c>
      <c r="H57" s="20" t="n">
        <f aca="false">Z25</f>
        <v>0</v>
      </c>
      <c r="I57" s="20" t="n">
        <f aca="false">E25</f>
        <v>23</v>
      </c>
    </row>
    <row r="58" customFormat="false" ht="15" hidden="false" customHeight="true" outlineLevel="0" collapsed="false">
      <c r="A58" s="17" t="n">
        <f aca="false">A26</f>
        <v>21</v>
      </c>
      <c r="B58" s="9" t="str">
        <f aca="false">B26</f>
        <v>유포지/품절</v>
      </c>
      <c r="C58" s="9" t="str">
        <f aca="false">C26</f>
        <v>100*100</v>
      </c>
      <c r="D58" s="20" t="n">
        <f aca="false">S26</f>
        <v>0</v>
      </c>
      <c r="E58" s="20" t="n">
        <f aca="false">T26</f>
        <v>0</v>
      </c>
      <c r="F58" s="20" t="n">
        <f aca="false">V26</f>
        <v>0</v>
      </c>
      <c r="G58" s="20" t="n">
        <f aca="false">U26</f>
        <v>14</v>
      </c>
      <c r="H58" s="20" t="n">
        <f aca="false">Z26</f>
        <v>0</v>
      </c>
      <c r="I58" s="20" t="n">
        <f aca="false">E26</f>
        <v>67</v>
      </c>
    </row>
    <row r="59" customFormat="false" ht="15" hidden="false" customHeight="true" outlineLevel="0" collapsed="false">
      <c r="A59" s="17" t="n">
        <f aca="false">A27</f>
        <v>22</v>
      </c>
      <c r="B59" s="9" t="str">
        <f aca="false">B27</f>
        <v>유포지</v>
      </c>
      <c r="C59" s="9" t="str">
        <f aca="false">C27</f>
        <v>100*150</v>
      </c>
      <c r="D59" s="20" t="n">
        <f aca="false">S27</f>
        <v>0</v>
      </c>
      <c r="E59" s="20" t="n">
        <f aca="false">T27</f>
        <v>0</v>
      </c>
      <c r="F59" s="20" t="n">
        <f aca="false">V27</f>
        <v>0</v>
      </c>
      <c r="G59" s="20" t="n">
        <f aca="false">U27</f>
        <v>5</v>
      </c>
      <c r="H59" s="20" t="n">
        <f aca="false">Z27</f>
        <v>0</v>
      </c>
      <c r="I59" s="20" t="n">
        <f aca="false">E27</f>
        <v>48</v>
      </c>
    </row>
    <row r="60" customFormat="false" ht="15" hidden="false" customHeight="true" outlineLevel="0" collapsed="false">
      <c r="A60" s="17" t="n">
        <f aca="false">A29</f>
        <v>23</v>
      </c>
      <c r="B60" s="9" t="str">
        <f aca="false">B29</f>
        <v>감열지</v>
      </c>
      <c r="C60" s="9" t="str">
        <f aca="false">C29</f>
        <v>80*70</v>
      </c>
      <c r="D60" s="20" t="n">
        <f aca="false">S29</f>
        <v>11</v>
      </c>
      <c r="E60" s="20" t="n">
        <f aca="false">T29</f>
        <v>0</v>
      </c>
      <c r="F60" s="20" t="n">
        <f aca="false">V29</f>
        <v>0</v>
      </c>
      <c r="G60" s="20" t="n">
        <f aca="false">U29</f>
        <v>0</v>
      </c>
      <c r="H60" s="20" t="n">
        <f aca="false">Z29</f>
        <v>0</v>
      </c>
      <c r="I60" s="20" t="n">
        <f aca="false">E29</f>
        <v>16</v>
      </c>
    </row>
    <row r="61" customFormat="false" ht="15" hidden="false" customHeight="true" outlineLevel="0" collapsed="false">
      <c r="A61" s="17" t="n">
        <f aca="false">A30</f>
        <v>24</v>
      </c>
      <c r="B61" s="9" t="str">
        <f aca="false">B30</f>
        <v>감열지</v>
      </c>
      <c r="C61" s="9" t="str">
        <f aca="false">C30</f>
        <v>100*100</v>
      </c>
      <c r="D61" s="20" t="n">
        <f aca="false">S30</f>
        <v>0</v>
      </c>
      <c r="E61" s="20" t="n">
        <f aca="false">T30</f>
        <v>17</v>
      </c>
      <c r="F61" s="20" t="n">
        <f aca="false">V30</f>
        <v>0</v>
      </c>
      <c r="G61" s="20" t="n">
        <f aca="false">U30</f>
        <v>0</v>
      </c>
      <c r="H61" s="20" t="n">
        <f aca="false">Z30</f>
        <v>6</v>
      </c>
      <c r="I61" s="20" t="n">
        <f aca="false">E30</f>
        <v>31</v>
      </c>
    </row>
    <row r="62" customFormat="false" ht="18.75" hidden="false" customHeight="true" outlineLevel="0" collapsed="false">
      <c r="A62" s="44"/>
      <c r="B62" s="45" t="s">
        <v>83</v>
      </c>
      <c r="C62" s="46" t="n">
        <f aca="false">D62+E62+F62+G62+H62</f>
        <v>228</v>
      </c>
      <c r="D62" s="46" t="n">
        <f aca="false">SUM(D38:D61)</f>
        <v>36</v>
      </c>
      <c r="E62" s="46" t="n">
        <f aca="false">SUM(E38:E61)</f>
        <v>61</v>
      </c>
      <c r="F62" s="46" t="n">
        <f aca="false">SUM(F38:F61)</f>
        <v>0</v>
      </c>
      <c r="G62" s="46" t="n">
        <f aca="false">SUM(G38:G61)</f>
        <v>125</v>
      </c>
      <c r="H62" s="46" t="n">
        <f aca="false">SUM(H38:H61)</f>
        <v>6</v>
      </c>
      <c r="I62" s="46" t="n">
        <f aca="false">SUM(I38:I61)</f>
        <v>1004</v>
      </c>
    </row>
  </sheetData>
  <conditionalFormatting sqref="J5:J14 J16:J27 J29:J30">
    <cfRule type="cellIs" priority="2" operator="equal" aboveAverage="0" equalAverage="0" bottom="0" percent="0" rank="0" text="" dxfId="0">
      <formula>"품절"</formula>
    </cfRule>
  </conditionalFormatting>
  <conditionalFormatting sqref="AA5:AA30"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C10" activeCellId="0" sqref="C10"/>
    </sheetView>
  </sheetViews>
  <sheetFormatPr defaultColWidth="8.71484375" defaultRowHeight="16.5" zeroHeight="false" outlineLevelRow="0" outlineLevelCol="0"/>
  <cols>
    <col collapsed="false" customWidth="true" hidden="false" outlineLevel="0" max="2" min="1" style="47" width="10"/>
    <col collapsed="false" customWidth="true" hidden="false" outlineLevel="0" max="3" min="3" style="47" width="18"/>
    <col collapsed="false" customWidth="true" hidden="false" outlineLevel="0" max="4" min="4" style="47" width="20.57"/>
    <col collapsed="false" customWidth="true" hidden="false" outlineLevel="0" max="5" min="5" style="47" width="20.42"/>
    <col collapsed="false" customWidth="true" hidden="false" outlineLevel="0" max="6" min="6" style="47" width="19.29"/>
    <col collapsed="false" customWidth="true" hidden="false" outlineLevel="0" max="7" min="7" style="47" width="18"/>
    <col collapsed="false" customWidth="true" hidden="false" outlineLevel="0" max="8" min="8" style="47" width="17.57"/>
    <col collapsed="false" customWidth="true" hidden="false" outlineLevel="0" max="9" min="9" style="47" width="16.71"/>
    <col collapsed="false" customWidth="true" hidden="false" outlineLevel="0" max="10" min="10" style="47" width="9"/>
    <col collapsed="false" customWidth="true" hidden="true" outlineLevel="0" max="20" min="11" style="48" width="13"/>
    <col collapsed="false" customWidth="true" hidden="false" outlineLevel="0" max="21" min="21" style="48" width="23"/>
    <col collapsed="false" customWidth="true" hidden="true" outlineLevel="0" max="29" min="28" style="48" width="13"/>
  </cols>
  <sheetData>
    <row r="1" customFormat="false" ht="19.5" hidden="false" customHeight="true" outlineLevel="0" collapsed="false">
      <c r="A1" s="49" t="s">
        <v>84</v>
      </c>
      <c r="B1" s="49"/>
      <c r="C1" s="49"/>
      <c r="D1" s="49"/>
      <c r="E1" s="49"/>
      <c r="F1" s="49"/>
      <c r="G1" s="49"/>
      <c r="H1" s="49"/>
      <c r="I1" s="49"/>
      <c r="J1" s="49"/>
    </row>
    <row r="3" customFormat="false" ht="30" hidden="false" customHeight="true" outlineLevel="0" collapsed="false">
      <c r="A3" s="50" t="s">
        <v>5</v>
      </c>
      <c r="B3" s="50" t="s">
        <v>6</v>
      </c>
      <c r="C3" s="50" t="s">
        <v>85</v>
      </c>
      <c r="D3" s="50" t="s">
        <v>86</v>
      </c>
      <c r="E3" s="50" t="s">
        <v>87</v>
      </c>
      <c r="F3" s="50" t="s">
        <v>88</v>
      </c>
      <c r="G3" s="50" t="s">
        <v>89</v>
      </c>
      <c r="H3" s="50" t="s">
        <v>90</v>
      </c>
      <c r="I3" s="50" t="s">
        <v>91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2" t="s">
        <v>10</v>
      </c>
    </row>
    <row r="4" customFormat="false" ht="15" hidden="false" customHeight="true" outlineLevel="0" collapsed="false">
      <c r="A4" s="53" t="str">
        <f aca="false">마스터!C8</f>
        <v>50*50</v>
      </c>
      <c r="B4" s="54" t="n">
        <f aca="false">마스터!D8</f>
        <v>70</v>
      </c>
      <c r="C4" s="54" t="n">
        <f aca="false">마스터!E8</f>
        <v>52</v>
      </c>
      <c r="D4" s="55" t="n">
        <f aca="false">마스터!G8</f>
        <v>18</v>
      </c>
      <c r="E4" s="54" t="n">
        <f aca="false">마스터!F8</f>
        <v>22</v>
      </c>
      <c r="F4" s="54" t="n">
        <f aca="false">마스터!E8-마스터!F8</f>
        <v>30</v>
      </c>
      <c r="G4" s="54" t="n">
        <f aca="false">IF(ISBLANK(마스터!O8),"미기재",마스터!O8)</f>
        <v>3500</v>
      </c>
      <c r="H4" s="54" t="n">
        <f aca="false">IF(마스터!P8="","미기재",마스터!P8)</f>
        <v>3850</v>
      </c>
      <c r="I4" s="56" t="n">
        <f aca="false">IF(마스터!R8="","계산불가",마스터!R8)</f>
        <v>0.431714285714286</v>
      </c>
      <c r="T4" s="57" t="s">
        <v>92</v>
      </c>
    </row>
    <row r="5" customFormat="false" ht="15" hidden="false" customHeight="true" outlineLevel="0" collapsed="false">
      <c r="A5" s="58" t="str">
        <f aca="false">마스터!C14</f>
        <v>100*100</v>
      </c>
      <c r="B5" s="54" t="n">
        <f aca="false">마스터!D14</f>
        <v>80</v>
      </c>
      <c r="C5" s="54" t="n">
        <f aca="false">마스터!E14</f>
        <v>50</v>
      </c>
      <c r="D5" s="54" t="n">
        <f aca="false">마스터!G14</f>
        <v>30</v>
      </c>
      <c r="E5" s="54" t="n">
        <f aca="false">마스터!F14</f>
        <v>11</v>
      </c>
      <c r="F5" s="54" t="n">
        <f aca="false">마스터!E14-마스터!F14</f>
        <v>39</v>
      </c>
      <c r="G5" s="54" t="n">
        <f aca="false">IF(ISBLANK(마스터!O14),"미기재",마스터!O14)</f>
        <v>7000</v>
      </c>
      <c r="H5" s="54" t="n">
        <f aca="false">IF(마스터!P14="","미기재",마스터!P14)</f>
        <v>7700</v>
      </c>
      <c r="I5" s="56" t="n">
        <f aca="false">IF(마스터!R14="","계산불가",마스터!R14)</f>
        <v>0.510285714285714</v>
      </c>
      <c r="T5" s="57" t="s">
        <v>93</v>
      </c>
    </row>
    <row r="6" customFormat="false" ht="15" hidden="false" customHeight="true" outlineLevel="0" collapsed="false">
      <c r="A6" s="53" t="str">
        <f aca="false">마스터!C9</f>
        <v>60*40</v>
      </c>
      <c r="B6" s="54" t="n">
        <f aca="false">마스터!D9</f>
        <v>100</v>
      </c>
      <c r="C6" s="54" t="n">
        <f aca="false">마스터!E9</f>
        <v>9</v>
      </c>
      <c r="D6" s="59" t="n">
        <f aca="false">마스터!G9</f>
        <v>91</v>
      </c>
      <c r="E6" s="54" t="n">
        <f aca="false">마스터!F9</f>
        <v>9</v>
      </c>
      <c r="F6" s="54" t="n">
        <f aca="false">마스터!E9-마스터!F9</f>
        <v>0</v>
      </c>
      <c r="G6" s="54" t="n">
        <f aca="false">IF(ISBLANK(마스터!O9),"미기재",마스터!O9)</f>
        <v>4482</v>
      </c>
      <c r="H6" s="54" t="n">
        <f aca="false">IF(마스터!P9="","미기재",마스터!P9)</f>
        <v>4930</v>
      </c>
      <c r="I6" s="56" t="n">
        <f aca="false">IF(마스터!R9="","계산불가",마스터!R9)</f>
        <v>0.446223114680946</v>
      </c>
      <c r="T6" s="57" t="s">
        <v>94</v>
      </c>
    </row>
    <row r="7" customFormat="false" ht="15" hidden="false" customHeight="true" outlineLevel="0" collapsed="false">
      <c r="A7" s="58" t="str">
        <f aca="false">마스터!C12</f>
        <v>100*60</v>
      </c>
      <c r="B7" s="54" t="n">
        <f aca="false">마스터!D12</f>
        <v>80</v>
      </c>
      <c r="C7" s="54" t="n">
        <f aca="false">마스터!E12</f>
        <v>72</v>
      </c>
      <c r="D7" s="55" t="n">
        <f aca="false">마스터!G12</f>
        <v>8</v>
      </c>
      <c r="E7" s="54" t="n">
        <f aca="false">마스터!F12</f>
        <v>13</v>
      </c>
      <c r="F7" s="54" t="n">
        <f aca="false">마스터!E12-마스터!F12</f>
        <v>59</v>
      </c>
      <c r="G7" s="54" t="n">
        <f aca="false">IF(ISBLANK(마스터!O12),"미기재",마스터!O12)</f>
        <v>6500</v>
      </c>
      <c r="H7" s="54" t="n">
        <f aca="false">IF(마스터!P12="","미기재",마스터!P12)</f>
        <v>7150</v>
      </c>
      <c r="I7" s="56" t="n">
        <f aca="false">IF(마스터!R12="","계산불가",마스터!R12)</f>
        <v>0.361384615384615</v>
      </c>
      <c r="T7" s="57" t="s">
        <v>95</v>
      </c>
    </row>
    <row r="8" customFormat="false" ht="15" hidden="false" customHeight="true" outlineLevel="0" collapsed="false">
      <c r="A8" s="58" t="str">
        <f aca="false">마스터!C7</f>
        <v>50*30</v>
      </c>
      <c r="B8" s="54" t="n">
        <f aca="false">마스터!D7</f>
        <v>120</v>
      </c>
      <c r="C8" s="54" t="n">
        <f aca="false">마스터!E7</f>
        <v>78</v>
      </c>
      <c r="D8" s="54" t="n">
        <f aca="false">마스터!G7</f>
        <v>42</v>
      </c>
      <c r="E8" s="54" t="n">
        <f aca="false">마스터!F7</f>
        <v>0</v>
      </c>
      <c r="F8" s="54" t="n">
        <f aca="false">마스터!E7-마스터!F7</f>
        <v>78</v>
      </c>
      <c r="G8" s="54" t="n">
        <f aca="false">IF(ISBLANK(마스터!O7),"미기재",마스터!O7)</f>
        <v>4000</v>
      </c>
      <c r="H8" s="54" t="n">
        <f aca="false">IF(마스터!P7="","미기재",마스터!P7)</f>
        <v>4400</v>
      </c>
      <c r="I8" s="56" t="n">
        <f aca="false">IF(마스터!R7="","계산불가",마스터!R7)</f>
        <v>0.496</v>
      </c>
      <c r="T8" s="57" t="s">
        <v>96</v>
      </c>
    </row>
    <row r="9" customFormat="false" ht="15" hidden="false" customHeight="true" outlineLevel="0" collapsed="false">
      <c r="A9" s="53" t="str">
        <f aca="false">마스터!C5</f>
        <v>35*20</v>
      </c>
      <c r="B9" s="54" t="n">
        <f aca="false">마스터!D5</f>
        <v>120</v>
      </c>
      <c r="C9" s="54" t="n">
        <f aca="false">마스터!E5</f>
        <v>16</v>
      </c>
      <c r="D9" s="59" t="n">
        <f aca="false">마스터!G5</f>
        <v>104</v>
      </c>
      <c r="E9" s="54" t="n">
        <f aca="false">마스터!F5</f>
        <v>0</v>
      </c>
      <c r="F9" s="54" t="n">
        <f aca="false">마스터!E5-마스터!F5</f>
        <v>16</v>
      </c>
      <c r="G9" s="60" t="n">
        <f aca="false">IF(ISBLANK(마스터!O5),"미기재",마스터!O5)</f>
        <v>2500</v>
      </c>
      <c r="H9" s="60" t="n">
        <f aca="false">IF(마스터!P5="","미기재",마스터!P5)</f>
        <v>2750</v>
      </c>
      <c r="I9" s="61" t="n">
        <f aca="false">IF(마스터!R5="","계산불가",마스터!R5)</f>
        <v>0.346</v>
      </c>
      <c r="T9" s="57" t="s">
        <v>96</v>
      </c>
    </row>
    <row r="10" customFormat="false" ht="15" hidden="false" customHeight="true" outlineLevel="0" collapsed="false">
      <c r="A10" s="58" t="str">
        <f aca="false">마스터!C11</f>
        <v>80*60</v>
      </c>
      <c r="B10" s="54" t="n">
        <f aca="false">마스터!D11</f>
        <v>100</v>
      </c>
      <c r="C10" s="54" t="n">
        <f aca="false">마스터!E11</f>
        <v>87</v>
      </c>
      <c r="D10" s="54" t="n">
        <f aca="false">마스터!G11</f>
        <v>13</v>
      </c>
      <c r="E10" s="54" t="n">
        <f aca="false">마스터!F11</f>
        <v>2</v>
      </c>
      <c r="F10" s="54" t="n">
        <f aca="false">마스터!E11-마스터!F11</f>
        <v>85</v>
      </c>
      <c r="G10" s="54" t="n">
        <f aca="false">IF(ISBLANK(마스터!O11),"미기재",마스터!O11)</f>
        <v>6500</v>
      </c>
      <c r="H10" s="54" t="n">
        <f aca="false">IF(마스터!P11="","미기재",마스터!P11)</f>
        <v>7150</v>
      </c>
      <c r="I10" s="56" t="n">
        <f aca="false">IF(마스터!R11="","계산불가",마스터!R11)</f>
        <v>0.469076923076923</v>
      </c>
      <c r="T10" s="57" t="s">
        <v>97</v>
      </c>
    </row>
    <row r="11" customFormat="false" ht="15" hidden="false" customHeight="true" outlineLevel="0" collapsed="false">
      <c r="A11" s="53" t="str">
        <f aca="false">마스터!C6</f>
        <v>40*20</v>
      </c>
      <c r="B11" s="54" t="n">
        <f aca="false">마스터!D6</f>
        <v>100</v>
      </c>
      <c r="C11" s="54" t="n">
        <f aca="false">마스터!E6</f>
        <v>71</v>
      </c>
      <c r="D11" s="54" t="n">
        <f aca="false">마스터!G6</f>
        <v>29</v>
      </c>
      <c r="E11" s="54" t="n">
        <f aca="false">마스터!F6</f>
        <v>14</v>
      </c>
      <c r="F11" s="54" t="n">
        <f aca="false">마스터!E6-마스터!F6</f>
        <v>57</v>
      </c>
      <c r="G11" s="54" t="n">
        <f aca="false">IF(ISBLANK(마스터!O6),"미기재",마스터!O6)</f>
        <v>2500</v>
      </c>
      <c r="H11" s="54" t="n">
        <f aca="false">IF(마스터!P6="","미기재",마스터!P6)</f>
        <v>2750</v>
      </c>
      <c r="I11" s="56" t="n">
        <f aca="false">IF(마스터!R6="","계산불가",마스터!R6)</f>
        <v>0.346</v>
      </c>
      <c r="T11" s="57" t="s">
        <v>98</v>
      </c>
    </row>
    <row r="12" customFormat="false" ht="15" hidden="false" customHeight="true" outlineLevel="0" collapsed="false">
      <c r="A12" s="62" t="str">
        <f aca="false">마스터!C10</f>
        <v>70*40</v>
      </c>
      <c r="B12" s="63" t="n">
        <f aca="false">마스터!D10</f>
        <v>50</v>
      </c>
      <c r="C12" s="63" t="n">
        <f aca="false">마스터!E10</f>
        <v>50</v>
      </c>
      <c r="D12" s="63" t="n">
        <f aca="false">마스터!G10</f>
        <v>0</v>
      </c>
      <c r="E12" s="63" t="n">
        <f aca="false">마스터!F10</f>
        <v>0</v>
      </c>
      <c r="F12" s="63" t="n">
        <f aca="false">마스터!E10-마스터!F10</f>
        <v>50</v>
      </c>
      <c r="G12" s="63" t="str">
        <f aca="false">IF(ISBLANK(마스터!O10),"미기재",마스터!O10)</f>
        <v>미기재</v>
      </c>
      <c r="H12" s="63" t="str">
        <f aca="false">IF(마스터!P10="","미기재",마스터!P10)</f>
        <v>미기재</v>
      </c>
      <c r="I12" s="64" t="str">
        <f aca="false">IF(마스터!R10="","계산불가",마스터!R10)</f>
        <v>계산불가</v>
      </c>
      <c r="T12" s="65" t="s">
        <v>99</v>
      </c>
    </row>
    <row r="13" customFormat="false" ht="15" hidden="false" customHeight="true" outlineLevel="0" collapsed="false">
      <c r="A13" s="58" t="str">
        <f aca="false">마스터!C13</f>
        <v>100*70</v>
      </c>
      <c r="B13" s="54" t="n">
        <f aca="false">마스터!D13</f>
        <v>70</v>
      </c>
      <c r="C13" s="54" t="n">
        <f aca="false">마스터!E13</f>
        <v>68</v>
      </c>
      <c r="D13" s="54" t="n">
        <f aca="false">마스터!G13</f>
        <v>2</v>
      </c>
      <c r="E13" s="54" t="n">
        <f aca="false">마스터!F13</f>
        <v>0</v>
      </c>
      <c r="F13" s="54" t="n">
        <f aca="false">마스터!E13-마스터!F13</f>
        <v>68</v>
      </c>
      <c r="G13" s="54" t="n">
        <f aca="false">IF(ISBLANK(마스터!O13),"미기재",마스터!O13)</f>
        <v>9782</v>
      </c>
      <c r="H13" s="54" t="n">
        <f aca="false">IF(마스터!P13="","미기재",마스터!P13)</f>
        <v>10760</v>
      </c>
      <c r="I13" s="56" t="n">
        <f aca="false">IF(마스터!R13="","계산불가",마스터!R13)</f>
        <v>0.746143120016357</v>
      </c>
      <c r="T13" s="57" t="s">
        <v>99</v>
      </c>
    </row>
    <row r="14" customFormat="false" ht="15" hidden="false" customHeight="true" outlineLevel="0" collapsed="false">
      <c r="A14" s="66" t="s">
        <v>83</v>
      </c>
      <c r="B14" s="67" t="n">
        <f aca="false">SUM(B4:B13)</f>
        <v>890</v>
      </c>
      <c r="C14" s="67" t="n">
        <f aca="false">SUM(C4:C13)</f>
        <v>553</v>
      </c>
      <c r="D14" s="67" t="n">
        <f aca="false">SUM(D4:D13)</f>
        <v>337</v>
      </c>
      <c r="E14" s="67" t="n">
        <f aca="false">SUM(E4:E13)</f>
        <v>71</v>
      </c>
      <c r="F14" s="67" t="n">
        <f aca="false">SUM(F4:F13)</f>
        <v>482</v>
      </c>
      <c r="G14" s="68"/>
      <c r="H14" s="68"/>
      <c r="I14" s="68"/>
      <c r="T14" s="69" t="s">
        <v>100</v>
      </c>
    </row>
    <row r="17" customFormat="false" ht="20.25" hidden="false" customHeight="true" outlineLevel="0" collapsed="false">
      <c r="A17" s="2" t="s">
        <v>101</v>
      </c>
    </row>
    <row r="18" customFormat="false" ht="15" hidden="false" customHeight="true" outlineLevel="0" collapsed="false">
      <c r="A18" s="70" t="s">
        <v>102</v>
      </c>
      <c r="F18" s="71" t="n">
        <v>-0.5</v>
      </c>
    </row>
    <row r="19" customFormat="false" ht="15" hidden="false" customHeight="true" outlineLevel="0" collapsed="false">
      <c r="A19" s="70" t="s">
        <v>103</v>
      </c>
      <c r="F19" s="71" t="n">
        <v>1</v>
      </c>
    </row>
    <row r="20" customFormat="false" ht="15" hidden="false" customHeight="true" outlineLevel="0" collapsed="false">
      <c r="A20" s="70" t="s">
        <v>104</v>
      </c>
      <c r="F20" s="72" t="n">
        <v>1</v>
      </c>
    </row>
    <row r="22" customFormat="false" ht="44.25" hidden="false" customHeight="true" outlineLevel="0" collapsed="false">
      <c r="A22" s="73" t="s">
        <v>3</v>
      </c>
      <c r="B22" s="74" t="s">
        <v>4</v>
      </c>
      <c r="C22" s="74" t="s">
        <v>5</v>
      </c>
      <c r="D22" s="74" t="s">
        <v>105</v>
      </c>
      <c r="E22" s="74" t="s">
        <v>106</v>
      </c>
      <c r="F22" s="74" t="s">
        <v>107</v>
      </c>
      <c r="G22" s="74" t="s">
        <v>108</v>
      </c>
      <c r="H22" s="74" t="s">
        <v>109</v>
      </c>
      <c r="K22" s="48" t="str">
        <f aca="false">마스터!C14</f>
        <v>100*100</v>
      </c>
      <c r="L22" s="48" t="str">
        <f aca="false">마스터!C9</f>
        <v>60*40</v>
      </c>
      <c r="M22" s="48" t="str">
        <f aca="false">마스터!C12</f>
        <v>100*60</v>
      </c>
      <c r="N22" s="48" t="str">
        <f aca="false">마스터!C7</f>
        <v>50*30</v>
      </c>
      <c r="O22" s="48" t="str">
        <f aca="false">마스터!C5</f>
        <v>35*20</v>
      </c>
      <c r="P22" s="48" t="str">
        <f aca="false">마스터!C11</f>
        <v>80*60</v>
      </c>
      <c r="Q22" s="48" t="str">
        <f aca="false">마스터!C6</f>
        <v>40*20</v>
      </c>
      <c r="R22" s="48" t="str">
        <f aca="false">마스터!C10</f>
        <v>70*40</v>
      </c>
      <c r="S22" s="48" t="str">
        <f aca="false">마스터!C13</f>
        <v>100*70</v>
      </c>
    </row>
    <row r="23" customFormat="false" ht="15" hidden="false" customHeight="true" outlineLevel="0" collapsed="false">
      <c r="A23" s="75" t="n">
        <f aca="false">마스터!A5</f>
        <v>1</v>
      </c>
      <c r="B23" s="76" t="str">
        <f aca="false">마스터!B5</f>
        <v>아트지</v>
      </c>
      <c r="C23" s="76" t="str">
        <f aca="false">마스터!C5</f>
        <v>35*20</v>
      </c>
      <c r="D23" s="77" t="n">
        <f aca="false">마스터!P5</f>
        <v>2750</v>
      </c>
      <c r="E23" s="77" t="n">
        <f aca="false">IF(ISNUMBER(D23),ROUNDDOWN(D23*(1+$F$18),-1),"")</f>
        <v>1370</v>
      </c>
      <c r="F23" s="77" t="n">
        <f aca="false">IF(ISNUMBER(D23),ROUNDDOWN(D23*(1+$F$19),-1),"")</f>
        <v>5500</v>
      </c>
      <c r="G23" s="78" t="n">
        <f aca="false">SUMPRODUCT(--(LEN(J23:AF23)&gt;0))</f>
        <v>3</v>
      </c>
      <c r="H23" s="79" t="str">
        <f aca="false">IF(G23&gt;0,_xlfn.TEXTJOIN(", ",TRUE(),J23:AF23),IF(ISNUMBER(D23),"옵션 가능한 사이즈 없음","가격 미정 — 판매가 입력 필요"))</f>
        <v>60*40(+2,180), 50*30(+1,650), 40*20(+0)</v>
      </c>
      <c r="K23" s="48" t="str">
        <f aca="false">IF(OR(NOT(ISNUMBER($E23)),NOT(ISNUMBER(마스터!$P$14))),"",IF(AND(마스터!$P$14&gt;=$E23,마스터!$P$14&lt;=$F23,OR($F$20=0,마스터!$G$14&gt;0)),마스터!$C$14&amp;"("&amp;IF(마스터!$P$14-$D23&gt;=0,"+","")&amp;TEXT(마스터!$P$14-$D23,"#,##0")&amp;")",""))</f>
        <v/>
      </c>
      <c r="L23" s="48" t="str">
        <f aca="false">IF(OR(NOT(ISNUMBER($E23)),NOT(ISNUMBER(마스터!$P$9))),"",IF(AND(마스터!$P$9&gt;=$E23,마스터!$P$9&lt;=$F23,OR($F$20=0,마스터!$G$9&gt;0)),마스터!$C$9&amp;"("&amp;IF(마스터!$P$9-$D23&gt;=0,"+","")&amp;TEXT(마스터!$P$9-$D23,"#,##0")&amp;")",""))</f>
        <v>60*40(+2,180)</v>
      </c>
      <c r="M23" s="48" t="str">
        <f aca="false">IF(OR(NOT(ISNUMBER($E23)),NOT(ISNUMBER(마스터!$P$12))),"",IF(AND(마스터!$P$12&gt;=$E23,마스터!$P$12&lt;=$F23,OR($F$20=0,마스터!$G$12&gt;0)),마스터!$C$12&amp;"("&amp;IF(마스터!$P$12-$D23&gt;=0,"+","")&amp;TEXT(마스터!$P$12-$D23,"#,##0")&amp;")",""))</f>
        <v/>
      </c>
      <c r="N23" s="48" t="str">
        <f aca="false">IF(OR(NOT(ISNUMBER($E23)),NOT(ISNUMBER(마스터!$P$7))),"",IF(AND(마스터!$P$7&gt;=$E23,마스터!$P$7&lt;=$F23,OR($F$20=0,마스터!$G$7&gt;0)),마스터!$C$7&amp;"("&amp;IF(마스터!$P$7-$D23&gt;=0,"+","")&amp;TEXT(마스터!$P$7-$D23,"#,##0")&amp;")",""))</f>
        <v>50*30(+1,650)</v>
      </c>
      <c r="P23" s="48" t="str">
        <f aca="false">IF(OR(NOT(ISNUMBER($E23)),NOT(ISNUMBER(마스터!$P$11))),"",IF(AND(마스터!$P$11&gt;=$E23,마스터!$P$11&lt;=$F23,OR($F$20=0,마스터!$G$11&gt;0)),마스터!$C$11&amp;"("&amp;IF(마스터!$P$11-$D23&gt;=0,"+","")&amp;TEXT(마스터!$P$11-$D23,"#,##0")&amp;")",""))</f>
        <v/>
      </c>
      <c r="Q23" s="48" t="str">
        <f aca="false">IF(OR(NOT(ISNUMBER($E23)),NOT(ISNUMBER(마스터!$P$6))),"",IF(AND(마스터!$P$6&gt;=$E23,마스터!$P$6&lt;=$F23,OR($F$20=0,마스터!$G$6&gt;0)),마스터!$C$6&amp;"("&amp;IF(마스터!$P$6-$D23&gt;=0,"+","")&amp;TEXT(마스터!$P$6-$D23,"#,##0")&amp;")",""))</f>
        <v>40*20(+0)</v>
      </c>
      <c r="R23" s="48" t="str">
        <f aca="false">IF(OR(NOT(ISNUMBER($E23)),NOT(ISNUMBER(마스터!$P$10))),"",IF(AND(마스터!$P$10&gt;=$E23,마스터!$P$10&lt;=$F23,OR($F$20=0,마스터!$G$10&gt;0)),마스터!$C$10&amp;"("&amp;IF(마스터!$P$10-$D23&gt;=0,"+","")&amp;TEXT(마스터!$P$10-$D23,"#,##0")&amp;")",""))</f>
        <v/>
      </c>
      <c r="S23" s="48" t="str">
        <f aca="false">IF(OR(NOT(ISNUMBER($E23)),NOT(ISNUMBER(마스터!$P$13))),"",IF(AND(마스터!$P$13&gt;=$E23,마스터!$P$13&lt;=$F23,OR($F$20=0,마스터!$G$13&gt;0)),마스터!$C$13&amp;"("&amp;IF(마스터!$P$13-$D23&gt;=0,"+","")&amp;TEXT(마스터!$P$13-$D23,"#,##0")&amp;")",""))</f>
        <v/>
      </c>
    </row>
    <row r="24" customFormat="false" ht="15" hidden="false" customHeight="true" outlineLevel="0" collapsed="false">
      <c r="A24" s="75" t="n">
        <f aca="false">마스터!A6</f>
        <v>2</v>
      </c>
      <c r="B24" s="76" t="str">
        <f aca="false">마스터!B6</f>
        <v>아트지</v>
      </c>
      <c r="C24" s="76" t="str">
        <f aca="false">마스터!C6</f>
        <v>40*20</v>
      </c>
      <c r="D24" s="77" t="n">
        <f aca="false">마스터!P6</f>
        <v>2750</v>
      </c>
      <c r="E24" s="77" t="n">
        <f aca="false">IF(ISNUMBER(D24),ROUNDDOWN(D24*(1+$F$18),-1),"")</f>
        <v>1370</v>
      </c>
      <c r="F24" s="77" t="n">
        <f aca="false">IF(ISNUMBER(D24),ROUNDDOWN(D24*(1+$F$19),-1),"")</f>
        <v>5500</v>
      </c>
      <c r="G24" s="78" t="n">
        <f aca="false">SUMPRODUCT(--(LEN(J24:AF24)&gt;0))</f>
        <v>4</v>
      </c>
      <c r="H24" s="79" t="str">
        <f aca="false">IF(G24&gt;0,_xlfn.TEXTJOIN(", ",TRUE(),J24:AF24),IF(ISNUMBER(D24),"옵션 가능한 사이즈 없음","가격 미정 — 판매가 입력 필요"))</f>
        <v>60*40(+2,180), 50*30(+1,650), 35*20(+0), 50*50</v>
      </c>
      <c r="K24" s="48" t="str">
        <f aca="false">IF(OR(NOT(ISNUMBER($E24)),NOT(ISNUMBER(마스터!$P$14))),"",IF(AND(마스터!$P$14&gt;=$E24,마스터!$P$14&lt;=$F24,OR($F$20=0,마스터!$G$14&gt;0)),마스터!$C$14&amp;"("&amp;IF(마스터!$P$14-$D24&gt;=0,"+","")&amp;TEXT(마스터!$P$14-$D24,"#,##0")&amp;")",""))</f>
        <v/>
      </c>
      <c r="L24" s="48" t="str">
        <f aca="false">IF(OR(NOT(ISNUMBER($E24)),NOT(ISNUMBER(마스터!$P$9))),"",IF(AND(마스터!$P$9&gt;=$E24,마스터!$P$9&lt;=$F24,OR($F$20=0,마스터!$G$9&gt;0)),마스터!$C$9&amp;"("&amp;IF(마스터!$P$9-$D24&gt;=0,"+","")&amp;TEXT(마스터!$P$9-$D24,"#,##0")&amp;")",""))</f>
        <v>60*40(+2,180)</v>
      </c>
      <c r="M24" s="48" t="str">
        <f aca="false">IF(OR(NOT(ISNUMBER($E24)),NOT(ISNUMBER(마스터!$P$12))),"",IF(AND(마스터!$P$12&gt;=$E24,마스터!$P$12&lt;=$F24,OR($F$20=0,마스터!$G$12&gt;0)),마스터!$C$12&amp;"("&amp;IF(마스터!$P$12-$D24&gt;=0,"+","")&amp;TEXT(마스터!$P$12-$D24,"#,##0")&amp;")",""))</f>
        <v/>
      </c>
      <c r="N24" s="48" t="str">
        <f aca="false">IF(OR(NOT(ISNUMBER($E24)),NOT(ISNUMBER(마스터!$P$7))),"",IF(AND(마스터!$P$7&gt;=$E24,마스터!$P$7&lt;=$F24,OR($F$20=0,마스터!$G$7&gt;0)),마스터!$C$7&amp;"("&amp;IF(마스터!$P$7-$D24&gt;=0,"+","")&amp;TEXT(마스터!$P$7-$D24,"#,##0")&amp;")",""))</f>
        <v>50*30(+1,650)</v>
      </c>
      <c r="O24" s="48" t="str">
        <f aca="false">IF(OR(NOT(ISNUMBER($E24)),NOT(ISNUMBER(마스터!$P$5))),"",IF(AND(마스터!$P$5&gt;=$E24,마스터!$P$5&lt;=$F24,OR($F$20=0,마스터!$G$5&gt;0)),마스터!$C$5&amp;"("&amp;IF(마스터!$P$5-$D24&gt;=0,"+","")&amp;TEXT(마스터!$P$5-$D24,"#,##0")&amp;")",""))</f>
        <v>35*20(+0)</v>
      </c>
      <c r="P24" s="48" t="str">
        <f aca="false">IF(OR(NOT(ISNUMBER($E24)),NOT(ISNUMBER(마스터!$P$11))),"",IF(AND(마스터!$P$11&gt;=$E24,마스터!$P$11&lt;=$F24,OR($F$20=0,마스터!$G$11&gt;0)),마스터!$C$11&amp;"("&amp;IF(마스터!$P$11-$D24&gt;=0,"+","")&amp;TEXT(마스터!$P$11-$D24,"#,##0")&amp;")",""))</f>
        <v/>
      </c>
      <c r="R24" s="48" t="str">
        <f aca="false">IF(OR(NOT(ISNUMBER($E24)),NOT(ISNUMBER(마스터!$P$10))),"",IF(AND(마스터!$P$10&gt;=$E24,마스터!$P$10&lt;=$F24,OR($F$20=0,마스터!$G$10&gt;0)),마스터!$C$10&amp;"("&amp;IF(마스터!$P$10-$D24&gt;=0,"+","")&amp;TEXT(마스터!$P$10-$D24,"#,##0")&amp;")",""))</f>
        <v/>
      </c>
      <c r="S24" s="48" t="str">
        <f aca="false">IF(OR(NOT(ISNUMBER($E24)),NOT(ISNUMBER(마스터!$P$13))),"",IF(AND(마스터!$P$13&gt;=$E24,마스터!$P$13&lt;=$F24,OR($F$20=0,마스터!$G$13&gt;0)),마스터!$C$13&amp;"("&amp;IF(마스터!$P$13-$D24&gt;=0,"+","")&amp;TEXT(마스터!$P$13-$D24,"#,##0")&amp;")",""))</f>
        <v/>
      </c>
      <c r="AB24" s="48" t="str">
        <f aca="false">마스터!C8</f>
        <v>50*50</v>
      </c>
    </row>
    <row r="25" customFormat="false" ht="15" hidden="false" customHeight="true" outlineLevel="0" collapsed="false">
      <c r="A25" s="75" t="n">
        <f aca="false">마스터!A7</f>
        <v>3</v>
      </c>
      <c r="B25" s="76" t="str">
        <f aca="false">마스터!B7</f>
        <v>아트지</v>
      </c>
      <c r="C25" s="76" t="str">
        <f aca="false">마스터!C7</f>
        <v>50*30</v>
      </c>
      <c r="D25" s="77" t="n">
        <f aca="false">마스터!P7</f>
        <v>4400</v>
      </c>
      <c r="E25" s="77" t="n">
        <f aca="false">IF(ISNUMBER(D25),ROUNDDOWN(D25*(1+$F$18),-1),"")</f>
        <v>2200</v>
      </c>
      <c r="F25" s="77" t="n">
        <f aca="false">IF(ISNUMBER(D25),ROUNDDOWN(D25*(1+$F$19),-1),"")</f>
        <v>8800</v>
      </c>
      <c r="G25" s="78" t="n">
        <f aca="false">SUMPRODUCT(--(LEN(J25:AF25)&gt;0))</f>
        <v>6</v>
      </c>
      <c r="H25" s="79" t="str">
        <f aca="false">IF(G25&gt;0,_xlfn.TEXTJOIN(", ",TRUE(),J25:AF25),IF(ISNUMBER(D25),"옵션 가능한 사이즈 없음","가격 미정 — 판매가 입력 필요"))</f>
        <v>100*100(+3,300), 60*40(+530), 100*60(+2,750), 35*20(-1,650), 80*60(+2,750), 40*20(-1,650)</v>
      </c>
      <c r="K25" s="48" t="str">
        <f aca="false">IF(OR(NOT(ISNUMBER($E25)),NOT(ISNUMBER(마스터!$P$14))),"",IF(AND(마스터!$P$14&gt;=$E25,마스터!$P$14&lt;=$F25,OR($F$20=0,마스터!$G$14&gt;0)),마스터!$C$14&amp;"("&amp;IF(마스터!$P$14-$D25&gt;=0,"+","")&amp;TEXT(마스터!$P$14-$D25,"#,##0")&amp;")",""))</f>
        <v>100*100(+3,300)</v>
      </c>
      <c r="L25" s="48" t="str">
        <f aca="false">IF(OR(NOT(ISNUMBER($E25)),NOT(ISNUMBER(마스터!$P$9))),"",IF(AND(마스터!$P$9&gt;=$E25,마스터!$P$9&lt;=$F25,OR($F$20=0,마스터!$G$9&gt;0)),마스터!$C$9&amp;"("&amp;IF(마스터!$P$9-$D25&gt;=0,"+","")&amp;TEXT(마스터!$P$9-$D25,"#,##0")&amp;")",""))</f>
        <v>60*40(+530)</v>
      </c>
      <c r="M25" s="48" t="str">
        <f aca="false">IF(OR(NOT(ISNUMBER($E25)),NOT(ISNUMBER(마스터!$P$12))),"",IF(AND(마스터!$P$12&gt;=$E25,마스터!$P$12&lt;=$F25,OR($F$20=0,마스터!$G$12&gt;0)),마스터!$C$12&amp;"("&amp;IF(마스터!$P$12-$D25&gt;=0,"+","")&amp;TEXT(마스터!$P$12-$D25,"#,##0")&amp;")",""))</f>
        <v>100*60(+2,750)</v>
      </c>
      <c r="O25" s="48" t="str">
        <f aca="false">IF(OR(NOT(ISNUMBER($E25)),NOT(ISNUMBER(마스터!$P$5))),"",IF(AND(마스터!$P$5&gt;=$E25,마스터!$P$5&lt;=$F25,OR($F$20=0,마스터!$G$5&gt;0)),마스터!$C$5&amp;"("&amp;IF(마스터!$P$5-$D25&gt;=0,"+","")&amp;TEXT(마스터!$P$5-$D25,"#,##0")&amp;")",""))</f>
        <v>35*20(-1,650)</v>
      </c>
      <c r="P25" s="48" t="str">
        <f aca="false">IF(OR(NOT(ISNUMBER($E25)),NOT(ISNUMBER(마스터!$P$11))),"",IF(AND(마스터!$P$11&gt;=$E25,마스터!$P$11&lt;=$F25,OR($F$20=0,마스터!$G$11&gt;0)),마스터!$C$11&amp;"("&amp;IF(마스터!$P$11-$D25&gt;=0,"+","")&amp;TEXT(마스터!$P$11-$D25,"#,##0")&amp;")",""))</f>
        <v>80*60(+2,750)</v>
      </c>
      <c r="Q25" s="48" t="str">
        <f aca="false">IF(OR(NOT(ISNUMBER($E25)),NOT(ISNUMBER(마스터!$P$6))),"",IF(AND(마스터!$P$6&gt;=$E25,마스터!$P$6&lt;=$F25,OR($F$20=0,마스터!$G$6&gt;0)),마스터!$C$6&amp;"("&amp;IF(마스터!$P$6-$D25&gt;=0,"+","")&amp;TEXT(마스터!$P$6-$D25,"#,##0")&amp;")",""))</f>
        <v>40*20(-1,650)</v>
      </c>
      <c r="R25" s="48" t="str">
        <f aca="false">IF(OR(NOT(ISNUMBER($E25)),NOT(ISNUMBER(마스터!$P$10))),"",IF(AND(마스터!$P$10&gt;=$E25,마스터!$P$10&lt;=$F25,OR($F$20=0,마스터!$G$10&gt;0)),마스터!$C$10&amp;"("&amp;IF(마스터!$P$10-$D25&gt;=0,"+","")&amp;TEXT(마스터!$P$10-$D25,"#,##0")&amp;")",""))</f>
        <v/>
      </c>
      <c r="S25" s="48" t="str">
        <f aca="false">IF(OR(NOT(ISNUMBER($E25)),NOT(ISNUMBER(마스터!$P$13))),"",IF(AND(마스터!$P$13&gt;=$E25,마스터!$P$13&lt;=$F25,OR($F$20=0,마스터!$G$13&gt;0)),마스터!$C$13&amp;"("&amp;IF(마스터!$P$13-$D25&gt;=0,"+","")&amp;TEXT(마스터!$P$13-$D25,"#,##0")&amp;")",""))</f>
        <v/>
      </c>
    </row>
    <row r="26" customFormat="false" ht="15" hidden="false" customHeight="true" outlineLevel="0" collapsed="false">
      <c r="A26" s="75" t="n">
        <f aca="false">마스터!A8</f>
        <v>4</v>
      </c>
      <c r="B26" s="76" t="str">
        <f aca="false">마스터!B8</f>
        <v>아트지</v>
      </c>
      <c r="C26" s="76" t="str">
        <f aca="false">마스터!C8</f>
        <v>50*50</v>
      </c>
      <c r="D26" s="77" t="n">
        <f aca="false">마스터!P8</f>
        <v>3850</v>
      </c>
      <c r="E26" s="77" t="n">
        <f aca="false">IF(ISNUMBER(D26),ROUNDDOWN(D26*(1+$F$18),-1),"")</f>
        <v>1920</v>
      </c>
      <c r="F26" s="77" t="n">
        <f aca="false">IF(ISNUMBER(D26),ROUNDDOWN(D26*(1+$F$19),-1),"")</f>
        <v>7700</v>
      </c>
      <c r="G26" s="78" t="n">
        <f aca="false">SUMPRODUCT(--(LEN(J26:AF26)&gt;0))</f>
        <v>7</v>
      </c>
      <c r="H26" s="79" t="str">
        <f aca="false">IF(G26&gt;0,_xlfn.TEXTJOIN(", ",TRUE(),J26:AF26),IF(ISNUMBER(D26),"옵션 가능한 사이즈 없음","가격 미정 — 판매가 입력 필요"))</f>
        <v>100*100(+3,850), 60*40(+1,080), 100*60(+3,300), 50*30(+550), 35*20(-1,100), 80*60(+3,300), 40*20(-1,100)</v>
      </c>
      <c r="K26" s="48" t="str">
        <f aca="false">IF(OR(NOT(ISNUMBER($E26)),NOT(ISNUMBER(마스터!$P$14))),"",IF(AND(마스터!$P$14&gt;=$E26,마스터!$P$14&lt;=$F26,OR($F$20=0,마스터!$G$14&gt;0)),마스터!$C$14&amp;"("&amp;IF(마스터!$P$14-$D26&gt;=0,"+","")&amp;TEXT(마스터!$P$14-$D26,"#,##0")&amp;")",""))</f>
        <v>100*100(+3,850)</v>
      </c>
      <c r="L26" s="48" t="str">
        <f aca="false">IF(OR(NOT(ISNUMBER($E26)),NOT(ISNUMBER(마스터!$P$9))),"",IF(AND(마스터!$P$9&gt;=$E26,마스터!$P$9&lt;=$F26,OR($F$20=0,마스터!$G$9&gt;0)),마스터!$C$9&amp;"("&amp;IF(마스터!$P$9-$D26&gt;=0,"+","")&amp;TEXT(마스터!$P$9-$D26,"#,##0")&amp;")",""))</f>
        <v>60*40(+1,080)</v>
      </c>
      <c r="M26" s="48" t="str">
        <f aca="false">IF(OR(NOT(ISNUMBER($E26)),NOT(ISNUMBER(마스터!$P$12))),"",IF(AND(마스터!$P$12&gt;=$E26,마스터!$P$12&lt;=$F26,OR($F$20=0,마스터!$G$12&gt;0)),마스터!$C$12&amp;"("&amp;IF(마스터!$P$12-$D26&gt;=0,"+","")&amp;TEXT(마스터!$P$12-$D26,"#,##0")&amp;")",""))</f>
        <v>100*60(+3,300)</v>
      </c>
      <c r="N26" s="48" t="str">
        <f aca="false">IF(OR(NOT(ISNUMBER($E26)),NOT(ISNUMBER(마스터!$P$7))),"",IF(AND(마스터!$P$7&gt;=$E26,마스터!$P$7&lt;=$F26,OR($F$20=0,마스터!$G$7&gt;0)),마스터!$C$7&amp;"("&amp;IF(마스터!$P$7-$D26&gt;=0,"+","")&amp;TEXT(마스터!$P$7-$D26,"#,##0")&amp;")",""))</f>
        <v>50*30(+550)</v>
      </c>
      <c r="O26" s="48" t="str">
        <f aca="false">IF(OR(NOT(ISNUMBER($E26)),NOT(ISNUMBER(마스터!$P$5))),"",IF(AND(마스터!$P$5&gt;=$E26,마스터!$P$5&lt;=$F26,OR($F$20=0,마스터!$G$5&gt;0)),마스터!$C$5&amp;"("&amp;IF(마스터!$P$5-$D26&gt;=0,"+","")&amp;TEXT(마스터!$P$5-$D26,"#,##0")&amp;")",""))</f>
        <v>35*20(-1,100)</v>
      </c>
      <c r="P26" s="48" t="str">
        <f aca="false">IF(OR(NOT(ISNUMBER($E26)),NOT(ISNUMBER(마스터!$P$11))),"",IF(AND(마스터!$P$11&gt;=$E26,마스터!$P$11&lt;=$F26,OR($F$20=0,마스터!$G$11&gt;0)),마스터!$C$11&amp;"("&amp;IF(마스터!$P$11-$D26&gt;=0,"+","")&amp;TEXT(마스터!$P$11-$D26,"#,##0")&amp;")",""))</f>
        <v>80*60(+3,300)</v>
      </c>
      <c r="Q26" s="48" t="str">
        <f aca="false">IF(OR(NOT(ISNUMBER($E26)),NOT(ISNUMBER(마스터!$P$6))),"",IF(AND(마스터!$P$6&gt;=$E26,마스터!$P$6&lt;=$F26,OR($F$20=0,마스터!$G$6&gt;0)),마스터!$C$6&amp;"("&amp;IF(마스터!$P$6-$D26&gt;=0,"+","")&amp;TEXT(마스터!$P$6-$D26,"#,##0")&amp;")",""))</f>
        <v>40*20(-1,100)</v>
      </c>
      <c r="R26" s="48" t="str">
        <f aca="false">IF(OR(NOT(ISNUMBER($E26)),NOT(ISNUMBER(마스터!$P$10))),"",IF(AND(마스터!$P$10&gt;=$E26,마스터!$P$10&lt;=$F26,OR($F$20=0,마스터!$G$10&gt;0)),마스터!$C$10&amp;"("&amp;IF(마스터!$P$10-$D26&gt;=0,"+","")&amp;TEXT(마스터!$P$10-$D26,"#,##0")&amp;")",""))</f>
        <v/>
      </c>
      <c r="S26" s="48" t="str">
        <f aca="false">IF(OR(NOT(ISNUMBER($E26)),NOT(ISNUMBER(마스터!$P$13))),"",IF(AND(마스터!$P$13&gt;=$E26,마스터!$P$13&lt;=$F26,OR($F$20=0,마스터!$G$13&gt;0)),마스터!$C$13&amp;"("&amp;IF(마스터!$P$13-$D26&gt;=0,"+","")&amp;TEXT(마스터!$P$13-$D26,"#,##0")&amp;")",""))</f>
        <v/>
      </c>
    </row>
    <row r="27" customFormat="false" ht="15" hidden="false" customHeight="true" outlineLevel="0" collapsed="false">
      <c r="A27" s="75" t="n">
        <f aca="false">마스터!A9</f>
        <v>5</v>
      </c>
      <c r="B27" s="76" t="str">
        <f aca="false">마스터!B9</f>
        <v>아트지</v>
      </c>
      <c r="C27" s="76" t="str">
        <f aca="false">마스터!C9</f>
        <v>60*40</v>
      </c>
      <c r="D27" s="77" t="n">
        <f aca="false">마스터!P9</f>
        <v>4930</v>
      </c>
      <c r="E27" s="77" t="n">
        <f aca="false">IF(ISNUMBER(D27),ROUNDDOWN(D27*(1+$F$18),-1),"")</f>
        <v>2460</v>
      </c>
      <c r="F27" s="77" t="n">
        <f aca="false">IF(ISNUMBER(D27),ROUNDDOWN(D27*(1+$F$19),-1),"")</f>
        <v>9860</v>
      </c>
      <c r="G27" s="78" t="n">
        <f aca="false">SUMPRODUCT(--(LEN(J27:AF27)&gt;0))</f>
        <v>6</v>
      </c>
      <c r="H27" s="79" t="str">
        <f aca="false">IF(G27&gt;0,_xlfn.TEXTJOIN(", ",TRUE(),J27:AF27),IF(ISNUMBER(D27),"옵션 가능한 사이즈 없음","가격 미정 — 판매가 입력 필요"))</f>
        <v>100*100(+2,770), 100*60(+2,220), 50*30(-530), 35*20(-2,180), 80*60(+2,220), 40*20(-2,180)</v>
      </c>
      <c r="K27" s="48" t="str">
        <f aca="false">IF(OR(NOT(ISNUMBER($E27)),NOT(ISNUMBER(마스터!$P$14))),"",IF(AND(마스터!$P$14&gt;=$E27,마스터!$P$14&lt;=$F27,OR($F$20=0,마스터!$G$14&gt;0)),마스터!$C$14&amp;"("&amp;IF(마스터!$P$14-$D27&gt;=0,"+","")&amp;TEXT(마스터!$P$14-$D27,"#,##0")&amp;")",""))</f>
        <v>100*100(+2,770)</v>
      </c>
      <c r="M27" s="48" t="str">
        <f aca="false">IF(OR(NOT(ISNUMBER($E27)),NOT(ISNUMBER(마스터!$P$12))),"",IF(AND(마스터!$P$12&gt;=$E27,마스터!$P$12&lt;=$F27,OR($F$20=0,마스터!$G$12&gt;0)),마스터!$C$12&amp;"("&amp;IF(마스터!$P$12-$D27&gt;=0,"+","")&amp;TEXT(마스터!$P$12-$D27,"#,##0")&amp;")",""))</f>
        <v>100*60(+2,220)</v>
      </c>
      <c r="N27" s="48" t="str">
        <f aca="false">IF(OR(NOT(ISNUMBER($E27)),NOT(ISNUMBER(마스터!$P$7))),"",IF(AND(마스터!$P$7&gt;=$E27,마스터!$P$7&lt;=$F27,OR($F$20=0,마스터!$G$7&gt;0)),마스터!$C$7&amp;"("&amp;IF(마스터!$P$7-$D27&gt;=0,"+","")&amp;TEXT(마스터!$P$7-$D27,"#,##0")&amp;")",""))</f>
        <v>50*30(-530)</v>
      </c>
      <c r="O27" s="48" t="str">
        <f aca="false">IF(OR(NOT(ISNUMBER($E27)),NOT(ISNUMBER(마스터!$P$5))),"",IF(AND(마스터!$P$5&gt;=$E27,마스터!$P$5&lt;=$F27,OR($F$20=0,마스터!$G$5&gt;0)),마스터!$C$5&amp;"("&amp;IF(마스터!$P$5-$D27&gt;=0,"+","")&amp;TEXT(마스터!$P$5-$D27,"#,##0")&amp;")",""))</f>
        <v>35*20(-2,180)</v>
      </c>
      <c r="P27" s="48" t="str">
        <f aca="false">IF(OR(NOT(ISNUMBER($E27)),NOT(ISNUMBER(마스터!$P$11))),"",IF(AND(마스터!$P$11&gt;=$E27,마스터!$P$11&lt;=$F27,OR($F$20=0,마스터!$G$11&gt;0)),마스터!$C$11&amp;"("&amp;IF(마스터!$P$11-$D27&gt;=0,"+","")&amp;TEXT(마스터!$P$11-$D27,"#,##0")&amp;")",""))</f>
        <v>80*60(+2,220)</v>
      </c>
      <c r="Q27" s="48" t="str">
        <f aca="false">IF(OR(NOT(ISNUMBER($E27)),NOT(ISNUMBER(마스터!$P$6))),"",IF(AND(마스터!$P$6&gt;=$E27,마스터!$P$6&lt;=$F27,OR($F$20=0,마스터!$G$6&gt;0)),마스터!$C$6&amp;"("&amp;IF(마스터!$P$6-$D27&gt;=0,"+","")&amp;TEXT(마스터!$P$6-$D27,"#,##0")&amp;")",""))</f>
        <v>40*20(-2,180)</v>
      </c>
      <c r="R27" s="48" t="str">
        <f aca="false">IF(OR(NOT(ISNUMBER($E27)),NOT(ISNUMBER(마스터!$P$10))),"",IF(AND(마스터!$P$10&gt;=$E27,마스터!$P$10&lt;=$F27,OR($F$20=0,마스터!$G$10&gt;0)),마스터!$C$10&amp;"("&amp;IF(마스터!$P$10-$D27&gt;=0,"+","")&amp;TEXT(마스터!$P$10-$D27,"#,##0")&amp;")",""))</f>
        <v/>
      </c>
      <c r="S27" s="48" t="str">
        <f aca="false">IF(OR(NOT(ISNUMBER($E27)),NOT(ISNUMBER(마스터!$P$13))),"",IF(AND(마스터!$P$13&gt;=$E27,마스터!$P$13&lt;=$F27,OR($F$20=0,마스터!$G$13&gt;0)),마스터!$C$13&amp;"("&amp;IF(마스터!$P$13-$D27&gt;=0,"+","")&amp;TEXT(마스터!$P$13-$D27,"#,##0")&amp;")",""))</f>
        <v/>
      </c>
    </row>
    <row r="28" customFormat="false" ht="15" hidden="false" customHeight="true" outlineLevel="0" collapsed="false">
      <c r="A28" s="75" t="n">
        <f aca="false">마스터!A10</f>
        <v>6</v>
      </c>
      <c r="B28" s="76" t="str">
        <f aca="false">마스터!B10</f>
        <v>아트지/품절</v>
      </c>
      <c r="C28" s="76" t="str">
        <f aca="false">마스터!C10</f>
        <v>70*40</v>
      </c>
      <c r="D28" s="77" t="str">
        <f aca="false">마스터!P10</f>
        <v/>
      </c>
      <c r="E28" s="77" t="str">
        <f aca="false">IF(ISNUMBER(D28),ROUNDDOWN(D28*(1+$F$18),-1),"")</f>
        <v/>
      </c>
      <c r="F28" s="77" t="str">
        <f aca="false">IF(ISNUMBER(D28),ROUNDDOWN(D28*(1+$F$19),-1),"")</f>
        <v/>
      </c>
      <c r="G28" s="78" t="n">
        <f aca="false">SUMPRODUCT(--(LEN(J28:AF28)&gt;0))</f>
        <v>0</v>
      </c>
      <c r="H28" s="80" t="s">
        <v>110</v>
      </c>
      <c r="K28" s="48" t="str">
        <f aca="false">IF(OR(NOT(ISNUMBER($E28)),NOT(ISNUMBER(마스터!$P$14))),"",IF(AND(마스터!$P$14&gt;=$E28,마스터!$P$14&lt;=$F28,OR($F$20=0,마스터!$G$14&gt;0)),마스터!$C$14&amp;"("&amp;IF(마스터!$P$14-$D28&gt;=0,"+","")&amp;TEXT(마스터!$P$14-$D28,"#,##0")&amp;")",""))</f>
        <v/>
      </c>
      <c r="L28" s="48" t="str">
        <f aca="false">IF(OR(NOT(ISNUMBER($E28)),NOT(ISNUMBER(마스터!$P$9))),"",IF(AND(마스터!$P$9&gt;=$E28,마스터!$P$9&lt;=$F28,OR($F$20=0,마스터!$G$9&gt;0)),마스터!$C$9&amp;"("&amp;IF(마스터!$P$9-$D28&gt;=0,"+","")&amp;TEXT(마스터!$P$9-$D28,"#,##0")&amp;")",""))</f>
        <v/>
      </c>
      <c r="M28" s="48" t="str">
        <f aca="false">IF(OR(NOT(ISNUMBER($E28)),NOT(ISNUMBER(마스터!$P$12))),"",IF(AND(마스터!$P$12&gt;=$E28,마스터!$P$12&lt;=$F28,OR($F$20=0,마스터!$G$12&gt;0)),마스터!$C$12&amp;"("&amp;IF(마스터!$P$12-$D28&gt;=0,"+","")&amp;TEXT(마스터!$P$12-$D28,"#,##0")&amp;")",""))</f>
        <v/>
      </c>
      <c r="N28" s="48" t="str">
        <f aca="false">IF(OR(NOT(ISNUMBER($E28)),NOT(ISNUMBER(마스터!$P$7))),"",IF(AND(마스터!$P$7&gt;=$E28,마스터!$P$7&lt;=$F28,OR($F$20=0,마스터!$G$7&gt;0)),마스터!$C$7&amp;"("&amp;IF(마스터!$P$7-$D28&gt;=0,"+","")&amp;TEXT(마스터!$P$7-$D28,"#,##0")&amp;")",""))</f>
        <v/>
      </c>
      <c r="O28" s="48" t="str">
        <f aca="false">IF(OR(NOT(ISNUMBER($E28)),NOT(ISNUMBER(마스터!$P$5))),"",IF(AND(마스터!$P$5&gt;=$E28,마스터!$P$5&lt;=$F28,OR($F$20=0,마스터!$G$5&gt;0)),마스터!$C$5&amp;"("&amp;IF(마스터!$P$5-$D28&gt;=0,"+","")&amp;TEXT(마스터!$P$5-$D28,"#,##0")&amp;")",""))</f>
        <v/>
      </c>
      <c r="P28" s="48" t="str">
        <f aca="false">IF(OR(NOT(ISNUMBER($E28)),NOT(ISNUMBER(마스터!$P$11))),"",IF(AND(마스터!$P$11&gt;=$E28,마스터!$P$11&lt;=$F28,OR($F$20=0,마스터!$G$11&gt;0)),마스터!$C$11&amp;"("&amp;IF(마스터!$P$11-$D28&gt;=0,"+","")&amp;TEXT(마스터!$P$11-$D28,"#,##0")&amp;")",""))</f>
        <v/>
      </c>
      <c r="Q28" s="48" t="str">
        <f aca="false">IF(OR(NOT(ISNUMBER($E28)),NOT(ISNUMBER(마스터!$P$6))),"",IF(AND(마스터!$P$6&gt;=$E28,마스터!$P$6&lt;=$F28,OR($F$20=0,마스터!$G$6&gt;0)),마스터!$C$6&amp;"("&amp;IF(마스터!$P$6-$D28&gt;=0,"+","")&amp;TEXT(마스터!$P$6-$D28,"#,##0")&amp;")",""))</f>
        <v/>
      </c>
      <c r="S28" s="48" t="str">
        <f aca="false">IF(OR(NOT(ISNUMBER($E28)),NOT(ISNUMBER(마스터!$P$13))),"",IF(AND(마스터!$P$13&gt;=$E28,마스터!$P$13&lt;=$F28,OR($F$20=0,마스터!$G$13&gt;0)),마스터!$C$13&amp;"("&amp;IF(마스터!$P$13-$D28&gt;=0,"+","")&amp;TEXT(마스터!$P$13-$D28,"#,##0")&amp;")",""))</f>
        <v/>
      </c>
    </row>
    <row r="29" customFormat="false" ht="15" hidden="false" customHeight="true" outlineLevel="0" collapsed="false">
      <c r="A29" s="75" t="n">
        <f aca="false">마스터!A11</f>
        <v>7</v>
      </c>
      <c r="B29" s="76" t="str">
        <f aca="false">마스터!B11</f>
        <v>아트지</v>
      </c>
      <c r="C29" s="76" t="str">
        <f aca="false">마스터!C11</f>
        <v>80*60</v>
      </c>
      <c r="D29" s="77" t="n">
        <f aca="false">마스터!P11</f>
        <v>7150</v>
      </c>
      <c r="E29" s="77" t="n">
        <f aca="false">IF(ISNUMBER(D29),ROUNDDOWN(D29*(1+$F$18),-1),"")</f>
        <v>3570</v>
      </c>
      <c r="F29" s="77" t="n">
        <f aca="false">IF(ISNUMBER(D29),ROUNDDOWN(D29*(1+$F$19),-1),"")</f>
        <v>14300</v>
      </c>
      <c r="G29" s="78" t="n">
        <f aca="false">SUMPRODUCT(--(LEN(J29:AF29)&gt;0))</f>
        <v>5</v>
      </c>
      <c r="H29" s="79" t="str">
        <f aca="false">IF(G29&gt;0,_xlfn.TEXTJOIN(", ",TRUE(),J29:AF29),IF(ISNUMBER(D29),"옵션 가능한 사이즈 없음","가격 미정 — 판매가 입력 필요"))</f>
        <v>100*100(+550), 60*40(-2,220), 100*60(+0), 50*30(-2,750), 100*70(+3,610)</v>
      </c>
      <c r="K29" s="48" t="str">
        <f aca="false">IF(OR(NOT(ISNUMBER($E29)),NOT(ISNUMBER(마스터!$P$14))),"",IF(AND(마스터!$P$14&gt;=$E29,마스터!$P$14&lt;=$F29,OR($F$20=0,마스터!$G$14&gt;0)),마스터!$C$14&amp;"("&amp;IF(마스터!$P$14-$D29&gt;=0,"+","")&amp;TEXT(마스터!$P$14-$D29,"#,##0")&amp;")",""))</f>
        <v>100*100(+550)</v>
      </c>
      <c r="L29" s="48" t="str">
        <f aca="false">IF(OR(NOT(ISNUMBER($E29)),NOT(ISNUMBER(마스터!$P$9))),"",IF(AND(마스터!$P$9&gt;=$E29,마스터!$P$9&lt;=$F29,OR($F$20=0,마스터!$G$9&gt;0)),마스터!$C$9&amp;"("&amp;IF(마스터!$P$9-$D29&gt;=0,"+","")&amp;TEXT(마스터!$P$9-$D29,"#,##0")&amp;")",""))</f>
        <v>60*40(-2,220)</v>
      </c>
      <c r="M29" s="48" t="str">
        <f aca="false">IF(OR(NOT(ISNUMBER($E29)),NOT(ISNUMBER(마스터!$P$12))),"",IF(AND(마스터!$P$12&gt;=$E29,마스터!$P$12&lt;=$F29,OR($F$20=0,마스터!$G$12&gt;0)),마스터!$C$12&amp;"("&amp;IF(마스터!$P$12-$D29&gt;=0,"+","")&amp;TEXT(마스터!$P$12-$D29,"#,##0")&amp;")",""))</f>
        <v>100*60(+0)</v>
      </c>
      <c r="N29" s="48" t="str">
        <f aca="false">IF(OR(NOT(ISNUMBER($E29)),NOT(ISNUMBER(마스터!$P$7))),"",IF(AND(마스터!$P$7&gt;=$E29,마스터!$P$7&lt;=$F29,OR($F$20=0,마스터!$G$7&gt;0)),마스터!$C$7&amp;"("&amp;IF(마스터!$P$7-$D29&gt;=0,"+","")&amp;TEXT(마스터!$P$7-$D29,"#,##0")&amp;")",""))</f>
        <v>50*30(-2,750)</v>
      </c>
      <c r="O29" s="48" t="str">
        <f aca="false">IF(OR(NOT(ISNUMBER($E29)),NOT(ISNUMBER(마스터!$P$5))),"",IF(AND(마스터!$P$5&gt;=$E29,마스터!$P$5&lt;=$F29,OR($F$20=0,마스터!$G$5&gt;0)),마스터!$C$5&amp;"("&amp;IF(마스터!$P$5-$D29&gt;=0,"+","")&amp;TEXT(마스터!$P$5-$D29,"#,##0")&amp;")",""))</f>
        <v/>
      </c>
      <c r="Q29" s="48" t="str">
        <f aca="false">IF(OR(NOT(ISNUMBER($E29)),NOT(ISNUMBER(마스터!$P$6))),"",IF(AND(마스터!$P$6&gt;=$E29,마스터!$P$6&lt;=$F29,OR($F$20=0,마스터!$G$6&gt;0)),마스터!$C$6&amp;"("&amp;IF(마스터!$P$6-$D29&gt;=0,"+","")&amp;TEXT(마스터!$P$6-$D29,"#,##0")&amp;")",""))</f>
        <v/>
      </c>
      <c r="R29" s="48" t="str">
        <f aca="false">IF(OR(NOT(ISNUMBER($E29)),NOT(ISNUMBER(마스터!$P$10))),"",IF(AND(마스터!$P$10&gt;=$E29,마스터!$P$10&lt;=$F29,OR($F$20=0,마스터!$G$10&gt;0)),마스터!$C$10&amp;"("&amp;IF(마스터!$P$10-$D29&gt;=0,"+","")&amp;TEXT(마스터!$P$10-$D29,"#,##0")&amp;")",""))</f>
        <v/>
      </c>
      <c r="S29" s="48" t="str">
        <f aca="false">IF(OR(NOT(ISNUMBER($E29)),NOT(ISNUMBER(마스터!$P$13))),"",IF(AND(마스터!$P$13&gt;=$E29,마스터!$P$13&lt;=$F29,OR($F$20=0,마스터!$G$13&gt;0)),마스터!$C$13&amp;"("&amp;IF(마스터!$P$13-$D29&gt;=0,"+","")&amp;TEXT(마스터!$P$13-$D29,"#,##0")&amp;")",""))</f>
        <v>100*70(+3,610)</v>
      </c>
    </row>
    <row r="30" customFormat="false" ht="15" hidden="false" customHeight="true" outlineLevel="0" collapsed="false">
      <c r="A30" s="75" t="n">
        <f aca="false">마스터!A12</f>
        <v>8</v>
      </c>
      <c r="B30" s="76" t="str">
        <f aca="false">마스터!B12</f>
        <v>아트지</v>
      </c>
      <c r="C30" s="76" t="str">
        <f aca="false">마스터!C12</f>
        <v>100*60</v>
      </c>
      <c r="D30" s="77" t="n">
        <f aca="false">마스터!P12</f>
        <v>7150</v>
      </c>
      <c r="E30" s="77" t="n">
        <f aca="false">IF(ISNUMBER(D30),ROUNDDOWN(D30*(1+$F$18),-1),"")</f>
        <v>3570</v>
      </c>
      <c r="F30" s="77" t="n">
        <f aca="false">IF(ISNUMBER(D30),ROUNDDOWN(D30*(1+$F$19),-1),"")</f>
        <v>14300</v>
      </c>
      <c r="G30" s="78" t="n">
        <f aca="false">SUMPRODUCT(--(LEN(J30:AF30)&gt;0))</f>
        <v>5</v>
      </c>
      <c r="H30" s="79" t="str">
        <f aca="false">IF(G30&gt;0,_xlfn.TEXTJOIN(", ",TRUE(),J30:AF30),IF(ISNUMBER(D30),"옵션 가능한 사이즈 없음","가격 미정 — 판매가 입력 필요"))</f>
        <v>100*100(+550), 60*40(-2,220), 50*30(-2,750), 80*60(+0), 100*70(+3,610)</v>
      </c>
      <c r="K30" s="48" t="str">
        <f aca="false">IF(OR(NOT(ISNUMBER($E30)),NOT(ISNUMBER(마스터!$P$14))),"",IF(AND(마스터!$P$14&gt;=$E30,마스터!$P$14&lt;=$F30,OR($F$20=0,마스터!$G$14&gt;0)),마스터!$C$14&amp;"("&amp;IF(마스터!$P$14-$D30&gt;=0,"+","")&amp;TEXT(마스터!$P$14-$D30,"#,##0")&amp;")",""))</f>
        <v>100*100(+550)</v>
      </c>
      <c r="L30" s="48" t="str">
        <f aca="false">IF(OR(NOT(ISNUMBER($E30)),NOT(ISNUMBER(마스터!$P$9))),"",IF(AND(마스터!$P$9&gt;=$E30,마스터!$P$9&lt;=$F30,OR($F$20=0,마스터!$G$9&gt;0)),마스터!$C$9&amp;"("&amp;IF(마스터!$P$9-$D30&gt;=0,"+","")&amp;TEXT(마스터!$P$9-$D30,"#,##0")&amp;")",""))</f>
        <v>60*40(-2,220)</v>
      </c>
      <c r="N30" s="48" t="str">
        <f aca="false">IF(OR(NOT(ISNUMBER($E30)),NOT(ISNUMBER(마스터!$P$7))),"",IF(AND(마스터!$P$7&gt;=$E30,마스터!$P$7&lt;=$F30,OR($F$20=0,마스터!$G$7&gt;0)),마스터!$C$7&amp;"("&amp;IF(마스터!$P$7-$D30&gt;=0,"+","")&amp;TEXT(마스터!$P$7-$D30,"#,##0")&amp;")",""))</f>
        <v>50*30(-2,750)</v>
      </c>
      <c r="O30" s="48" t="str">
        <f aca="false">IF(OR(NOT(ISNUMBER($E30)),NOT(ISNUMBER(마스터!$P$5))),"",IF(AND(마스터!$P$5&gt;=$E30,마스터!$P$5&lt;=$F30,OR($F$20=0,마스터!$G$5&gt;0)),마스터!$C$5&amp;"("&amp;IF(마스터!$P$5-$D30&gt;=0,"+","")&amp;TEXT(마스터!$P$5-$D30,"#,##0")&amp;")",""))</f>
        <v/>
      </c>
      <c r="P30" s="48" t="str">
        <f aca="false">IF(OR(NOT(ISNUMBER($E30)),NOT(ISNUMBER(마스터!$P$11))),"",IF(AND(마스터!$P$11&gt;=$E30,마스터!$P$11&lt;=$F30,OR($F$20=0,마스터!$G$11&gt;0)),마스터!$C$11&amp;"("&amp;IF(마스터!$P$11-$D30&gt;=0,"+","")&amp;TEXT(마스터!$P$11-$D30,"#,##0")&amp;")",""))</f>
        <v>80*60(+0)</v>
      </c>
      <c r="Q30" s="48" t="str">
        <f aca="false">IF(OR(NOT(ISNUMBER($E30)),NOT(ISNUMBER(마스터!$P$6))),"",IF(AND(마스터!$P$6&gt;=$E30,마스터!$P$6&lt;=$F30,OR($F$20=0,마스터!$G$6&gt;0)),마스터!$C$6&amp;"("&amp;IF(마스터!$P$6-$D30&gt;=0,"+","")&amp;TEXT(마스터!$P$6-$D30,"#,##0")&amp;")",""))</f>
        <v/>
      </c>
      <c r="R30" s="48" t="str">
        <f aca="false">IF(OR(NOT(ISNUMBER($E30)),NOT(ISNUMBER(마스터!$P$10))),"",IF(AND(마스터!$P$10&gt;=$E30,마스터!$P$10&lt;=$F30,OR($F$20=0,마스터!$G$10&gt;0)),마스터!$C$10&amp;"("&amp;IF(마스터!$P$10-$D30&gt;=0,"+","")&amp;TEXT(마스터!$P$10-$D30,"#,##0")&amp;")",""))</f>
        <v/>
      </c>
      <c r="S30" s="48" t="str">
        <f aca="false">IF(OR(NOT(ISNUMBER($E30)),NOT(ISNUMBER(마스터!$P$13))),"",IF(AND(마스터!$P$13&gt;=$E30,마스터!$P$13&lt;=$F30,OR($F$20=0,마스터!$G$13&gt;0)),마스터!$C$13&amp;"("&amp;IF(마스터!$P$13-$D30&gt;=0,"+","")&amp;TEXT(마스터!$P$13-$D30,"#,##0")&amp;")",""))</f>
        <v>100*70(+3,610)</v>
      </c>
    </row>
    <row r="31" customFormat="false" ht="15" hidden="false" customHeight="true" outlineLevel="0" collapsed="false">
      <c r="A31" s="81" t="n">
        <f aca="false">마스터!A13</f>
        <v>9</v>
      </c>
      <c r="B31" s="82" t="str">
        <f aca="false">마스터!B13</f>
        <v>아트지</v>
      </c>
      <c r="C31" s="82" t="str">
        <f aca="false">마스터!C13</f>
        <v>100*70</v>
      </c>
      <c r="D31" s="83" t="n">
        <f aca="false">마스터!P13</f>
        <v>10760</v>
      </c>
      <c r="E31" s="83" t="n">
        <f aca="false">IF(ISNUMBER(D31),ROUNDDOWN(D31*(1+$F$18),-1),"")</f>
        <v>5380</v>
      </c>
      <c r="F31" s="83" t="n">
        <f aca="false">IF(ISNUMBER(D31),ROUNDDOWN(D31*(1+$F$19),-1),"")</f>
        <v>21520</v>
      </c>
      <c r="G31" s="84" t="n">
        <f aca="false">SUMPRODUCT(--(LEN(J31:AF31)&gt;0))</f>
        <v>3</v>
      </c>
      <c r="H31" s="85" t="str">
        <f aca="false">IF(G31&gt;0,_xlfn.TEXTJOIN(", ",TRUE(),J31:AF31),IF(ISNUMBER(D31),"옵션 가능한 사이즈 없음","가격 미정 — 판매가 입력 필요"))</f>
        <v>100*100(-3,060), 100*60(-3,610), 80*60(-3,610)</v>
      </c>
      <c r="J31" s="47" t="str">
        <f aca="false">IF(OR(NOT(ISNUMBER($E31)),NOT(ISNUMBER(마스터!$P$8))),"",IF(AND(마스터!$P$8&gt;=$E31,마스터!$P$8&lt;=$F31,OR($F$20=0,마스터!$G$8&gt;0)),마스터!$C$8&amp;"("&amp;IF(마스터!$P$8-$D31&gt;=0,"+","")&amp;TEXT(마스터!$P$8-$D31,"#,##0")&amp;")",""))</f>
        <v/>
      </c>
      <c r="K31" s="48" t="str">
        <f aca="false">IF(OR(NOT(ISNUMBER($E31)),NOT(ISNUMBER(마스터!$P$14))),"",IF(AND(마스터!$P$14&gt;=$E31,마스터!$P$14&lt;=$F31,OR($F$20=0,마스터!$G$14&gt;0)),마스터!$C$14&amp;"("&amp;IF(마스터!$P$14-$D31&gt;=0,"+","")&amp;TEXT(마스터!$P$14-$D31,"#,##0")&amp;")",""))</f>
        <v>100*100(-3,060)</v>
      </c>
      <c r="L31" s="48" t="str">
        <f aca="false">IF(OR(NOT(ISNUMBER($E31)),NOT(ISNUMBER(마스터!$P$9))),"",IF(AND(마스터!$P$9&gt;=$E31,마스터!$P$9&lt;=$F31,OR($F$20=0,마스터!$G$9&gt;0)),마스터!$C$9&amp;"("&amp;IF(마스터!$P$9-$D31&gt;=0,"+","")&amp;TEXT(마스터!$P$9-$D31,"#,##0")&amp;")",""))</f>
        <v/>
      </c>
      <c r="M31" s="48" t="str">
        <f aca="false">IF(OR(NOT(ISNUMBER($E31)),NOT(ISNUMBER(마스터!$P$12))),"",IF(AND(마스터!$P$12&gt;=$E31,마스터!$P$12&lt;=$F31,OR($F$20=0,마스터!$G$12&gt;0)),마스터!$C$12&amp;"("&amp;IF(마스터!$P$12-$D31&gt;=0,"+","")&amp;TEXT(마스터!$P$12-$D31,"#,##0")&amp;")",""))</f>
        <v>100*60(-3,610)</v>
      </c>
      <c r="N31" s="48" t="str">
        <f aca="false">IF(OR(NOT(ISNUMBER($E31)),NOT(ISNUMBER(마스터!$P$7))),"",IF(AND(마스터!$P$7&gt;=$E31,마스터!$P$7&lt;=$F31,OR($F$20=0,마스터!$G$7&gt;0)),마스터!$C$7&amp;"("&amp;IF(마스터!$P$7-$D31&gt;=0,"+","")&amp;TEXT(마스터!$P$7-$D31,"#,##0")&amp;")",""))</f>
        <v/>
      </c>
      <c r="O31" s="48" t="str">
        <f aca="false">IF(OR(NOT(ISNUMBER($E31)),NOT(ISNUMBER(마스터!$P$5))),"",IF(AND(마스터!$P$5&gt;=$E31,마스터!$P$5&lt;=$F31,OR($F$20=0,마스터!$G$5&gt;0)),마스터!$C$5&amp;"("&amp;IF(마스터!$P$5-$D31&gt;=0,"+","")&amp;TEXT(마스터!$P$5-$D31,"#,##0")&amp;")",""))</f>
        <v/>
      </c>
      <c r="P31" s="48" t="str">
        <f aca="false">IF(OR(NOT(ISNUMBER($E31)),NOT(ISNUMBER(마스터!$P$11))),"",IF(AND(마스터!$P$11&gt;=$E31,마스터!$P$11&lt;=$F31,OR($F$20=0,마스터!$G$11&gt;0)),마스터!$C$11&amp;"("&amp;IF(마스터!$P$11-$D31&gt;=0,"+","")&amp;TEXT(마스터!$P$11-$D31,"#,##0")&amp;")",""))</f>
        <v>80*60(-3,610)</v>
      </c>
      <c r="Q31" s="48" t="str">
        <f aca="false">IF(OR(NOT(ISNUMBER($E31)),NOT(ISNUMBER(마스터!$P$6))),"",IF(AND(마스터!$P$6&gt;=$E31,마스터!$P$6&lt;=$F31,OR($F$20=0,마스터!$G$6&gt;0)),마스터!$C$6&amp;"("&amp;IF(마스터!$P$6-$D31&gt;=0,"+","")&amp;TEXT(마스터!$P$6-$D31,"#,##0")&amp;")",""))</f>
        <v/>
      </c>
      <c r="R31" s="48" t="str">
        <f aca="false">IF(OR(NOT(ISNUMBER($E31)),NOT(ISNUMBER(마스터!$P$10))),"",IF(AND(마스터!$P$10&gt;=$E31,마스터!$P$10&lt;=$F31,OR($F$20=0,마스터!$G$10&gt;0)),마스터!$C$10&amp;"("&amp;IF(마스터!$P$10-$D31&gt;=0,"+","")&amp;TEXT(마스터!$P$10-$D31,"#,##0")&amp;")",""))</f>
        <v/>
      </c>
    </row>
    <row r="32" customFormat="false" ht="15" hidden="false" customHeight="true" outlineLevel="0" collapsed="false">
      <c r="A32" s="75" t="n">
        <f aca="false">마스터!A14</f>
        <v>10</v>
      </c>
      <c r="B32" s="76" t="str">
        <f aca="false">마스터!B14</f>
        <v>아트지</v>
      </c>
      <c r="C32" s="76" t="str">
        <f aca="false">마스터!C14</f>
        <v>100*100</v>
      </c>
      <c r="D32" s="77" t="n">
        <f aca="false">마스터!P14</f>
        <v>7700</v>
      </c>
      <c r="E32" s="77" t="n">
        <f aca="false">IF(ISNUMBER(D32),ROUNDDOWN(D32*(1+$F$18),-1),"")</f>
        <v>3850</v>
      </c>
      <c r="F32" s="77" t="n">
        <f aca="false">IF(ISNUMBER(D32),ROUNDDOWN(D32*(1+$F$19),-1),"")</f>
        <v>15400</v>
      </c>
      <c r="G32" s="78" t="n">
        <f aca="false">SUMPRODUCT(--(LEN(J32:AF32)&gt;0))</f>
        <v>6</v>
      </c>
      <c r="H32" s="79" t="str">
        <f aca="false">IF(G32&gt;0,_xlfn.TEXTJOIN(", ",TRUE(),J32:AF32),IF(ISNUMBER(D32),"옵션 가능한 사이즈 없음","가격 미정 — 판매가 입력 필요"))</f>
        <v>60*40(-2,770), 100*60(-550), 50*30(-3,300), 80*60(-550), 100*70(+3,060), 50*50(-3,850)</v>
      </c>
      <c r="L32" s="48" t="str">
        <f aca="false">IF(OR(NOT(ISNUMBER($E32)),NOT(ISNUMBER(마스터!$P$9))),"",IF(AND(마스터!$P$9&gt;=$E32,마스터!$P$9&lt;=$F32,OR($F$20=0,마스터!$G$9&gt;0)),마스터!$C$9&amp;"("&amp;IF(마스터!$P$9-$D32&gt;=0,"+","")&amp;TEXT(마스터!$P$9-$D32,"#,##0")&amp;")",""))</f>
        <v>60*40(-2,770)</v>
      </c>
      <c r="M32" s="48" t="str">
        <f aca="false">IF(OR(NOT(ISNUMBER($E32)),NOT(ISNUMBER(마스터!$P$12))),"",IF(AND(마스터!$P$12&gt;=$E32,마스터!$P$12&lt;=$F32,OR($F$20=0,마스터!$G$12&gt;0)),마스터!$C$12&amp;"("&amp;IF(마스터!$P$12-$D32&gt;=0,"+","")&amp;TEXT(마스터!$P$12-$D32,"#,##0")&amp;")",""))</f>
        <v>100*60(-550)</v>
      </c>
      <c r="N32" s="48" t="str">
        <f aca="false">IF(OR(NOT(ISNUMBER($E32)),NOT(ISNUMBER(마스터!$P$7))),"",IF(AND(마스터!$P$7&gt;=$E32,마스터!$P$7&lt;=$F32,OR($F$20=0,마스터!$G$7&gt;0)),마스터!$C$7&amp;"("&amp;IF(마스터!$P$7-$D32&gt;=0,"+","")&amp;TEXT(마스터!$P$7-$D32,"#,##0")&amp;")",""))</f>
        <v>50*30(-3,300)</v>
      </c>
      <c r="O32" s="48" t="str">
        <f aca="false">IF(OR(NOT(ISNUMBER($E32)),NOT(ISNUMBER(마스터!$P$5))),"",IF(AND(마스터!$P$5&gt;=$E32,마스터!$P$5&lt;=$F32,OR($F$20=0,마스터!$G$5&gt;0)),마스터!$C$5&amp;"("&amp;IF(마스터!$P$5-$D32&gt;=0,"+","")&amp;TEXT(마스터!$P$5-$D32,"#,##0")&amp;")",""))</f>
        <v/>
      </c>
      <c r="P32" s="48" t="str">
        <f aca="false">IF(OR(NOT(ISNUMBER($E32)),NOT(ISNUMBER(마스터!$P$11))),"",IF(AND(마스터!$P$11&gt;=$E32,마스터!$P$11&lt;=$F32,OR($F$20=0,마스터!$G$11&gt;0)),마스터!$C$11&amp;"("&amp;IF(마스터!$P$11-$D32&gt;=0,"+","")&amp;TEXT(마스터!$P$11-$D32,"#,##0")&amp;")",""))</f>
        <v>80*60(-550)</v>
      </c>
      <c r="Q32" s="48" t="str">
        <f aca="false">IF(OR(NOT(ISNUMBER($E32)),NOT(ISNUMBER(마스터!$P$6))),"",IF(AND(마스터!$P$6&gt;=$E32,마스터!$P$6&lt;=$F32,OR($F$20=0,마스터!$G$6&gt;0)),마스터!$C$6&amp;"("&amp;IF(마스터!$P$6-$D32&gt;=0,"+","")&amp;TEXT(마스터!$P$6-$D32,"#,##0")&amp;")",""))</f>
        <v/>
      </c>
      <c r="R32" s="48" t="str">
        <f aca="false">IF(OR(NOT(ISNUMBER($E32)),NOT(ISNUMBER(마스터!$P$10))),"",IF(AND(마스터!$P$10&gt;=$E32,마스터!$P$10&lt;=$F32,OR($F$20=0,마스터!$G$10&gt;0)),마스터!$C$10&amp;"("&amp;IF(마스터!$P$10-$D32&gt;=0,"+","")&amp;TEXT(마스터!$P$10-$D32,"#,##0")&amp;")",""))</f>
        <v/>
      </c>
      <c r="S32" s="48" t="str">
        <f aca="false">IF(OR(NOT(ISNUMBER($E32)),NOT(ISNUMBER(마스터!$P$13))),"",IF(AND(마스터!$P$13&gt;=$E32,마스터!$P$13&lt;=$F32,OR($F$20=0,마스터!$G$13&gt;0)),마스터!$C$13&amp;"("&amp;IF(마스터!$P$13-$D32&gt;=0,"+","")&amp;TEXT(마스터!$P$13-$D32,"#,##0")&amp;")",""))</f>
        <v>100*70(+3,060)</v>
      </c>
      <c r="AB32" s="48" t="str">
        <f aca="false">IF(OR(NOT(ISNUMBER($E32)),NOT(ISNUMBER(마스터!$P$8))),"",IF(AND(마스터!$P$8&gt;=$E32,마스터!$P$8&lt;=$F32,OR($F$20=0,마스터!$G$8&gt;0)),마스터!$C$8&amp;"("&amp;IF(마스터!$P$8-$D32&gt;=0,"+","")&amp;TEXT(마스터!$P$8-$D32,"#,##0")&amp;")",""))</f>
        <v>50*50(-3,850)</v>
      </c>
    </row>
    <row r="33" customFormat="false" ht="16.5" hidden="false" customHeight="true" outlineLevel="0" collapsed="false">
      <c r="AB33" s="48" t="str">
        <f aca="false">IF(OR(NOT(ISNUMBER($E27)),NOT(ISNUMBER(마스터!$P$8))),"",IF(AND(마스터!$P$8&gt;=$E27,마스터!$P$8&lt;=$F27,OR($F$20=0,마스터!$G$8&gt;0)),마스터!$C$8&amp;"("&amp;IF(마스터!$P$8-$D27&gt;=0,"+","")&amp;TEXT(마스터!$P$8-$D27,"#,##0")&amp;")",""))</f>
        <v>50*50(-1,080)</v>
      </c>
    </row>
    <row r="34" customFormat="false" ht="16.5" hidden="false" customHeight="true" outlineLevel="0" collapsed="false">
      <c r="AB34" s="48" t="str">
        <f aca="false">IF(OR(NOT(ISNUMBER($E30)),NOT(ISNUMBER(마스터!$P$8))),"",IF(AND(마스터!$P$8&gt;=$E30,마스터!$P$8&lt;=$F30,OR($F$20=0,마스터!$G$8&gt;0)),마스터!$C$8&amp;"("&amp;IF(마스터!$P$8-$D30&gt;=0,"+","")&amp;TEXT(마스터!$P$8-$D30,"#,##0")&amp;")",""))</f>
        <v>50*50(-3,300)</v>
      </c>
    </row>
    <row r="35" customFormat="false" ht="16.5" hidden="false" customHeight="true" outlineLevel="0" collapsed="false">
      <c r="AB35" s="48" t="str">
        <f aca="false">IF(OR(NOT(ISNUMBER($E25)),NOT(ISNUMBER(마스터!$P$8))),"",IF(AND(마스터!$P$8&gt;=$E25,마스터!$P$8&lt;=$F25,OR($F$20=0,마스터!$G$8&gt;0)),마스터!$C$8&amp;"("&amp;IF(마스터!$P$8-$D25&gt;=0,"+","")&amp;TEXT(마스터!$P$8-$D25,"#,##0")&amp;")",""))</f>
        <v>50*50(-550)</v>
      </c>
    </row>
    <row r="36" customFormat="false" ht="16.5" hidden="false" customHeight="true" outlineLevel="0" collapsed="false">
      <c r="AB36" s="48" t="str">
        <f aca="false">IF(OR(NOT(ISNUMBER($E28)),NOT(ISNUMBER(마스터!$P$8))),"",IF(AND(마스터!$P$8&gt;=$E28,마스터!$P$8&lt;=$F28,OR($F$20=0,마스터!$G$8&gt;0)),마스터!$C$8&amp;"("&amp;IF(마스터!$P$8-$D28&gt;=0,"+","")&amp;TEXT(마스터!$P$8-$D28,"#,##0")&amp;")",""))</f>
        <v/>
      </c>
    </row>
    <row r="37" customFormat="false" ht="16.5" hidden="false" customHeight="true" outlineLevel="0" collapsed="false">
      <c r="AB37" s="48" t="str">
        <f aca="false">IF(OR(NOT(ISNUMBER($E29)),NOT(ISNUMBER(마스터!$P$8))),"",IF(AND(마스터!$P$8&gt;=$E29,마스터!$P$8&lt;=$F29,OR($F$20=0,마스터!$G$8&gt;0)),마스터!$C$8&amp;"("&amp;IF(마스터!$P$8-$D29&gt;=0,"+","")&amp;TEXT(마스터!$P$8-$D29,"#,##0")&amp;")",""))</f>
        <v>50*50(-3,300)</v>
      </c>
    </row>
    <row r="38" customFormat="false" ht="16.5" hidden="false" customHeight="true" outlineLevel="0" collapsed="false">
      <c r="AB38" s="48" t="str">
        <f aca="false">IF(OR(NOT(ISNUMBER($E30)),NOT(ISNUMBER(마스터!$P$8))),"",IF(AND(마스터!$P$8&gt;=$E30,마스터!$P$8&lt;=$F30,OR($F$20=0,마스터!$G$8&gt;0)),마스터!$C$8&amp;"("&amp;IF(마스터!$P$8-$D30&gt;=0,"+","")&amp;TEXT(마스터!$P$8-$D30,"#,##0")&amp;")",""))</f>
        <v>50*50(-3,300)</v>
      </c>
    </row>
    <row r="39" customFormat="false" ht="16.5" hidden="false" customHeight="true" outlineLevel="0" collapsed="false">
      <c r="AB39" s="48" t="str">
        <f aca="false">IF(OR(NOT(ISNUMBER($E31)),NOT(ISNUMBER(마스터!$P$8))),"",IF(AND(마스터!$P$8&gt;=$E31,마스터!$P$8&lt;=$F31,OR($F$20=0,마스터!$G$8&gt;0)),마스터!$C$8&amp;"("&amp;IF(마스터!$P$8-$D31&gt;=0,"+","")&amp;TEXT(마스터!$P$8-$D31,"#,##0")&amp;")",""))</f>
        <v/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3" activeCellId="0" sqref="A13"/>
    </sheetView>
  </sheetViews>
  <sheetFormatPr defaultColWidth="8.71484375" defaultRowHeight="16.5" zeroHeight="false" outlineLevelRow="0" outlineLevelCol="0"/>
  <cols>
    <col collapsed="false" customWidth="true" hidden="false" outlineLevel="0" max="2" min="1" style="47" width="10"/>
    <col collapsed="false" customWidth="true" hidden="false" outlineLevel="0" max="3" min="3" style="47" width="18"/>
    <col collapsed="false" customWidth="true" hidden="false" outlineLevel="0" max="4" min="4" style="47" width="20.57"/>
    <col collapsed="false" customWidth="true" hidden="false" outlineLevel="0" max="5" min="5" style="47" width="20.42"/>
    <col collapsed="false" customWidth="true" hidden="false" outlineLevel="0" max="6" min="6" style="47" width="19.29"/>
    <col collapsed="false" customWidth="true" hidden="false" outlineLevel="0" max="7" min="7" style="47" width="18"/>
    <col collapsed="false" customWidth="true" hidden="false" outlineLevel="0" max="8" min="8" style="47" width="17.57"/>
    <col collapsed="false" customWidth="true" hidden="false" outlineLevel="0" max="9" min="9" style="47" width="16.71"/>
    <col collapsed="false" customWidth="true" hidden="false" outlineLevel="0" max="10" min="10" style="47" width="9"/>
    <col collapsed="false" customWidth="true" hidden="true" outlineLevel="0" max="20" min="11" style="48" width="13"/>
    <col collapsed="false" customWidth="true" hidden="false" outlineLevel="0" max="21" min="21" style="48" width="23"/>
    <col collapsed="false" customWidth="true" hidden="true" outlineLevel="0" max="29" min="28" style="48" width="13"/>
  </cols>
  <sheetData>
    <row r="2" customFormat="false" ht="16.5" hidden="false" customHeight="true" outlineLevel="0" collapsed="false">
      <c r="C2" s="47" t="s">
        <v>33</v>
      </c>
      <c r="D2" s="47" t="s">
        <v>37</v>
      </c>
      <c r="E2" s="47" t="s">
        <v>35</v>
      </c>
      <c r="F2" s="47" t="s">
        <v>39</v>
      </c>
      <c r="G2" s="47" t="s">
        <v>31</v>
      </c>
      <c r="H2" s="47" t="s">
        <v>44</v>
      </c>
      <c r="I2" s="47" t="s">
        <v>43</v>
      </c>
      <c r="J2" s="47" t="s">
        <v>47</v>
      </c>
      <c r="U2" s="48" t="s">
        <v>42</v>
      </c>
      <c r="V2" s="48" t="s">
        <v>111</v>
      </c>
    </row>
    <row r="3" customFormat="false" ht="16.5" hidden="false" customHeight="true" outlineLevel="0" collapsed="false">
      <c r="B3" s="47" t="s">
        <v>33</v>
      </c>
      <c r="C3" s="86" t="n">
        <v>2750</v>
      </c>
      <c r="D3" s="86" t="n">
        <v>3850</v>
      </c>
      <c r="E3" s="86" t="n">
        <v>4400</v>
      </c>
      <c r="F3" s="86" t="n">
        <v>4930</v>
      </c>
      <c r="G3" s="86"/>
      <c r="H3" s="86"/>
      <c r="I3" s="86"/>
      <c r="J3" s="86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</row>
    <row r="4" customFormat="false" ht="16.5" hidden="false" customHeight="true" outlineLevel="0" collapsed="false">
      <c r="B4" s="47" t="s">
        <v>37</v>
      </c>
      <c r="C4" s="86"/>
      <c r="D4" s="86"/>
      <c r="E4" s="86"/>
      <c r="F4" s="86"/>
      <c r="G4" s="86"/>
      <c r="H4" s="86"/>
      <c r="I4" s="86"/>
      <c r="J4" s="86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</row>
    <row r="5" customFormat="false" ht="16.5" hidden="false" customHeight="true" outlineLevel="0" collapsed="false">
      <c r="B5" s="47" t="s">
        <v>35</v>
      </c>
      <c r="C5" s="86"/>
      <c r="D5" s="86"/>
      <c r="E5" s="86"/>
      <c r="F5" s="86"/>
      <c r="G5" s="86"/>
      <c r="H5" s="86"/>
      <c r="I5" s="86"/>
      <c r="J5" s="86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</row>
    <row r="6" customFormat="false" ht="16.5" hidden="false" customHeight="true" outlineLevel="0" collapsed="false">
      <c r="B6" s="47" t="s">
        <v>39</v>
      </c>
      <c r="C6" s="88" t="n">
        <v>4930</v>
      </c>
      <c r="D6" s="86"/>
      <c r="E6" s="86"/>
      <c r="F6" s="86"/>
      <c r="G6" s="86"/>
      <c r="H6" s="86"/>
      <c r="I6" s="86"/>
      <c r="J6" s="86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</row>
    <row r="7" customFormat="false" ht="16.5" hidden="false" customHeight="true" outlineLevel="0" collapsed="false">
      <c r="B7" s="47" t="s">
        <v>31</v>
      </c>
      <c r="C7" s="86"/>
      <c r="D7" s="86"/>
      <c r="E7" s="86"/>
      <c r="F7" s="86"/>
      <c r="G7" s="86"/>
      <c r="H7" s="86"/>
      <c r="I7" s="86"/>
      <c r="J7" s="86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</row>
    <row r="8" customFormat="false" ht="16.5" hidden="false" customHeight="true" outlineLevel="0" collapsed="false">
      <c r="B8" s="47" t="s">
        <v>44</v>
      </c>
      <c r="C8" s="86"/>
      <c r="D8" s="86"/>
      <c r="E8" s="86"/>
      <c r="F8" s="86"/>
      <c r="G8" s="86"/>
      <c r="H8" s="86"/>
      <c r="I8" s="86"/>
      <c r="J8" s="86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</row>
    <row r="9" customFormat="false" ht="16.5" hidden="false" customHeight="true" outlineLevel="0" collapsed="false">
      <c r="B9" s="47" t="s">
        <v>43</v>
      </c>
      <c r="C9" s="86"/>
      <c r="D9" s="88" t="n">
        <v>7150</v>
      </c>
      <c r="E9" s="86"/>
      <c r="F9" s="86"/>
      <c r="G9" s="86"/>
      <c r="H9" s="86"/>
      <c r="I9" s="86"/>
      <c r="J9" s="86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</row>
    <row r="10" customFormat="false" ht="16.5" hidden="false" customHeight="true" outlineLevel="0" collapsed="false">
      <c r="B10" s="47" t="s">
        <v>47</v>
      </c>
      <c r="C10" s="86"/>
      <c r="D10" s="89" t="n">
        <f aca="false">D3*2</f>
        <v>7700</v>
      </c>
      <c r="E10" s="88" t="n">
        <v>7980</v>
      </c>
      <c r="F10" s="86"/>
      <c r="G10" s="86"/>
      <c r="H10" s="86"/>
      <c r="I10" s="86"/>
      <c r="J10" s="86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</row>
    <row r="11" customFormat="false" ht="16.5" hidden="false" customHeight="true" outlineLevel="0" collapsed="false">
      <c r="B11" s="47" t="s">
        <v>46</v>
      </c>
      <c r="C11" s="86"/>
      <c r="D11" s="90" t="s">
        <v>112</v>
      </c>
      <c r="E11" s="86"/>
      <c r="F11" s="86"/>
      <c r="G11" s="86"/>
      <c r="H11" s="86"/>
      <c r="I11" s="86"/>
      <c r="J11" s="86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</row>
    <row r="13" customFormat="false" ht="20.25" hidden="true" customHeight="true" outlineLevel="0" collapsed="false">
      <c r="A13" s="2" t="s">
        <v>101</v>
      </c>
    </row>
    <row r="14" customFormat="false" ht="15" hidden="true" customHeight="true" outlineLevel="0" collapsed="false">
      <c r="A14" s="70" t="s">
        <v>102</v>
      </c>
      <c r="F14" s="71" t="n">
        <v>-0.5</v>
      </c>
    </row>
    <row r="15" customFormat="false" ht="15" hidden="true" customHeight="true" outlineLevel="0" collapsed="false">
      <c r="A15" s="70" t="s">
        <v>103</v>
      </c>
      <c r="F15" s="71" t="n">
        <v>1</v>
      </c>
    </row>
    <row r="16" customFormat="false" ht="15" hidden="true" customHeight="true" outlineLevel="0" collapsed="false">
      <c r="A16" s="70" t="s">
        <v>104</v>
      </c>
      <c r="F16" s="72" t="n">
        <v>1</v>
      </c>
    </row>
    <row r="17" customFormat="false" ht="16.5" hidden="true" customHeight="true" outlineLevel="0" collapsed="false"/>
    <row r="18" customFormat="false" ht="44.25" hidden="true" customHeight="true" outlineLevel="0" collapsed="false">
      <c r="A18" s="73" t="s">
        <v>3</v>
      </c>
      <c r="B18" s="74" t="s">
        <v>4</v>
      </c>
      <c r="C18" s="74" t="s">
        <v>5</v>
      </c>
      <c r="D18" s="74" t="s">
        <v>105</v>
      </c>
      <c r="E18" s="74" t="s">
        <v>106</v>
      </c>
      <c r="F18" s="74" t="s">
        <v>107</v>
      </c>
      <c r="G18" s="74" t="s">
        <v>108</v>
      </c>
      <c r="H18" s="74" t="s">
        <v>109</v>
      </c>
      <c r="K18" s="48" t="s">
        <v>47</v>
      </c>
      <c r="L18" s="48" t="s">
        <v>39</v>
      </c>
      <c r="M18" s="48" t="s">
        <v>44</v>
      </c>
      <c r="N18" s="48" t="s">
        <v>35</v>
      </c>
      <c r="O18" s="48" t="s">
        <v>31</v>
      </c>
      <c r="P18" s="48" t="s">
        <v>43</v>
      </c>
      <c r="Q18" s="48" t="s">
        <v>33</v>
      </c>
      <c r="R18" s="48" t="s">
        <v>42</v>
      </c>
      <c r="S18" s="48" t="s">
        <v>46</v>
      </c>
    </row>
    <row r="19" customFormat="false" ht="15" hidden="true" customHeight="true" outlineLevel="0" collapsed="false">
      <c r="A19" s="75" t="n">
        <v>8</v>
      </c>
      <c r="B19" s="76" t="s">
        <v>30</v>
      </c>
      <c r="C19" s="91" t="s">
        <v>33</v>
      </c>
      <c r="D19" s="77" t="n">
        <v>2750</v>
      </c>
      <c r="E19" s="77" t="n">
        <f aca="false">IF(ISNUMBER(D19),ROUNDDOWN(D19*(1+$F$14),-1),"")</f>
        <v>1370</v>
      </c>
      <c r="F19" s="77" t="n">
        <f aca="false">IF(ISNUMBER(D19),ROUNDDOWN(D19*(1+$F$15),-1),"")</f>
        <v>5500</v>
      </c>
      <c r="G19" s="78" t="n">
        <f aca="false">SUMPRODUCT(--(LEN(J19:AF19)&gt;0))</f>
        <v>3</v>
      </c>
      <c r="H19" s="79" t="str">
        <f aca="false">IF(G19&gt;0,_xlfn.TEXTJOIN(", ",TRUE(),J19:AF19),IF(ISNUMBER(D19),"옵션 가능한 사이즈 없음","가격 미정 — 판매가 입력 필요"))</f>
        <v>60*40(+2,180), 50*30(+1,650), 50*50</v>
      </c>
      <c r="L19" s="48" t="s">
        <v>113</v>
      </c>
      <c r="N19" s="48" t="s">
        <v>114</v>
      </c>
      <c r="AB19" s="48" t="s">
        <v>37</v>
      </c>
    </row>
    <row r="20" customFormat="false" ht="15" hidden="true" customHeight="true" outlineLevel="0" collapsed="false">
      <c r="A20" s="75" t="n">
        <v>1</v>
      </c>
      <c r="B20" s="76" t="s">
        <v>30</v>
      </c>
      <c r="C20" s="91" t="s">
        <v>37</v>
      </c>
      <c r="D20" s="77" t="n">
        <v>3850</v>
      </c>
      <c r="E20" s="77" t="n">
        <f aca="false">IF(ISNUMBER(D20),ROUNDDOWN(D20*(1+$F$14),-1),"")</f>
        <v>1920</v>
      </c>
      <c r="F20" s="77" t="n">
        <f aca="false">IF(ISNUMBER(D20),ROUNDDOWN(D20*(1+$F$15),-1),"")</f>
        <v>7700</v>
      </c>
      <c r="G20" s="78" t="n">
        <f aca="false">SUMPRODUCT(--(LEN(J20:AF20)&gt;0))</f>
        <v>7</v>
      </c>
      <c r="H20" s="79" t="str">
        <f aca="false">IF(G20&gt;0,_xlfn.TEXTJOIN(", ",TRUE(),J20:AF20),IF(ISNUMBER(D20),"옵션 가능한 사이즈 없음","가격 미정 — 판매가 입력 필요"))</f>
        <v>100*100(+3,850), 60*40(+1,080), 100*60(+3,300), 50*30(+550), 35*20(+3,030), 80*60(+3,300), 40*20(-1,100)</v>
      </c>
      <c r="K20" s="48" t="s">
        <v>115</v>
      </c>
      <c r="L20" s="48" t="s">
        <v>116</v>
      </c>
      <c r="M20" s="48" t="s">
        <v>117</v>
      </c>
      <c r="N20" s="48" t="s">
        <v>118</v>
      </c>
      <c r="O20" s="48" t="s">
        <v>119</v>
      </c>
      <c r="P20" s="48" t="s">
        <v>120</v>
      </c>
      <c r="Q20" s="48" t="s">
        <v>121</v>
      </c>
    </row>
    <row r="21" customFormat="false" ht="15" hidden="true" customHeight="true" outlineLevel="0" collapsed="false">
      <c r="A21" s="75" t="n">
        <v>5</v>
      </c>
      <c r="B21" s="76" t="s">
        <v>30</v>
      </c>
      <c r="C21" s="91" t="s">
        <v>35</v>
      </c>
      <c r="D21" s="77" t="n">
        <v>4400</v>
      </c>
      <c r="E21" s="77" t="n">
        <f aca="false">IF(ISNUMBER(D21),ROUNDDOWN(D21*(1+$F$14),-1),"")</f>
        <v>2200</v>
      </c>
      <c r="F21" s="77" t="n">
        <f aca="false">IF(ISNUMBER(D21),ROUNDDOWN(D21*(1+$F$15),-1),"")</f>
        <v>8800</v>
      </c>
      <c r="G21" s="78" t="n">
        <f aca="false">SUMPRODUCT(--(LEN(J21:AF21)&gt;0))</f>
        <v>6</v>
      </c>
      <c r="H21" s="79" t="str">
        <f aca="false">IF(G21&gt;0,_xlfn.TEXTJOIN(", ",TRUE(),J21:AF21),IF(ISNUMBER(D21),"옵션 가능한 사이즈 없음","가격 미정 — 판매가 입력 필요"))</f>
        <v>100*100(+3,300), 60*40(+530), 100*60(+2,750), 35*20(+2,480), 80*60(+2,750), 40*20(-1,650)</v>
      </c>
      <c r="K21" s="48" t="s">
        <v>122</v>
      </c>
      <c r="L21" s="48" t="s">
        <v>123</v>
      </c>
      <c r="M21" s="48" t="s">
        <v>124</v>
      </c>
      <c r="O21" s="48" t="s">
        <v>125</v>
      </c>
      <c r="P21" s="48" t="s">
        <v>126</v>
      </c>
      <c r="Q21" s="48" t="s">
        <v>127</v>
      </c>
    </row>
    <row r="22" customFormat="false" ht="15" hidden="true" customHeight="true" outlineLevel="0" collapsed="false">
      <c r="A22" s="75" t="n">
        <v>3</v>
      </c>
      <c r="B22" s="76" t="s">
        <v>30</v>
      </c>
      <c r="C22" s="91" t="s">
        <v>39</v>
      </c>
      <c r="D22" s="77" t="n">
        <v>4930</v>
      </c>
      <c r="E22" s="77" t="n">
        <f aca="false">IF(ISNUMBER(D22),ROUNDDOWN(D22*(1+$F$14),-1),"")</f>
        <v>2460</v>
      </c>
      <c r="F22" s="77" t="n">
        <f aca="false">IF(ISNUMBER(D22),ROUNDDOWN(D22*(1+$F$15),-1),"")</f>
        <v>9860</v>
      </c>
      <c r="G22" s="78" t="n">
        <f aca="false">SUMPRODUCT(--(LEN(J22:AF22)&gt;0))</f>
        <v>6</v>
      </c>
      <c r="H22" s="79" t="str">
        <f aca="false">IF(G22&gt;0,_xlfn.TEXTJOIN(", ",TRUE(),J22:AF22),IF(ISNUMBER(D22),"옵션 가능한 사이즈 없음","가격 미정 — 판매가 입력 필요"))</f>
        <v>100*100(+2,770), 100*60(+2,220), 50*30(-530), 35*20(+1,950), 80*60(+2,220), 40*20(-2,180)</v>
      </c>
      <c r="K22" s="48" t="s">
        <v>128</v>
      </c>
      <c r="M22" s="48" t="s">
        <v>129</v>
      </c>
      <c r="N22" s="48" t="s">
        <v>130</v>
      </c>
      <c r="O22" s="48" t="s">
        <v>131</v>
      </c>
      <c r="P22" s="48" t="s">
        <v>132</v>
      </c>
      <c r="Q22" s="48" t="s">
        <v>133</v>
      </c>
    </row>
    <row r="23" customFormat="false" ht="15" hidden="true" customHeight="true" outlineLevel="0" collapsed="false">
      <c r="A23" s="75" t="n">
        <v>6</v>
      </c>
      <c r="B23" s="76" t="s">
        <v>30</v>
      </c>
      <c r="C23" s="91" t="s">
        <v>31</v>
      </c>
      <c r="D23" s="77" t="n">
        <v>6880</v>
      </c>
      <c r="E23" s="77" t="n">
        <f aca="false">IF(ISNUMBER(D23),ROUNDDOWN(D23*(1+$F$14),-1),"")</f>
        <v>3440</v>
      </c>
      <c r="F23" s="77" t="n">
        <f aca="false">IF(ISNUMBER(D23),ROUNDDOWN(D23*(1+$F$15),-1),"")</f>
        <v>13760</v>
      </c>
      <c r="G23" s="78" t="n">
        <f aca="false">SUMPRODUCT(--(LEN(J23:AF23)&gt;0))</f>
        <v>6</v>
      </c>
      <c r="H23" s="79" t="str">
        <f aca="false">IF(G23&gt;0,_xlfn.TEXTJOIN(", ",TRUE(),J23:AF23),IF(ISNUMBER(D23),"옵션 가능한 사이즈 없음","가격 미정 — 판매가 입력 필요"))</f>
        <v>100*100(+820), 60*40(-1,950), 100*60(+270), 50*30(-2,480), 80*60(+270), 100*70(+3,880)</v>
      </c>
      <c r="K23" s="48" t="s">
        <v>134</v>
      </c>
      <c r="L23" s="48" t="s">
        <v>135</v>
      </c>
      <c r="M23" s="48" t="s">
        <v>136</v>
      </c>
      <c r="N23" s="48" t="s">
        <v>137</v>
      </c>
      <c r="P23" s="48" t="s">
        <v>138</v>
      </c>
      <c r="S23" s="48" t="s">
        <v>139</v>
      </c>
    </row>
    <row r="24" customFormat="false" ht="15" hidden="true" customHeight="true" outlineLevel="0" collapsed="false">
      <c r="A24" s="75" t="n">
        <v>4</v>
      </c>
      <c r="B24" s="76" t="s">
        <v>30</v>
      </c>
      <c r="C24" s="91" t="s">
        <v>44</v>
      </c>
      <c r="D24" s="77" t="n">
        <v>7150</v>
      </c>
      <c r="E24" s="77" t="n">
        <f aca="false">IF(ISNUMBER(D24),ROUNDDOWN(D24*(1+$F$14),-1),"")</f>
        <v>3570</v>
      </c>
      <c r="F24" s="77" t="n">
        <f aca="false">IF(ISNUMBER(D24),ROUNDDOWN(D24*(1+$F$15),-1),"")</f>
        <v>14300</v>
      </c>
      <c r="G24" s="78" t="n">
        <f aca="false">SUMPRODUCT(--(LEN(J24:AF24)&gt;0))</f>
        <v>6</v>
      </c>
      <c r="H24" s="79" t="str">
        <f aca="false">IF(G24&gt;0,_xlfn.TEXTJOIN(", ",TRUE(),J24:AF24),IF(ISNUMBER(D24),"옵션 가능한 사이즈 없음","가격 미정 — 판매가 입력 필요"))</f>
        <v>100*100(+550), 60*40(-2,220), 50*30(-2,750), 35*20(-270), 80*60(+0), 100*70(+3,610)</v>
      </c>
      <c r="K24" s="48" t="s">
        <v>140</v>
      </c>
      <c r="L24" s="48" t="s">
        <v>141</v>
      </c>
      <c r="N24" s="48" t="s">
        <v>142</v>
      </c>
      <c r="O24" s="48" t="s">
        <v>143</v>
      </c>
      <c r="P24" s="48" t="s">
        <v>144</v>
      </c>
      <c r="S24" s="48" t="s">
        <v>145</v>
      </c>
    </row>
    <row r="25" customFormat="false" ht="15" hidden="true" customHeight="true" outlineLevel="0" collapsed="false">
      <c r="A25" s="75" t="n">
        <v>7</v>
      </c>
      <c r="B25" s="76" t="s">
        <v>30</v>
      </c>
      <c r="C25" s="91" t="s">
        <v>43</v>
      </c>
      <c r="D25" s="77" t="n">
        <v>7150</v>
      </c>
      <c r="E25" s="77" t="n">
        <f aca="false">IF(ISNUMBER(D25),ROUNDDOWN(D25*(1+$F$14),-1),"")</f>
        <v>3570</v>
      </c>
      <c r="F25" s="77" t="n">
        <f aca="false">IF(ISNUMBER(D25),ROUNDDOWN(D25*(1+$F$15),-1),"")</f>
        <v>14300</v>
      </c>
      <c r="G25" s="78" t="n">
        <f aca="false">SUMPRODUCT(--(LEN(J25:AF25)&gt;0))</f>
        <v>6</v>
      </c>
      <c r="H25" s="79" t="str">
        <f aca="false">IF(G25&gt;0,_xlfn.TEXTJOIN(", ",TRUE(),J25:AF25),IF(ISNUMBER(D25),"옵션 가능한 사이즈 없음","가격 미정 — 판매가 입력 필요"))</f>
        <v>100*100(+550), 60*40(-2,220), 100*60(+0), 50*30(-2,750), 35*20(-270), 100*70(+3,610)</v>
      </c>
      <c r="K25" s="48" t="s">
        <v>140</v>
      </c>
      <c r="L25" s="48" t="s">
        <v>141</v>
      </c>
      <c r="M25" s="48" t="s">
        <v>146</v>
      </c>
      <c r="N25" s="48" t="s">
        <v>142</v>
      </c>
      <c r="O25" s="48" t="s">
        <v>143</v>
      </c>
      <c r="S25" s="48" t="s">
        <v>145</v>
      </c>
    </row>
    <row r="26" customFormat="false" ht="15" hidden="true" customHeight="true" outlineLevel="0" collapsed="false">
      <c r="A26" s="75" t="n">
        <v>2</v>
      </c>
      <c r="B26" s="76" t="s">
        <v>30</v>
      </c>
      <c r="C26" s="91" t="s">
        <v>47</v>
      </c>
      <c r="D26" s="77" t="n">
        <v>7700</v>
      </c>
      <c r="E26" s="77" t="n">
        <f aca="false">IF(ISNUMBER(D26),ROUNDDOWN(D26*(1+$F$14),-1),"")</f>
        <v>3850</v>
      </c>
      <c r="F26" s="77" t="n">
        <f aca="false">IF(ISNUMBER(D26),ROUNDDOWN(D26*(1+$F$15),-1),"")</f>
        <v>15400</v>
      </c>
      <c r="G26" s="78" t="n">
        <f aca="false">SUMPRODUCT(--(LEN(J26:AF26)&gt;0))</f>
        <v>6</v>
      </c>
      <c r="H26" s="79" t="str">
        <f aca="false">IF(G26&gt;0,_xlfn.TEXTJOIN(", ",TRUE(),J26:AF26),IF(ISNUMBER(D26),"옵션 가능한 사이즈 없음","가격 미정 — 판매가 입력 필요"))</f>
        <v>60*40(-2,770), 100*60(-550), 50*30(-3,300), 35*20(-820), 80*60(-550), 100*70(+3,060)</v>
      </c>
      <c r="L26" s="48" t="s">
        <v>147</v>
      </c>
      <c r="M26" s="48" t="s">
        <v>148</v>
      </c>
      <c r="N26" s="48" t="s">
        <v>149</v>
      </c>
      <c r="O26" s="48" t="s">
        <v>150</v>
      </c>
      <c r="P26" s="48" t="s">
        <v>151</v>
      </c>
      <c r="S26" s="48" t="s">
        <v>152</v>
      </c>
    </row>
    <row r="27" customFormat="false" ht="15" hidden="true" customHeight="true" outlineLevel="0" collapsed="false">
      <c r="A27" s="81" t="n">
        <v>9</v>
      </c>
      <c r="B27" s="82" t="s">
        <v>30</v>
      </c>
      <c r="C27" s="92" t="s">
        <v>42</v>
      </c>
      <c r="D27" s="83"/>
      <c r="E27" s="83" t="str">
        <f aca="false">IF(ISNUMBER(D27),ROUNDDOWN(D27*(1+$F$14),-1),"")</f>
        <v/>
      </c>
      <c r="F27" s="83" t="str">
        <f aca="false">IF(ISNUMBER(D27),ROUNDDOWN(D27*(1+$F$15),-1),"")</f>
        <v/>
      </c>
      <c r="G27" s="84" t="n">
        <f aca="false">SUMPRODUCT(--(LEN(J27:AF27)&gt;0))</f>
        <v>0</v>
      </c>
      <c r="H27" s="93" t="s">
        <v>110</v>
      </c>
    </row>
    <row r="28" customFormat="false" ht="15" hidden="true" customHeight="true" outlineLevel="0" collapsed="false">
      <c r="A28" s="75" t="n">
        <v>10</v>
      </c>
      <c r="B28" s="76" t="s">
        <v>30</v>
      </c>
      <c r="C28" s="91" t="s">
        <v>46</v>
      </c>
      <c r="D28" s="77" t="n">
        <v>10760</v>
      </c>
      <c r="E28" s="77" t="n">
        <f aca="false">IF(ISNUMBER(D28),ROUNDDOWN(D28*(1+$F$14),-1),"")</f>
        <v>5380</v>
      </c>
      <c r="F28" s="77" t="n">
        <f aca="false">IF(ISNUMBER(D28),ROUNDDOWN(D28*(1+$F$15),-1),"")</f>
        <v>21520</v>
      </c>
      <c r="G28" s="78" t="n">
        <f aca="false">SUMPRODUCT(--(LEN(J28:AF28)&gt;0))</f>
        <v>5</v>
      </c>
      <c r="H28" s="79" t="str">
        <f aca="false">IF(G28&gt;0,_xlfn.TEXTJOIN(", ",TRUE(),J28:AF28),IF(ISNUMBER(D28),"옵션 가능한 사이즈 없음","가격 미정 — 판매가 입력 필요"))</f>
        <v>100*100(-3,060), 100*60(-3,610), 35*20(-3,880), 80*60(-3,610), 50*50(-3,850)</v>
      </c>
      <c r="K28" s="48" t="s">
        <v>153</v>
      </c>
      <c r="M28" s="48" t="s">
        <v>154</v>
      </c>
      <c r="O28" s="48" t="s">
        <v>155</v>
      </c>
      <c r="P28" s="48" t="s">
        <v>156</v>
      </c>
      <c r="AB28" s="48" t="s">
        <v>157</v>
      </c>
    </row>
    <row r="29" customFormat="false" ht="16.5" hidden="true" customHeight="true" outlineLevel="0" collapsed="false">
      <c r="AB29" s="48" t="s">
        <v>158</v>
      </c>
    </row>
    <row r="30" customFormat="false" ht="16.5" hidden="false" customHeight="true" outlineLevel="0" collapsed="false">
      <c r="AB30" s="48" t="s">
        <v>159</v>
      </c>
    </row>
    <row r="31" customFormat="false" ht="16.5" hidden="false" customHeight="true" outlineLevel="0" collapsed="false">
      <c r="AB31" s="48" t="s">
        <v>160</v>
      </c>
    </row>
    <row r="32" customFormat="false" ht="16.5" hidden="false" customHeight="true" outlineLevel="0" collapsed="false">
      <c r="AB32" s="48" t="s">
        <v>161</v>
      </c>
    </row>
    <row r="33" customFormat="false" ht="16.5" hidden="false" customHeight="true" outlineLevel="0" collapsed="false">
      <c r="AB33" s="48" t="s">
        <v>159</v>
      </c>
    </row>
    <row r="34" customFormat="false" ht="16.5" hidden="false" customHeight="true" outlineLevel="0" collapsed="false">
      <c r="AB34" s="48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D10" activeCellId="0" sqref="D10"/>
    </sheetView>
  </sheetViews>
  <sheetFormatPr defaultColWidth="8.71484375" defaultRowHeight="17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.15"/>
    <col collapsed="false" customWidth="true" hidden="false" outlineLevel="0" max="3" min="3" style="1" width="17.71"/>
    <col collapsed="false" customWidth="true" hidden="false" outlineLevel="0" max="4" min="4" style="1" width="14.29"/>
    <col collapsed="false" customWidth="true" hidden="false" outlineLevel="0" max="5" min="5" style="1" width="15"/>
    <col collapsed="false" customWidth="true" hidden="false" outlineLevel="0" max="6" min="6" style="1" width="16"/>
    <col collapsed="false" customWidth="true" hidden="false" outlineLevel="0" max="7" min="7" style="1" width="14.14"/>
    <col collapsed="false" customWidth="true" hidden="false" outlineLevel="0" max="8" min="8" style="1" width="20.42"/>
    <col collapsed="false" customWidth="true" hidden="false" outlineLevel="0" max="9" min="9" style="1" width="36.57"/>
    <col collapsed="false" customWidth="true" hidden="false" outlineLevel="0" max="10" min="10" style="1" width="9"/>
    <col collapsed="false" customWidth="true" hidden="true" outlineLevel="0" max="22" min="11" style="1" width="13"/>
    <col collapsed="false" customWidth="true" hidden="false" outlineLevel="0" max="23" min="23" style="1" width="22.86"/>
    <col collapsed="false" customWidth="true" hidden="false" outlineLevel="0" max="24" min="24" style="1" width="12.86"/>
    <col collapsed="false" customWidth="false" hidden="false" outlineLevel="0" max="26" min="25" style="1" width="8.71"/>
    <col collapsed="false" customWidth="true" hidden="true" outlineLevel="0" max="27" min="27" style="1" width="13"/>
    <col collapsed="false" customWidth="false" hidden="false" outlineLevel="0" max="16384" min="28" style="1" width="8.71"/>
  </cols>
  <sheetData>
    <row r="1" customFormat="false" ht="19.5" hidden="false" customHeight="true" outlineLevel="0" collapsed="false">
      <c r="A1" s="2" t="s">
        <v>163</v>
      </c>
      <c r="B1" s="3"/>
      <c r="C1" s="3"/>
      <c r="D1" s="3"/>
      <c r="E1" s="3"/>
      <c r="F1" s="3"/>
      <c r="G1" s="3"/>
      <c r="H1" s="3"/>
      <c r="I1" s="3"/>
      <c r="J1" s="3"/>
    </row>
    <row r="3" customFormat="false" ht="30" hidden="false" customHeight="true" outlineLevel="0" collapsed="false">
      <c r="A3" s="94" t="s">
        <v>5</v>
      </c>
      <c r="B3" s="94" t="s">
        <v>6</v>
      </c>
      <c r="C3" s="94" t="s">
        <v>164</v>
      </c>
      <c r="D3" s="94" t="s">
        <v>86</v>
      </c>
      <c r="E3" s="94" t="s">
        <v>87</v>
      </c>
      <c r="F3" s="94" t="s">
        <v>88</v>
      </c>
      <c r="G3" s="94" t="s">
        <v>89</v>
      </c>
      <c r="H3" s="94" t="s">
        <v>90</v>
      </c>
      <c r="I3" s="94" t="s">
        <v>91</v>
      </c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52" t="s">
        <v>10</v>
      </c>
    </row>
    <row r="4" customFormat="false" ht="15" hidden="false" customHeight="true" outlineLevel="0" collapsed="false">
      <c r="A4" s="96" t="str">
        <f aca="false">마스터!C16</f>
        <v>30*15</v>
      </c>
      <c r="B4" s="97" t="n">
        <f aca="false">마스터!D16</f>
        <v>80</v>
      </c>
      <c r="C4" s="97" t="n">
        <f aca="false">마스터!E16</f>
        <v>12</v>
      </c>
      <c r="D4" s="98" t="n">
        <f aca="false">마스터!G16</f>
        <v>68</v>
      </c>
      <c r="E4" s="97" t="n">
        <f aca="false">마스터!F16</f>
        <v>12</v>
      </c>
      <c r="F4" s="97" t="n">
        <f aca="false">마스터!E16-마스터!F16</f>
        <v>0</v>
      </c>
      <c r="G4" s="97" t="n">
        <f aca="false">IF(ISBLANK(마스터!O16),"미기재",마스터!O16)</f>
        <v>4564</v>
      </c>
      <c r="H4" s="97" t="n">
        <f aca="false">IF(마스터!P16="","미기재",마스터!P16)</f>
        <v>5020</v>
      </c>
      <c r="I4" s="99" t="n">
        <f aca="false">IF(마스터!R16="","계산불가",마스터!R16)</f>
        <v>0.604194566170026</v>
      </c>
      <c r="V4" s="57" t="s">
        <v>165</v>
      </c>
    </row>
    <row r="5" customFormat="false" ht="15" hidden="false" customHeight="true" outlineLevel="0" collapsed="false">
      <c r="A5" s="96" t="str">
        <f aca="false">마스터!C17</f>
        <v>40*20</v>
      </c>
      <c r="B5" s="97" t="n">
        <f aca="false">마스터!D17</f>
        <v>80</v>
      </c>
      <c r="C5" s="97" t="n">
        <f aca="false">마스터!E17</f>
        <v>0</v>
      </c>
      <c r="D5" s="100" t="n">
        <f aca="false">마스터!G17</f>
        <v>80</v>
      </c>
      <c r="E5" s="97" t="n">
        <f aca="false">마스터!F17</f>
        <v>0</v>
      </c>
      <c r="F5" s="97" t="n">
        <f aca="false">마스터!E17-마스터!F17</f>
        <v>0</v>
      </c>
      <c r="G5" s="97" t="n">
        <f aca="false">IF(ISBLANK(마스터!O17),"미기재",마스터!O17)</f>
        <v>5582</v>
      </c>
      <c r="H5" s="97" t="n">
        <f aca="false">IF(마스터!P17="","미기재",마스터!P17)</f>
        <v>6140</v>
      </c>
      <c r="I5" s="99" t="n">
        <f aca="false">IF(마스터!R17="","계산불가",마스터!R17)</f>
        <v>0.587705481906127</v>
      </c>
      <c r="V5" s="57" t="s">
        <v>96</v>
      </c>
      <c r="W5" s="101" t="s">
        <v>166</v>
      </c>
    </row>
    <row r="6" customFormat="false" ht="15" hidden="false" customHeight="true" outlineLevel="0" collapsed="false">
      <c r="A6" s="96" t="str">
        <f aca="false">마스터!C19</f>
        <v>60*40</v>
      </c>
      <c r="B6" s="97" t="n">
        <f aca="false">마스터!D19</f>
        <v>50</v>
      </c>
      <c r="C6" s="97" t="n">
        <f aca="false">마스터!E19</f>
        <v>48</v>
      </c>
      <c r="D6" s="97" t="n">
        <f aca="false">마스터!G19</f>
        <v>2</v>
      </c>
      <c r="E6" s="97" t="n">
        <f aca="false">마스터!F19</f>
        <v>5</v>
      </c>
      <c r="F6" s="97" t="n">
        <f aca="false">마스터!E19-마스터!F19</f>
        <v>43</v>
      </c>
      <c r="G6" s="97" t="n">
        <f aca="false">IF(ISBLANK(마스터!O19),"미기재",마스터!O19)</f>
        <v>5255</v>
      </c>
      <c r="H6" s="97" t="n">
        <f aca="false">IF(마스터!P19="","미기재",마스터!P19)</f>
        <v>5780</v>
      </c>
      <c r="I6" s="99" t="n">
        <f aca="false">IF(마스터!R19="","계산불가",마스터!R19)</f>
        <v>0.359891531874405</v>
      </c>
      <c r="V6" s="57" t="s">
        <v>167</v>
      </c>
    </row>
    <row r="7" customFormat="false" ht="15" hidden="false" customHeight="true" outlineLevel="0" collapsed="false">
      <c r="A7" s="96" t="str">
        <f aca="false">마스터!C20</f>
        <v>70*50</v>
      </c>
      <c r="B7" s="97" t="n">
        <f aca="false">마스터!D20</f>
        <v>60</v>
      </c>
      <c r="C7" s="97" t="n">
        <f aca="false">마스터!E20</f>
        <v>45</v>
      </c>
      <c r="D7" s="97" t="n">
        <f aca="false">마스터!G20</f>
        <v>15</v>
      </c>
      <c r="E7" s="97" t="n">
        <f aca="false">마스터!F20</f>
        <v>12</v>
      </c>
      <c r="F7" s="97" t="n">
        <f aca="false">마스터!E20-마스터!F20</f>
        <v>33</v>
      </c>
      <c r="G7" s="97" t="n">
        <f aca="false">IF(ISBLANK(마스터!O20),"미기재",마스터!O20)</f>
        <v>5445</v>
      </c>
      <c r="H7" s="97" t="n">
        <f aca="false">IF(마스터!P20="","미기재",마스터!P20)</f>
        <v>5980</v>
      </c>
      <c r="I7" s="99" t="n">
        <f aca="false">IF(마스터!R20="","계산불가",마스터!R20)</f>
        <v>0.376670339761249</v>
      </c>
      <c r="V7" s="57" t="s">
        <v>168</v>
      </c>
    </row>
    <row r="8" customFormat="false" ht="15" hidden="false" customHeight="true" outlineLevel="0" collapsed="false">
      <c r="A8" s="102" t="str">
        <f aca="false">마스터!C18</f>
        <v>50*30</v>
      </c>
      <c r="B8" s="103" t="n">
        <f aca="false">마스터!D18</f>
        <v>50</v>
      </c>
      <c r="C8" s="103" t="n">
        <f aca="false">마스터!E18</f>
        <v>50</v>
      </c>
      <c r="D8" s="103" t="n">
        <f aca="false">마스터!G18</f>
        <v>0</v>
      </c>
      <c r="E8" s="103" t="n">
        <f aca="false">마스터!F18</f>
        <v>50</v>
      </c>
      <c r="F8" s="103" t="n">
        <f aca="false">마스터!E18-마스터!F18</f>
        <v>0</v>
      </c>
      <c r="G8" s="104" t="s">
        <v>110</v>
      </c>
      <c r="H8" s="103" t="str">
        <f aca="false">IF(마스터!P18="","미기재",마스터!P18)</f>
        <v>미기재</v>
      </c>
      <c r="I8" s="105" t="str">
        <f aca="false">IF(마스터!R18="","계산불가",마스터!R18)</f>
        <v>계산불가</v>
      </c>
      <c r="V8" s="65" t="s">
        <v>169</v>
      </c>
    </row>
    <row r="9" customFormat="false" ht="15" hidden="false" customHeight="true" outlineLevel="0" collapsed="false">
      <c r="A9" s="102" t="str">
        <f aca="false">마스터!C26</f>
        <v>100*100</v>
      </c>
      <c r="B9" s="103" t="n">
        <f aca="false">마스터!D26</f>
        <v>67</v>
      </c>
      <c r="C9" s="103" t="n">
        <f aca="false">마스터!E26</f>
        <v>67</v>
      </c>
      <c r="D9" s="103" t="n">
        <f aca="false">마스터!G26</f>
        <v>0</v>
      </c>
      <c r="E9" s="103" t="n">
        <f aca="false">마스터!F26</f>
        <v>14</v>
      </c>
      <c r="F9" s="103" t="n">
        <f aca="false">마스터!E26-마스터!F26</f>
        <v>53</v>
      </c>
      <c r="G9" s="103" t="n">
        <f aca="false">IF(ISBLANK(마스터!O26),"미기재",마스터!O26)</f>
        <v>7727</v>
      </c>
      <c r="H9" s="103" t="n">
        <f aca="false">IF(마스터!P26="","미기재",마스터!P26)</f>
        <v>8490</v>
      </c>
      <c r="I9" s="105" t="n">
        <f aca="false">IF(마스터!R26="","계산불가",마스터!R26)</f>
        <v>0.402451404167206</v>
      </c>
      <c r="V9" s="65" t="s">
        <v>170</v>
      </c>
    </row>
    <row r="10" customFormat="false" ht="15" hidden="false" customHeight="true" outlineLevel="0" collapsed="false">
      <c r="A10" s="106" t="str">
        <f aca="false">마스터!C21</f>
        <v>70*60</v>
      </c>
      <c r="B10" s="97" t="n">
        <f aca="false">마스터!D21</f>
        <v>50</v>
      </c>
      <c r="C10" s="97" t="n">
        <f aca="false">마스터!E21</f>
        <v>0</v>
      </c>
      <c r="D10" s="97" t="n">
        <f aca="false">마스터!G21</f>
        <v>50</v>
      </c>
      <c r="E10" s="97" t="n">
        <f aca="false">마스터!F21</f>
        <v>0</v>
      </c>
      <c r="F10" s="97" t="n">
        <f aca="false">마스터!E21-마스터!F21</f>
        <v>0</v>
      </c>
      <c r="G10" s="97" t="n">
        <f aca="false">IF(ISBLANK(마스터!O21),"미기재",마스터!O21)</f>
        <v>6527</v>
      </c>
      <c r="H10" s="97" t="n">
        <f aca="false">IF(마스터!P21="","미기재",마스터!P21)</f>
        <v>7170</v>
      </c>
      <c r="I10" s="99" t="n">
        <f aca="false">IF(마스터!R21="","계산불가",마스터!R21)</f>
        <v>0.379123946683009</v>
      </c>
      <c r="V10" s="57" t="s">
        <v>96</v>
      </c>
    </row>
    <row r="11" customFormat="false" ht="15" hidden="false" customHeight="true" outlineLevel="0" collapsed="false">
      <c r="A11" s="96" t="str">
        <f aca="false">마스터!C24</f>
        <v>100*80</v>
      </c>
      <c r="B11" s="97" t="n">
        <f aca="false">마스터!D24</f>
        <v>50</v>
      </c>
      <c r="C11" s="97" t="n">
        <f aca="false">마스터!E24</f>
        <v>42</v>
      </c>
      <c r="D11" s="97" t="n">
        <f aca="false">마스터!G24</f>
        <v>8</v>
      </c>
      <c r="E11" s="97" t="n">
        <f aca="false">마스터!F24</f>
        <v>19</v>
      </c>
      <c r="F11" s="97" t="n">
        <f aca="false">마스터!E24-마스터!F24</f>
        <v>23</v>
      </c>
      <c r="G11" s="107" t="n">
        <f aca="false">IF(ISBLANK(마스터!O24),"미기재",마스터!O24)</f>
        <v>8118</v>
      </c>
      <c r="H11" s="107" t="n">
        <f aca="false">IF(마스터!P24="","미기재",마스터!P24)</f>
        <v>8920</v>
      </c>
      <c r="I11" s="108" t="n">
        <f aca="false">IF(마스터!R24="","계산불가",마스터!R24)</f>
        <v>0.34240305493964</v>
      </c>
      <c r="V11" s="57" t="s">
        <v>171</v>
      </c>
    </row>
    <row r="12" customFormat="false" ht="15" hidden="false" customHeight="true" outlineLevel="0" collapsed="false">
      <c r="A12" s="96" t="str">
        <f aca="false">마스터!C27</f>
        <v>100*150</v>
      </c>
      <c r="B12" s="97" t="n">
        <f aca="false">마스터!D27</f>
        <v>50</v>
      </c>
      <c r="C12" s="97" t="n">
        <f aca="false">마스터!E27</f>
        <v>48</v>
      </c>
      <c r="D12" s="97" t="n">
        <f aca="false">마스터!G27</f>
        <v>2</v>
      </c>
      <c r="E12" s="97" t="n">
        <f aca="false">마스터!F27</f>
        <v>5</v>
      </c>
      <c r="F12" s="97" t="n">
        <f aca="false">마스터!E27-마스터!F27</f>
        <v>43</v>
      </c>
      <c r="G12" s="97" t="n">
        <f aca="false">IF(ISBLANK(마스터!O27),"미기재",마스터!O27)</f>
        <v>9273</v>
      </c>
      <c r="H12" s="97" t="n">
        <f aca="false">IF(마스터!P27="","미기재",마스터!P27)</f>
        <v>10200</v>
      </c>
      <c r="I12" s="99" t="n">
        <f aca="false">IF(마스터!R27="","계산불가",마스터!R27)</f>
        <v>0.402486573924296</v>
      </c>
      <c r="V12" s="57" t="s">
        <v>167</v>
      </c>
    </row>
    <row r="13" customFormat="false" ht="15" hidden="false" customHeight="true" outlineLevel="0" collapsed="false">
      <c r="A13" s="96" t="str">
        <f aca="false">마스터!C25</f>
        <v>100*90</v>
      </c>
      <c r="B13" s="97" t="n">
        <f aca="false">마스터!D25</f>
        <v>50</v>
      </c>
      <c r="C13" s="97" t="n">
        <f aca="false">마스터!E25</f>
        <v>23</v>
      </c>
      <c r="D13" s="98" t="n">
        <f aca="false">마스터!G25</f>
        <v>27</v>
      </c>
      <c r="E13" s="97" t="n">
        <f aca="false">마스터!F25</f>
        <v>3</v>
      </c>
      <c r="F13" s="97" t="n">
        <f aca="false">마스터!E25-마스터!F25</f>
        <v>20</v>
      </c>
      <c r="G13" s="97" t="n">
        <f aca="false">IF(ISBLANK(마스터!O25),"미기재",마스터!O25)</f>
        <v>12664</v>
      </c>
      <c r="H13" s="97" t="n">
        <f aca="false">IF(마스터!P25="","미기재",마스터!P25)</f>
        <v>13930</v>
      </c>
      <c r="I13" s="99" t="n">
        <f aca="false">IF(마스터!R25="","계산불가",마스터!R25)</f>
        <v>0.556115287428933</v>
      </c>
      <c r="V13" s="57" t="s">
        <v>172</v>
      </c>
    </row>
    <row r="14" customFormat="false" ht="15" hidden="false" customHeight="true" outlineLevel="0" collapsed="false">
      <c r="A14" s="96" t="str">
        <f aca="false">마스터!C22</f>
        <v>100*35</v>
      </c>
      <c r="B14" s="97" t="n">
        <f aca="false">마스터!D22</f>
        <v>50</v>
      </c>
      <c r="C14" s="97" t="n">
        <f aca="false">마스터!E22</f>
        <v>14</v>
      </c>
      <c r="D14" s="100" t="n">
        <f aca="false">마스터!G22</f>
        <v>36</v>
      </c>
      <c r="E14" s="97" t="n">
        <f aca="false">마스터!F22</f>
        <v>1</v>
      </c>
      <c r="F14" s="97" t="n">
        <f aca="false">마스터!E22-마스터!F22</f>
        <v>13</v>
      </c>
      <c r="G14" s="97" t="n">
        <f aca="false">IF(ISBLANK(마스터!O22),"미기재",마스터!O22)</f>
        <v>12891</v>
      </c>
      <c r="H14" s="97" t="n">
        <f aca="false">IF(마스터!P22="","미기재",마스터!P22)</f>
        <v>14180</v>
      </c>
      <c r="I14" s="99" t="n">
        <f aca="false">IF(마스터!R22="","계산불가",마스터!R22)</f>
        <v>0.585283220851757</v>
      </c>
      <c r="V14" s="57" t="s">
        <v>97</v>
      </c>
      <c r="W14" s="101" t="s">
        <v>166</v>
      </c>
    </row>
    <row r="15" customFormat="false" ht="15" hidden="false" customHeight="true" outlineLevel="0" collapsed="false">
      <c r="A15" s="102" t="str">
        <f aca="false">마스터!C23</f>
        <v>100*70</v>
      </c>
      <c r="B15" s="103" t="n">
        <f aca="false">마스터!D23</f>
        <v>55</v>
      </c>
      <c r="C15" s="103" t="n">
        <f aca="false">마스터!E23</f>
        <v>55</v>
      </c>
      <c r="D15" s="103" t="n">
        <f aca="false">마스터!G23</f>
        <v>0</v>
      </c>
      <c r="E15" s="103" t="n">
        <f aca="false">마스터!F23</f>
        <v>2</v>
      </c>
      <c r="F15" s="103" t="n">
        <f aca="false">마스터!E23-마스터!F23</f>
        <v>53</v>
      </c>
      <c r="G15" s="103" t="n">
        <f aca="false">IF(ISBLANK(마스터!O23),"미기재",마스터!O23)</f>
        <v>9636</v>
      </c>
      <c r="H15" s="103" t="n">
        <f aca="false">IF(마스터!P23="","미기재",마스터!P23)</f>
        <v>10590</v>
      </c>
      <c r="I15" s="105" t="n">
        <f aca="false">IF(마스터!R23="","계산불가",마스터!R23)</f>
        <v>0.416734744707347</v>
      </c>
      <c r="V15" s="65" t="s">
        <v>94</v>
      </c>
    </row>
    <row r="16" customFormat="false" ht="15" hidden="false" customHeight="true" outlineLevel="0" collapsed="false">
      <c r="A16" s="3" t="s">
        <v>83</v>
      </c>
      <c r="B16" s="109" t="n">
        <f aca="false">SUM(B8:B15)</f>
        <v>422</v>
      </c>
      <c r="C16" s="109" t="n">
        <f aca="false">SUM(C8:C15)</f>
        <v>299</v>
      </c>
      <c r="D16" s="109" t="n">
        <f aca="false">SUM(D8:D15)</f>
        <v>123</v>
      </c>
      <c r="E16" s="109" t="n">
        <f aca="false">SUM(E8:E15)</f>
        <v>94</v>
      </c>
      <c r="F16" s="109" t="n">
        <f aca="false">SUM(F8:F15)</f>
        <v>205</v>
      </c>
      <c r="G16" s="110"/>
      <c r="H16" s="110"/>
      <c r="I16" s="110"/>
      <c r="V16" s="69" t="s">
        <v>173</v>
      </c>
    </row>
    <row r="19" customFormat="false" ht="20.25" hidden="false" customHeight="true" outlineLevel="0" collapsed="false">
      <c r="A19" s="2" t="s">
        <v>101</v>
      </c>
    </row>
    <row r="20" customFormat="false" ht="15" hidden="false" customHeight="true" outlineLevel="0" collapsed="false">
      <c r="A20" s="111" t="s">
        <v>102</v>
      </c>
      <c r="F20" s="112" t="n">
        <v>-0.5</v>
      </c>
    </row>
    <row r="21" customFormat="false" ht="15" hidden="false" customHeight="true" outlineLevel="0" collapsed="false">
      <c r="A21" s="111" t="s">
        <v>103</v>
      </c>
      <c r="F21" s="112" t="n">
        <v>1</v>
      </c>
    </row>
    <row r="22" customFormat="false" ht="15" hidden="false" customHeight="true" outlineLevel="0" collapsed="false">
      <c r="A22" s="111" t="s">
        <v>104</v>
      </c>
      <c r="F22" s="113" t="n">
        <v>1</v>
      </c>
    </row>
    <row r="24" customFormat="false" ht="33" hidden="false" customHeight="true" outlineLevel="0" collapsed="false">
      <c r="A24" s="42" t="s">
        <v>3</v>
      </c>
      <c r="B24" s="43" t="s">
        <v>4</v>
      </c>
      <c r="C24" s="43" t="s">
        <v>5</v>
      </c>
      <c r="D24" s="43" t="s">
        <v>105</v>
      </c>
      <c r="E24" s="43" t="s">
        <v>106</v>
      </c>
      <c r="F24" s="43" t="s">
        <v>107</v>
      </c>
      <c r="G24" s="43" t="s">
        <v>108</v>
      </c>
      <c r="H24" s="43" t="s">
        <v>109</v>
      </c>
      <c r="K24" s="1" t="str">
        <f aca="false">마스터!C26</f>
        <v>100*100</v>
      </c>
      <c r="L24" s="1" t="str">
        <f aca="false">마스터!C24</f>
        <v>100*80</v>
      </c>
      <c r="M24" s="1" t="str">
        <f aca="false">마스터!C16</f>
        <v>30*15</v>
      </c>
      <c r="N24" s="1" t="str">
        <f aca="false">마스터!C27</f>
        <v>100*150</v>
      </c>
      <c r="O24" s="1" t="str">
        <f aca="false">마스터!C19</f>
        <v>60*40</v>
      </c>
      <c r="P24" s="1" t="str">
        <f aca="false">마스터!C20</f>
        <v>70*50</v>
      </c>
      <c r="Q24" s="1" t="str">
        <f aca="false">마스터!C25</f>
        <v>100*90</v>
      </c>
      <c r="R24" s="1" t="str">
        <f aca="false">마스터!C22</f>
        <v>100*35</v>
      </c>
      <c r="S24" s="1" t="str">
        <f aca="false">마스터!C23</f>
        <v>100*70</v>
      </c>
      <c r="T24" s="1" t="str">
        <f aca="false">마스터!C17</f>
        <v>40*20</v>
      </c>
      <c r="U24" s="1" t="str">
        <f aca="false">마스터!C21</f>
        <v>70*60</v>
      </c>
      <c r="AA24" s="1" t="str">
        <f aca="false">마스터!C18</f>
        <v>50*30</v>
      </c>
    </row>
    <row r="25" customFormat="false" ht="15" hidden="false" customHeight="true" outlineLevel="0" collapsed="false">
      <c r="A25" s="114" t="n">
        <v>1</v>
      </c>
      <c r="B25" s="115" t="str">
        <f aca="false">마스터!B16</f>
        <v>유포지</v>
      </c>
      <c r="C25" s="115" t="str">
        <f aca="false">마스터!C16</f>
        <v>30*15</v>
      </c>
      <c r="D25" s="116" t="n">
        <f aca="false">마스터!P16</f>
        <v>5020</v>
      </c>
      <c r="E25" s="116" t="n">
        <f aca="false">IF(ISNUMBER(D25),ROUNDDOWN(D25*(1+$F$20),-1),"")</f>
        <v>2510</v>
      </c>
      <c r="F25" s="116" t="n">
        <f aca="false">IF(ISNUMBER(D25),ROUNDDOWN(D25*(1+$F$21),-1),"")</f>
        <v>10040</v>
      </c>
      <c r="G25" s="117" t="n">
        <f aca="false">SUMPRODUCT(--(LEN(J25:AG25)&gt;0))</f>
        <v>5</v>
      </c>
      <c r="H25" s="118" t="str">
        <f aca="false">IF(G25&gt;0,_xlfn.TEXTJOIN(", ",TRUE(),J25:AG25),IF(ISNUMBER(D25),"옵션 가능한 사이즈 없음","가격 미정 — 판매가 입력 필요"))</f>
        <v>100*80(+3,900), 60*40(+760), 70*50(+960), 40*20(+1,120), 70*60(+2,150)</v>
      </c>
      <c r="J25" s="1" t="str">
        <f aca="false">IF(OR(NOT(ISNUMBER($E25)),NOT(ISNUMBER(마스터!$P$18))),"",IF(AND(마스터!$P$18&gt;=$E25,마스터!$P$18&lt;=$F25,OR($F$22=0,마스터!$G$18&gt;0)),마스터!$C$18&amp;"("&amp;IF(마스터!$P$18-$D25&gt;=0,"+","")&amp;TEXT(마스터!$P$18-$D25,"#,##0")&amp;")",""))</f>
        <v/>
      </c>
      <c r="K25" s="1" t="str">
        <f aca="false">IF(OR(NOT(ISNUMBER($E25)),NOT(ISNUMBER(마스터!$P$26))),"",IF(AND(마스터!$P$26&gt;=$E25,마스터!$P$26&lt;=$F25,OR($F$22=0,마스터!$G$26&gt;0)),마스터!$C$26&amp;"("&amp;IF(마스터!$P$26-$D25&gt;=0,"+","")&amp;TEXT(마스터!$P$26-$D25,"#,##0")&amp;")",""))</f>
        <v/>
      </c>
      <c r="L25" s="1" t="str">
        <f aca="false">IF(OR(NOT(ISNUMBER($E25)),NOT(ISNUMBER(마스터!$P$24))),"",IF(AND(마스터!$P$24&gt;=$E25,마스터!$P$24&lt;=$F25,OR($F$22=0,마스터!$G$24&gt;0)),마스터!$C$24&amp;"("&amp;IF(마스터!$P$24-$D25&gt;=0,"+","")&amp;TEXT(마스터!$P$24-$D25,"#,##0")&amp;")",""))</f>
        <v>100*80(+3,900)</v>
      </c>
      <c r="N25" s="1" t="str">
        <f aca="false">IF(OR(NOT(ISNUMBER($E25)),NOT(ISNUMBER(마스터!$P$27))),"",IF(AND(마스터!$P$27&gt;=$E25,마스터!$P$27&lt;=$F25,OR($F$22=0,마스터!$G$27&gt;0)),마스터!$C$27&amp;"("&amp;IF(마스터!$P$27-$D25&gt;=0,"+","")&amp;TEXT(마스터!$P$27-$D25,"#,##0")&amp;")",""))</f>
        <v/>
      </c>
      <c r="O25" s="1" t="str">
        <f aca="false">IF(OR(NOT(ISNUMBER($E25)),NOT(ISNUMBER(마스터!$P$19))),"",IF(AND(마스터!$P$19&gt;=$E25,마스터!$P$19&lt;=$F25,OR($F$22=0,마스터!$G$19&gt;0)),마스터!$C$19&amp;"("&amp;IF(마스터!$P$19-$D25&gt;=0,"+","")&amp;TEXT(마스터!$P$19-$D25,"#,##0")&amp;")",""))</f>
        <v>60*40(+760)</v>
      </c>
      <c r="P25" s="1" t="str">
        <f aca="false">IF(OR(NOT(ISNUMBER($E25)),NOT(ISNUMBER(마스터!$P$20))),"",IF(AND(마스터!$P$20&gt;=$E25,마스터!$P$20&lt;=$F25,OR($F$22=0,마스터!$G$20&gt;0)),마스터!$C$20&amp;"("&amp;IF(마스터!$P$20-$D25&gt;=0,"+","")&amp;TEXT(마스터!$P$20-$D25,"#,##0")&amp;")",""))</f>
        <v>70*50(+960)</v>
      </c>
      <c r="Q25" s="1" t="str">
        <f aca="false">IF(OR(NOT(ISNUMBER($E25)),NOT(ISNUMBER(마스터!$P$25))),"",IF(AND(마스터!$P$25&gt;=$E25,마스터!$P$25&lt;=$F25,OR($F$22=0,마스터!$G$25&gt;0)),마스터!$C$25&amp;"("&amp;IF(마스터!$P$25-$D25&gt;=0,"+","")&amp;TEXT(마스터!$P$25-$D25,"#,##0")&amp;")",""))</f>
        <v/>
      </c>
      <c r="R25" s="1" t="str">
        <f aca="false">IF(OR(NOT(ISNUMBER($E25)),NOT(ISNUMBER(마스터!$P$22))),"",IF(AND(마스터!$P$22&gt;=$E25,마스터!$P$22&lt;=$F25,OR($F$22=0,마스터!$G$22&gt;0)),마스터!$C$22&amp;"("&amp;IF(마스터!$P$22-$D25&gt;=0,"+","")&amp;TEXT(마스터!$P$22-$D25,"#,##0")&amp;")",""))</f>
        <v/>
      </c>
      <c r="S25" s="1" t="str">
        <f aca="false">IF(OR(NOT(ISNUMBER($E25)),NOT(ISNUMBER(마스터!$P$23))),"",IF(AND(마스터!$P$23&gt;=$E25,마스터!$P$23&lt;=$F25,OR($F$22=0,마스터!$G$23&gt;0)),마스터!$C$23&amp;"("&amp;IF(마스터!$P$23-$D25&gt;=0,"+","")&amp;TEXT(마스터!$P$23-$D25,"#,##0")&amp;")",""))</f>
        <v/>
      </c>
      <c r="T25" s="1" t="str">
        <f aca="false">IF(OR(NOT(ISNUMBER($E25)),NOT(ISNUMBER(마스터!$P$17))),"",IF(AND(마스터!$P$17&gt;=$E25,마스터!$P$17&lt;=$F25,OR($F$22=0,마스터!$G$17&gt;0)),마스터!$C$17&amp;"("&amp;IF(마스터!$P$17-$D25&gt;=0,"+","")&amp;TEXT(마스터!$P$17-$D25,"#,##0")&amp;")",""))</f>
        <v>40*20(+1,120)</v>
      </c>
      <c r="U25" s="1" t="str">
        <f aca="false">IF(OR(NOT(ISNUMBER($E25)),NOT(ISNUMBER(마스터!$P$21))),"",IF(AND(마스터!$P$21&gt;=$E25,마스터!$P$21&lt;=$F25,OR($F$22=0,마스터!$G$21&gt;0)),마스터!$C$21&amp;"("&amp;IF(마스터!$P$21-$D25&gt;=0,"+","")&amp;TEXT(마스터!$P$21-$D25,"#,##0")&amp;")",""))</f>
        <v>70*60(+2,150)</v>
      </c>
    </row>
    <row r="26" customFormat="false" ht="15" hidden="false" customHeight="true" outlineLevel="0" collapsed="false">
      <c r="A26" s="114" t="n">
        <v>2</v>
      </c>
      <c r="B26" s="115" t="str">
        <f aca="false">마스터!B17</f>
        <v>유포지</v>
      </c>
      <c r="C26" s="115" t="str">
        <f aca="false">마스터!C17</f>
        <v>40*20</v>
      </c>
      <c r="D26" s="116" t="n">
        <f aca="false">마스터!P17</f>
        <v>6140</v>
      </c>
      <c r="E26" s="116" t="n">
        <f aca="false">IF(ISNUMBER(D26),ROUNDDOWN(D26*(1+$F$20),-1),"")</f>
        <v>3070</v>
      </c>
      <c r="F26" s="116" t="n">
        <f aca="false">IF(ISNUMBER(D26),ROUNDDOWN(D26*(1+$F$21),-1),"")</f>
        <v>12280</v>
      </c>
      <c r="G26" s="117" t="n">
        <f aca="false">SUMPRODUCT(--(LEN(J26:AG26)&gt;0))</f>
        <v>6</v>
      </c>
      <c r="H26" s="119" t="str">
        <f aca="false">IF(G26&gt;0,_xlfn.TEXTJOIN(", ",TRUE(),J26:AG26),IF(ISNUMBER(D26),"옵션 가능한 사이즈 없음","가격 미정 — 판매가 입력 필요"))</f>
        <v>100*80(+2,780), 30*15(-1,120), 100*150(+4,060), 60*40(-360), 70*50(-160), 70*60(+1,030)</v>
      </c>
      <c r="J26" s="1" t="str">
        <f aca="false">IF(OR(NOT(ISNUMBER($E26)),NOT(ISNUMBER(마스터!$P$18))),"",IF(AND(마스터!$P$18&gt;=$E26,마스터!$P$18&lt;=$F26,OR($F$22=0,마스터!$G$18&gt;0)),마스터!$C$18&amp;"("&amp;IF(마스터!$P$18-$D26&gt;=0,"+","")&amp;TEXT(마스터!$P$18-$D26,"#,##0")&amp;")",""))</f>
        <v/>
      </c>
      <c r="K26" s="1" t="str">
        <f aca="false">IF(OR(NOT(ISNUMBER($E26)),NOT(ISNUMBER(마스터!$P$26))),"",IF(AND(마스터!$P$26&gt;=$E26,마스터!$P$26&lt;=$F26,OR($F$22=0,마스터!$G$26&gt;0)),마스터!$C$26&amp;"("&amp;IF(마스터!$P$26-$D26&gt;=0,"+","")&amp;TEXT(마스터!$P$26-$D26,"#,##0")&amp;")",""))</f>
        <v/>
      </c>
      <c r="L26" s="1" t="str">
        <f aca="false">IF(OR(NOT(ISNUMBER($E26)),NOT(ISNUMBER(마스터!$P$24))),"",IF(AND(마스터!$P$24&gt;=$E26,마스터!$P$24&lt;=$F26,OR($F$22=0,마스터!$G$24&gt;0)),마스터!$C$24&amp;"("&amp;IF(마스터!$P$24-$D26&gt;=0,"+","")&amp;TEXT(마스터!$P$24-$D26,"#,##0")&amp;")",""))</f>
        <v>100*80(+2,780)</v>
      </c>
      <c r="M26" s="1" t="str">
        <f aca="false">IF(OR(NOT(ISNUMBER($E26)),NOT(ISNUMBER(마스터!$P$16))),"",IF(AND(마스터!$P$16&gt;=$E26,마스터!$P$16&lt;=$F26,OR($F$22=0,마스터!$G$16&gt;0)),마스터!$C$16&amp;"("&amp;IF(마스터!$P$16-$D26&gt;=0,"+","")&amp;TEXT(마스터!$P$16-$D26,"#,##0")&amp;")",""))</f>
        <v>30*15(-1,120)</v>
      </c>
      <c r="N26" s="1" t="str">
        <f aca="false">IF(OR(NOT(ISNUMBER($E26)),NOT(ISNUMBER(마스터!$P$27))),"",IF(AND(마스터!$P$27&gt;=$E26,마스터!$P$27&lt;=$F26,OR($F$22=0,마스터!$G$27&gt;0)),마스터!$C$27&amp;"("&amp;IF(마스터!$P$27-$D26&gt;=0,"+","")&amp;TEXT(마스터!$P$27-$D26,"#,##0")&amp;")",""))</f>
        <v>100*150(+4,060)</v>
      </c>
      <c r="O26" s="1" t="str">
        <f aca="false">IF(OR(NOT(ISNUMBER($E26)),NOT(ISNUMBER(마스터!$P$19))),"",IF(AND(마스터!$P$19&gt;=$E26,마스터!$P$19&lt;=$F26,OR($F$22=0,마스터!$G$19&gt;0)),마스터!$C$19&amp;"("&amp;IF(마스터!$P$19-$D26&gt;=0,"+","")&amp;TEXT(마스터!$P$19-$D26,"#,##0")&amp;")",""))</f>
        <v>60*40(-360)</v>
      </c>
      <c r="P26" s="1" t="str">
        <f aca="false">IF(OR(NOT(ISNUMBER($E26)),NOT(ISNUMBER(마스터!$P$20))),"",IF(AND(마스터!$P$20&gt;=$E26,마스터!$P$20&lt;=$F26,OR($F$22=0,마스터!$G$20&gt;0)),마스터!$C$20&amp;"("&amp;IF(마스터!$P$20-$D26&gt;=0,"+","")&amp;TEXT(마스터!$P$20-$D26,"#,##0")&amp;")",""))</f>
        <v>70*50(-160)</v>
      </c>
      <c r="Q26" s="1" t="str">
        <f aca="false">IF(OR(NOT(ISNUMBER($E26)),NOT(ISNUMBER(마스터!$P$25))),"",IF(AND(마스터!$P$25&gt;=$E26,마스터!$P$25&lt;=$F26,OR($F$22=0,마스터!$G$25&gt;0)),마스터!$C$25&amp;"("&amp;IF(마스터!$P$25-$D26&gt;=0,"+","")&amp;TEXT(마스터!$P$25-$D26,"#,##0")&amp;")",""))</f>
        <v/>
      </c>
      <c r="R26" s="1" t="str">
        <f aca="false">IF(OR(NOT(ISNUMBER($E26)),NOT(ISNUMBER(마스터!$P$22))),"",IF(AND(마스터!$P$22&gt;=$E26,마스터!$P$22&lt;=$F26,OR($F$22=0,마스터!$G$22&gt;0)),마스터!$C$22&amp;"("&amp;IF(마스터!$P$22-$D26&gt;=0,"+","")&amp;TEXT(마스터!$P$22-$D26,"#,##0")&amp;")",""))</f>
        <v/>
      </c>
      <c r="S26" s="1" t="str">
        <f aca="false">IF(OR(NOT(ISNUMBER($E26)),NOT(ISNUMBER(마스터!$P$23))),"",IF(AND(마스터!$P$23&gt;=$E26,마스터!$P$23&lt;=$F26,OR($F$22=0,마스터!$G$23&gt;0)),마스터!$C$23&amp;"("&amp;IF(마스터!$P$23-$D26&gt;=0,"+","")&amp;TEXT(마스터!$P$23-$D26,"#,##0")&amp;")",""))</f>
        <v/>
      </c>
      <c r="U26" s="1" t="str">
        <f aca="false">IF(OR(NOT(ISNUMBER($E26)),NOT(ISNUMBER(마스터!$P$21))),"",IF(AND(마스터!$P$21&gt;=$E26,마스터!$P$21&lt;=$F26,OR($F$22=0,마스터!$G$21&gt;0)),마스터!$C$21&amp;"("&amp;IF(마스터!$P$21-$D26&gt;=0,"+","")&amp;TEXT(마스터!$P$21-$D26,"#,##0")&amp;")",""))</f>
        <v>70*60(+1,030)</v>
      </c>
    </row>
    <row r="27" customFormat="false" ht="15" hidden="false" customHeight="true" outlineLevel="0" collapsed="false">
      <c r="A27" s="114" t="n">
        <v>3</v>
      </c>
      <c r="B27" s="9" t="str">
        <f aca="false">마스터!B18</f>
        <v>유포지/품절</v>
      </c>
      <c r="C27" s="9" t="str">
        <f aca="false">마스터!C18</f>
        <v>50*30</v>
      </c>
      <c r="D27" s="20" t="str">
        <f aca="false">마스터!P18</f>
        <v/>
      </c>
      <c r="E27" s="20" t="str">
        <f aca="false">IF(ISNUMBER(D27),ROUNDDOWN(D27*(1+$F$20),-1),"")</f>
        <v/>
      </c>
      <c r="F27" s="20" t="str">
        <f aca="false">IF(ISNUMBER(D27),ROUNDDOWN(D27*(1+$F$21),-1),"")</f>
        <v/>
      </c>
      <c r="G27" s="120" t="n">
        <f aca="false">SUMPRODUCT(--(LEN(J27:AG27)&gt;0))</f>
        <v>0</v>
      </c>
      <c r="H27" s="121" t="s">
        <v>110</v>
      </c>
      <c r="K27" s="1" t="str">
        <f aca="false">IF(OR(NOT(ISNUMBER($E27)),NOT(ISNUMBER(마스터!$P$26))),"",IF(AND(마스터!$P$26&gt;=$E27,마스터!$P$26&lt;=$F27,OR($F$22=0,마스터!$G$26&gt;0)),마스터!$C$26&amp;"("&amp;IF(마스터!$P$26-$D27&gt;=0,"+","")&amp;TEXT(마스터!$P$26-$D27,"#,##0")&amp;")",""))</f>
        <v/>
      </c>
      <c r="L27" s="1" t="str">
        <f aca="false">IF(OR(NOT(ISNUMBER($E27)),NOT(ISNUMBER(마스터!$P$24))),"",IF(AND(마스터!$P$24&gt;=$E27,마스터!$P$24&lt;=$F27,OR($F$22=0,마스터!$G$24&gt;0)),마스터!$C$24&amp;"("&amp;IF(마스터!$P$24-$D27&gt;=0,"+","")&amp;TEXT(마스터!$P$24-$D27,"#,##0")&amp;")",""))</f>
        <v/>
      </c>
      <c r="M27" s="1" t="str">
        <f aca="false">IF(OR(NOT(ISNUMBER($E27)),NOT(ISNUMBER(마스터!$P$16))),"",IF(AND(마스터!$P$16&gt;=$E27,마스터!$P$16&lt;=$F27,OR($F$22=0,마스터!$G$16&gt;0)),마스터!$C$16&amp;"("&amp;IF(마스터!$P$16-$D27&gt;=0,"+","")&amp;TEXT(마스터!$P$16-$D27,"#,##0")&amp;")",""))</f>
        <v/>
      </c>
      <c r="N27" s="1" t="str">
        <f aca="false">IF(OR(NOT(ISNUMBER($E27)),NOT(ISNUMBER(마스터!$P$27))),"",IF(AND(마스터!$P$27&gt;=$E27,마스터!$P$27&lt;=$F27,OR($F$22=0,마스터!$G$27&gt;0)),마스터!$C$27&amp;"("&amp;IF(마스터!$P$27-$D27&gt;=0,"+","")&amp;TEXT(마스터!$P$27-$D27,"#,##0")&amp;")",""))</f>
        <v/>
      </c>
      <c r="O27" s="1" t="str">
        <f aca="false">IF(OR(NOT(ISNUMBER($E27)),NOT(ISNUMBER(마스터!$P$19))),"",IF(AND(마스터!$P$19&gt;=$E27,마스터!$P$19&lt;=$F27,OR($F$22=0,마스터!$G$19&gt;0)),마스터!$C$19&amp;"("&amp;IF(마스터!$P$19-$D27&gt;=0,"+","")&amp;TEXT(마스터!$P$19-$D27,"#,##0")&amp;")",""))</f>
        <v/>
      </c>
      <c r="P27" s="1" t="str">
        <f aca="false">IF(OR(NOT(ISNUMBER($E27)),NOT(ISNUMBER(마스터!$P$20))),"",IF(AND(마스터!$P$20&gt;=$E27,마스터!$P$20&lt;=$F27,OR($F$22=0,마스터!$G$20&gt;0)),마스터!$C$20&amp;"("&amp;IF(마스터!$P$20-$D27&gt;=0,"+","")&amp;TEXT(마스터!$P$20-$D27,"#,##0")&amp;")",""))</f>
        <v/>
      </c>
      <c r="Q27" s="1" t="str">
        <f aca="false">IF(OR(NOT(ISNUMBER($E27)),NOT(ISNUMBER(마스터!$P$25))),"",IF(AND(마스터!$P$25&gt;=$E27,마스터!$P$25&lt;=$F27,OR($F$22=0,마스터!$G$25&gt;0)),마스터!$C$25&amp;"("&amp;IF(마스터!$P$25-$D27&gt;=0,"+","")&amp;TEXT(마스터!$P$25-$D27,"#,##0")&amp;")",""))</f>
        <v/>
      </c>
      <c r="R27" s="1" t="str">
        <f aca="false">IF(OR(NOT(ISNUMBER($E27)),NOT(ISNUMBER(마스터!$P$22))),"",IF(AND(마스터!$P$22&gt;=$E27,마스터!$P$22&lt;=$F27,OR($F$22=0,마스터!$G$22&gt;0)),마스터!$C$22&amp;"("&amp;IF(마스터!$P$22-$D27&gt;=0,"+","")&amp;TEXT(마스터!$P$22-$D27,"#,##0")&amp;")",""))</f>
        <v/>
      </c>
      <c r="S27" s="1" t="str">
        <f aca="false">IF(OR(NOT(ISNUMBER($E27)),NOT(ISNUMBER(마스터!$P$23))),"",IF(AND(마스터!$P$23&gt;=$E27,마스터!$P$23&lt;=$F27,OR($F$22=0,마스터!$G$23&gt;0)),마스터!$C$23&amp;"("&amp;IF(마스터!$P$23-$D27&gt;=0,"+","")&amp;TEXT(마스터!$P$23-$D27,"#,##0")&amp;")",""))</f>
        <v/>
      </c>
      <c r="T27" s="1" t="str">
        <f aca="false">IF(OR(NOT(ISNUMBER($E27)),NOT(ISNUMBER(마스터!$P$17))),"",IF(AND(마스터!$P$17&gt;=$E27,마스터!$P$17&lt;=$F27,OR($F$22=0,마스터!$G$17&gt;0)),마스터!$C$17&amp;"("&amp;IF(마스터!$P$17-$D27&gt;=0,"+","")&amp;TEXT(마스터!$P$17-$D27,"#,##0")&amp;")",""))</f>
        <v/>
      </c>
      <c r="U27" s="1" t="str">
        <f aca="false">IF(OR(NOT(ISNUMBER($E27)),NOT(ISNUMBER(마스터!$P$21))),"",IF(AND(마스터!$P$21&gt;=$E27,마스터!$P$21&lt;=$F27,OR($F$22=0,마스터!$G$21&gt;0)),마스터!$C$21&amp;"("&amp;IF(마스터!$P$21-$D27&gt;=0,"+","")&amp;TEXT(마스터!$P$21-$D27,"#,##0")&amp;")",""))</f>
        <v/>
      </c>
    </row>
    <row r="28" customFormat="false" ht="15" hidden="false" customHeight="true" outlineLevel="0" collapsed="false">
      <c r="A28" s="114" t="n">
        <v>4</v>
      </c>
      <c r="B28" s="9" t="str">
        <f aca="false">마스터!B19</f>
        <v>유포지</v>
      </c>
      <c r="C28" s="9" t="str">
        <f aca="false">마스터!C19</f>
        <v>60*40</v>
      </c>
      <c r="D28" s="20" t="n">
        <f aca="false">마스터!P19</f>
        <v>5780</v>
      </c>
      <c r="E28" s="20" t="n">
        <f aca="false">IF(ISNUMBER(D28),ROUNDDOWN(D28*(1+$F$20),-1),"")</f>
        <v>2890</v>
      </c>
      <c r="F28" s="20" t="n">
        <f aca="false">IF(ISNUMBER(D28),ROUNDDOWN(D28*(1+$F$21),-1),"")</f>
        <v>11560</v>
      </c>
      <c r="G28" s="120" t="n">
        <f aca="false">SUMPRODUCT(--(LEN(J28:AG28)&gt;0))</f>
        <v>6</v>
      </c>
      <c r="H28" s="121" t="str">
        <f aca="false">IF(G28&gt;0,_xlfn.TEXTJOIN(", ",TRUE(),J28:AG28),IF(ISNUMBER(D28),"옵션 가능한 사이즈 없음","가격 미정 — 판매가 입력 필요"))</f>
        <v>100*80(+3,140), 30*15(-760), 100*150(+4,420), 70*50(+200), 40*20(+360), 70*60(+1,390)</v>
      </c>
      <c r="J28" s="1" t="str">
        <f aca="false">IF(OR(NOT(ISNUMBER($E28)),NOT(ISNUMBER(마스터!$P$18))),"",IF(AND(마스터!$P$18&gt;=$E28,마스터!$P$18&lt;=$F28,OR($F$22=0,마스터!$G$18&gt;0)),마스터!$C$18&amp;"("&amp;IF(마스터!$P$18-$D28&gt;=0,"+","")&amp;TEXT(마스터!$P$18-$D28,"#,##0")&amp;")",""))</f>
        <v/>
      </c>
      <c r="K28" s="1" t="str">
        <f aca="false">IF(OR(NOT(ISNUMBER($E28)),NOT(ISNUMBER(마스터!$P$26))),"",IF(AND(마스터!$P$26&gt;=$E28,마스터!$P$26&lt;=$F28,OR($F$22=0,마스터!$G$26&gt;0)),마스터!$C$26&amp;"("&amp;IF(마스터!$P$26-$D28&gt;=0,"+","")&amp;TEXT(마스터!$P$26-$D28,"#,##0")&amp;")",""))</f>
        <v/>
      </c>
      <c r="L28" s="1" t="str">
        <f aca="false">IF(OR(NOT(ISNUMBER($E28)),NOT(ISNUMBER(마스터!$P$24))),"",IF(AND(마스터!$P$24&gt;=$E28,마스터!$P$24&lt;=$F28,OR($F$22=0,마스터!$G$24&gt;0)),마스터!$C$24&amp;"("&amp;IF(마스터!$P$24-$D28&gt;=0,"+","")&amp;TEXT(마스터!$P$24-$D28,"#,##0")&amp;")",""))</f>
        <v>100*80(+3,140)</v>
      </c>
      <c r="M28" s="1" t="str">
        <f aca="false">IF(OR(NOT(ISNUMBER($E28)),NOT(ISNUMBER(마스터!$P$16))),"",IF(AND(마스터!$P$16&gt;=$E28,마스터!$P$16&lt;=$F28,OR($F$22=0,마스터!$G$16&gt;0)),마스터!$C$16&amp;"("&amp;IF(마스터!$P$16-$D28&gt;=0,"+","")&amp;TEXT(마스터!$P$16-$D28,"#,##0")&amp;")",""))</f>
        <v>30*15(-760)</v>
      </c>
      <c r="N28" s="1" t="str">
        <f aca="false">IF(OR(NOT(ISNUMBER($E28)),NOT(ISNUMBER(마스터!$P$27))),"",IF(AND(마스터!$P$27&gt;=$E28,마스터!$P$27&lt;=$F28,OR($F$22=0,마스터!$G$27&gt;0)),마스터!$C$27&amp;"("&amp;IF(마스터!$P$27-$D28&gt;=0,"+","")&amp;TEXT(마스터!$P$27-$D28,"#,##0")&amp;")",""))</f>
        <v>100*150(+4,420)</v>
      </c>
      <c r="P28" s="1" t="str">
        <f aca="false">IF(OR(NOT(ISNUMBER($E28)),NOT(ISNUMBER(마스터!$P$20))),"",IF(AND(마스터!$P$20&gt;=$E28,마스터!$P$20&lt;=$F28,OR($F$22=0,마스터!$G$20&gt;0)),마스터!$C$20&amp;"("&amp;IF(마스터!$P$20-$D28&gt;=0,"+","")&amp;TEXT(마스터!$P$20-$D28,"#,##0")&amp;")",""))</f>
        <v>70*50(+200)</v>
      </c>
      <c r="Q28" s="1" t="str">
        <f aca="false">IF(OR(NOT(ISNUMBER($E28)),NOT(ISNUMBER(마스터!$P$25))),"",IF(AND(마스터!$P$25&gt;=$E28,마스터!$P$25&lt;=$F28,OR($F$22=0,마스터!$G$25&gt;0)),마스터!$C$25&amp;"("&amp;IF(마스터!$P$25-$D28&gt;=0,"+","")&amp;TEXT(마스터!$P$25-$D28,"#,##0")&amp;")",""))</f>
        <v/>
      </c>
      <c r="R28" s="1" t="str">
        <f aca="false">IF(OR(NOT(ISNUMBER($E28)),NOT(ISNUMBER(마스터!$P$22))),"",IF(AND(마스터!$P$22&gt;=$E28,마스터!$P$22&lt;=$F28,OR($F$22=0,마스터!$G$22&gt;0)),마스터!$C$22&amp;"("&amp;IF(마스터!$P$22-$D28&gt;=0,"+","")&amp;TEXT(마스터!$P$22-$D28,"#,##0")&amp;")",""))</f>
        <v/>
      </c>
      <c r="S28" s="1" t="str">
        <f aca="false">IF(OR(NOT(ISNUMBER($E28)),NOT(ISNUMBER(마스터!$P$23))),"",IF(AND(마스터!$P$23&gt;=$E28,마스터!$P$23&lt;=$F28,OR($F$22=0,마스터!$G$23&gt;0)),마스터!$C$23&amp;"("&amp;IF(마스터!$P$23-$D28&gt;=0,"+","")&amp;TEXT(마스터!$P$23-$D28,"#,##0")&amp;")",""))</f>
        <v/>
      </c>
      <c r="T28" s="1" t="str">
        <f aca="false">IF(OR(NOT(ISNUMBER($E28)),NOT(ISNUMBER(마스터!$P$17))),"",IF(AND(마스터!$P$17&gt;=$E28,마스터!$P$17&lt;=$F28,OR($F$22=0,마스터!$G$17&gt;0)),마스터!$C$17&amp;"("&amp;IF(마스터!$P$17-$D28&gt;=0,"+","")&amp;TEXT(마스터!$P$17-$D28,"#,##0")&amp;")",""))</f>
        <v>40*20(+360)</v>
      </c>
      <c r="U28" s="1" t="str">
        <f aca="false">IF(OR(NOT(ISNUMBER($E28)),NOT(ISNUMBER(마스터!$P$21))),"",IF(AND(마스터!$P$21&gt;=$E28,마스터!$P$21&lt;=$F28,OR($F$22=0,마스터!$G$21&gt;0)),마스터!$C$21&amp;"("&amp;IF(마스터!$P$21-$D28&gt;=0,"+","")&amp;TEXT(마스터!$P$21-$D28,"#,##0")&amp;")",""))</f>
        <v>70*60(+1,390)</v>
      </c>
    </row>
    <row r="29" customFormat="false" ht="15" hidden="false" customHeight="true" outlineLevel="0" collapsed="false">
      <c r="A29" s="114" t="n">
        <v>5</v>
      </c>
      <c r="B29" s="9" t="str">
        <f aca="false">마스터!B20</f>
        <v>유포지</v>
      </c>
      <c r="C29" s="9" t="str">
        <f aca="false">마스터!C20</f>
        <v>70*50</v>
      </c>
      <c r="D29" s="20" t="n">
        <f aca="false">마스터!P20</f>
        <v>5980</v>
      </c>
      <c r="E29" s="20" t="n">
        <f aca="false">IF(ISNUMBER(D29),ROUNDDOWN(D29*(1+$F$20),-1),"")</f>
        <v>2990</v>
      </c>
      <c r="F29" s="20" t="n">
        <f aca="false">IF(ISNUMBER(D29),ROUNDDOWN(D29*(1+$F$21),-1),"")</f>
        <v>11960</v>
      </c>
      <c r="G29" s="120" t="n">
        <f aca="false">SUMPRODUCT(--(LEN(J29:AG29)&gt;0))</f>
        <v>6</v>
      </c>
      <c r="H29" s="121" t="str">
        <f aca="false">IF(G29&gt;0,_xlfn.TEXTJOIN(", ",TRUE(),J29:AG29),IF(ISNUMBER(D29),"옵션 가능한 사이즈 없음","가격 미정 — 판매가 입력 필요"))</f>
        <v>100*80(+2,940), 30*15(-960), 100*150(+4,220), 60*40(-200), 40*20(+160), 70*60(+1,190)</v>
      </c>
      <c r="J29" s="1" t="str">
        <f aca="false">IF(OR(NOT(ISNUMBER($E29)),NOT(ISNUMBER(마스터!$P$18))),"",IF(AND(마스터!$P$18&gt;=$E29,마스터!$P$18&lt;=$F29,OR($F$22=0,마스터!$G$18&gt;0)),마스터!$C$18&amp;"("&amp;IF(마스터!$P$18-$D29&gt;=0,"+","")&amp;TEXT(마스터!$P$18-$D29,"#,##0")&amp;")",""))</f>
        <v/>
      </c>
      <c r="K29" s="1" t="str">
        <f aca="false">IF(OR(NOT(ISNUMBER($E29)),NOT(ISNUMBER(마스터!$P$26))),"",IF(AND(마스터!$P$26&gt;=$E29,마스터!$P$26&lt;=$F29,OR($F$22=0,마스터!$G$26&gt;0)),마스터!$C$26&amp;"("&amp;IF(마스터!$P$26-$D29&gt;=0,"+","")&amp;TEXT(마스터!$P$26-$D29,"#,##0")&amp;")",""))</f>
        <v/>
      </c>
      <c r="L29" s="1" t="str">
        <f aca="false">IF(OR(NOT(ISNUMBER($E29)),NOT(ISNUMBER(마스터!$P$24))),"",IF(AND(마스터!$P$24&gt;=$E29,마스터!$P$24&lt;=$F29,OR($F$22=0,마스터!$G$24&gt;0)),마스터!$C$24&amp;"("&amp;IF(마스터!$P$24-$D29&gt;=0,"+","")&amp;TEXT(마스터!$P$24-$D29,"#,##0")&amp;")",""))</f>
        <v>100*80(+2,940)</v>
      </c>
      <c r="M29" s="1" t="str">
        <f aca="false">IF(OR(NOT(ISNUMBER($E29)),NOT(ISNUMBER(마스터!$P$16))),"",IF(AND(마스터!$P$16&gt;=$E29,마스터!$P$16&lt;=$F29,OR($F$22=0,마스터!$G$16&gt;0)),마스터!$C$16&amp;"("&amp;IF(마스터!$P$16-$D29&gt;=0,"+","")&amp;TEXT(마스터!$P$16-$D29,"#,##0")&amp;")",""))</f>
        <v>30*15(-960)</v>
      </c>
      <c r="N29" s="1" t="str">
        <f aca="false">IF(OR(NOT(ISNUMBER($E29)),NOT(ISNUMBER(마스터!$P$27))),"",IF(AND(마스터!$P$27&gt;=$E29,마스터!$P$27&lt;=$F29,OR($F$22=0,마스터!$G$27&gt;0)),마스터!$C$27&amp;"("&amp;IF(마스터!$P$27-$D29&gt;=0,"+","")&amp;TEXT(마스터!$P$27-$D29,"#,##0")&amp;")",""))</f>
        <v>100*150(+4,220)</v>
      </c>
      <c r="O29" s="1" t="str">
        <f aca="false">IF(OR(NOT(ISNUMBER($E29)),NOT(ISNUMBER(마스터!$P$19))),"",IF(AND(마스터!$P$19&gt;=$E29,마스터!$P$19&lt;=$F29,OR($F$22=0,마스터!$G$19&gt;0)),마스터!$C$19&amp;"("&amp;IF(마스터!$P$19-$D29&gt;=0,"+","")&amp;TEXT(마스터!$P$19-$D29,"#,##0")&amp;")",""))</f>
        <v>60*40(-200)</v>
      </c>
      <c r="Q29" s="1" t="str">
        <f aca="false">IF(OR(NOT(ISNUMBER($E29)),NOT(ISNUMBER(마스터!$P$25))),"",IF(AND(마스터!$P$25&gt;=$E29,마스터!$P$25&lt;=$F29,OR($F$22=0,마스터!$G$25&gt;0)),마스터!$C$25&amp;"("&amp;IF(마스터!$P$25-$D29&gt;=0,"+","")&amp;TEXT(마스터!$P$25-$D29,"#,##0")&amp;")",""))</f>
        <v/>
      </c>
      <c r="R29" s="1" t="str">
        <f aca="false">IF(OR(NOT(ISNUMBER($E29)),NOT(ISNUMBER(마스터!$P$22))),"",IF(AND(마스터!$P$22&gt;=$E29,마스터!$P$22&lt;=$F29,OR($F$22=0,마스터!$G$22&gt;0)),마스터!$C$22&amp;"("&amp;IF(마스터!$P$22-$D29&gt;=0,"+","")&amp;TEXT(마스터!$P$22-$D29,"#,##0")&amp;")",""))</f>
        <v/>
      </c>
      <c r="S29" s="1" t="str">
        <f aca="false">IF(OR(NOT(ISNUMBER($E29)),NOT(ISNUMBER(마스터!$P$23))),"",IF(AND(마스터!$P$23&gt;=$E29,마스터!$P$23&lt;=$F29,OR($F$22=0,마스터!$G$23&gt;0)),마스터!$C$23&amp;"("&amp;IF(마스터!$P$23-$D29&gt;=0,"+","")&amp;TEXT(마스터!$P$23-$D29,"#,##0")&amp;")",""))</f>
        <v/>
      </c>
      <c r="T29" s="1" t="str">
        <f aca="false">IF(OR(NOT(ISNUMBER($E29)),NOT(ISNUMBER(마스터!$P$17))),"",IF(AND(마스터!$P$17&gt;=$E29,마스터!$P$17&lt;=$F29,OR($F$22=0,마스터!$G$17&gt;0)),마스터!$C$17&amp;"("&amp;IF(마스터!$P$17-$D29&gt;=0,"+","")&amp;TEXT(마스터!$P$17-$D29,"#,##0")&amp;")",""))</f>
        <v>40*20(+160)</v>
      </c>
      <c r="U29" s="1" t="str">
        <f aca="false">IF(OR(NOT(ISNUMBER($E29)),NOT(ISNUMBER(마스터!$P$21))),"",IF(AND(마스터!$P$21&gt;=$E29,마스터!$P$21&lt;=$F29,OR($F$22=0,마스터!$G$21&gt;0)),마스터!$C$21&amp;"("&amp;IF(마스터!$P$21-$D29&gt;=0,"+","")&amp;TEXT(마스터!$P$21-$D29,"#,##0")&amp;")",""))</f>
        <v>70*60(+1,190)</v>
      </c>
    </row>
    <row r="30" customFormat="false" ht="15" hidden="true" customHeight="true" outlineLevel="0" collapsed="false">
      <c r="A30" s="114" t="n">
        <v>6</v>
      </c>
      <c r="B30" s="9" t="str">
        <f aca="false">마스터!B21</f>
        <v>유포지</v>
      </c>
      <c r="C30" s="9" t="str">
        <f aca="false">마스터!C21</f>
        <v>70*60</v>
      </c>
      <c r="D30" s="20" t="n">
        <f aca="false">마스터!P21</f>
        <v>7170</v>
      </c>
      <c r="E30" s="20" t="n">
        <f aca="false">IF(ISNUMBER(D30),ROUNDDOWN(D30*(1+$F$20),-1),"")</f>
        <v>3580</v>
      </c>
      <c r="F30" s="20" t="n">
        <f aca="false">IF(ISNUMBER(D30),ROUNDDOWN(D30*(1+$F$21),-1),"")</f>
        <v>14340</v>
      </c>
      <c r="G30" s="120" t="n">
        <f aca="false">SUMPRODUCT(--(LEN(J30:AG30)&gt;0))</f>
        <v>8</v>
      </c>
      <c r="H30" s="121" t="str">
        <f aca="false">IF(G30&gt;0,_xlfn.TEXTJOIN(", ",TRUE(),J30:AG30),IF(ISNUMBER(D30),"옵션 가능한 사이즈 없음","가격 미정 — 판매가 입력 필요"))</f>
        <v>100*80(+1,750), 30*15(-2,150), 100*150(+3,030), 60*40(-1,390), 70*50(-1,190), 100*90(+6,760), 100*35(+7,010), 40*20(-1,030)</v>
      </c>
      <c r="J30" s="1" t="str">
        <f aca="false">IF(OR(NOT(ISNUMBER($E30)),NOT(ISNUMBER(마스터!$P$18))),"",IF(AND(마스터!$P$18&gt;=$E30,마스터!$P$18&lt;=$F30,OR($F$22=0,마스터!$G$18&gt;0)),마스터!$C$18&amp;"("&amp;IF(마스터!$P$18-$D30&gt;=0,"+","")&amp;TEXT(마스터!$P$18-$D30,"#,##0")&amp;")",""))</f>
        <v/>
      </c>
      <c r="K30" s="1" t="str">
        <f aca="false">IF(OR(NOT(ISNUMBER($E30)),NOT(ISNUMBER(마스터!$P$26))),"",IF(AND(마스터!$P$26&gt;=$E30,마스터!$P$26&lt;=$F30,OR($F$22=0,마스터!$G$26&gt;0)),마스터!$C$26&amp;"("&amp;IF(마스터!$P$26-$D30&gt;=0,"+","")&amp;TEXT(마스터!$P$26-$D30,"#,##0")&amp;")",""))</f>
        <v/>
      </c>
      <c r="L30" s="1" t="str">
        <f aca="false">IF(OR(NOT(ISNUMBER($E30)),NOT(ISNUMBER(마스터!$P$24))),"",IF(AND(마스터!$P$24&gt;=$E30,마스터!$P$24&lt;=$F30,OR($F$22=0,마스터!$G$24&gt;0)),마스터!$C$24&amp;"("&amp;IF(마스터!$P$24-$D30&gt;=0,"+","")&amp;TEXT(마스터!$P$24-$D30,"#,##0")&amp;")",""))</f>
        <v>100*80(+1,750)</v>
      </c>
      <c r="M30" s="1" t="str">
        <f aca="false">IF(OR(NOT(ISNUMBER($E30)),NOT(ISNUMBER(마스터!$P$16))),"",IF(AND(마스터!$P$16&gt;=$E30,마스터!$P$16&lt;=$F30,OR($F$22=0,마스터!$G$16&gt;0)),마스터!$C$16&amp;"("&amp;IF(마스터!$P$16-$D30&gt;=0,"+","")&amp;TEXT(마스터!$P$16-$D30,"#,##0")&amp;")",""))</f>
        <v>30*15(-2,150)</v>
      </c>
      <c r="N30" s="1" t="str">
        <f aca="false">IF(OR(NOT(ISNUMBER($E30)),NOT(ISNUMBER(마스터!$P$27))),"",IF(AND(마스터!$P$27&gt;=$E30,마스터!$P$27&lt;=$F30,OR($F$22=0,마스터!$G$27&gt;0)),마스터!$C$27&amp;"("&amp;IF(마스터!$P$27-$D30&gt;=0,"+","")&amp;TEXT(마스터!$P$27-$D30,"#,##0")&amp;")",""))</f>
        <v>100*150(+3,030)</v>
      </c>
      <c r="O30" s="1" t="str">
        <f aca="false">IF(OR(NOT(ISNUMBER($E30)),NOT(ISNUMBER(마스터!$P$19))),"",IF(AND(마스터!$P$19&gt;=$E30,마스터!$P$19&lt;=$F30,OR($F$22=0,마스터!$G$19&gt;0)),마스터!$C$19&amp;"("&amp;IF(마스터!$P$19-$D30&gt;=0,"+","")&amp;TEXT(마스터!$P$19-$D30,"#,##0")&amp;")",""))</f>
        <v>60*40(-1,390)</v>
      </c>
      <c r="P30" s="1" t="str">
        <f aca="false">IF(OR(NOT(ISNUMBER($E30)),NOT(ISNUMBER(마스터!$P$20))),"",IF(AND(마스터!$P$20&gt;=$E30,마스터!$P$20&lt;=$F30,OR($F$22=0,마스터!$G$20&gt;0)),마스터!$C$20&amp;"("&amp;IF(마스터!$P$20-$D30&gt;=0,"+","")&amp;TEXT(마스터!$P$20-$D30,"#,##0")&amp;")",""))</f>
        <v>70*50(-1,190)</v>
      </c>
      <c r="Q30" s="1" t="str">
        <f aca="false">IF(OR(NOT(ISNUMBER($E30)),NOT(ISNUMBER(마스터!$P$25))),"",IF(AND(마스터!$P$25&gt;=$E30,마스터!$P$25&lt;=$F30,OR($F$22=0,마스터!$G$25&gt;0)),마스터!$C$25&amp;"("&amp;IF(마스터!$P$25-$D30&gt;=0,"+","")&amp;TEXT(마스터!$P$25-$D30,"#,##0")&amp;")",""))</f>
        <v>100*90(+6,760)</v>
      </c>
      <c r="R30" s="1" t="str">
        <f aca="false">IF(OR(NOT(ISNUMBER($E30)),NOT(ISNUMBER(마스터!$P$22))),"",IF(AND(마스터!$P$22&gt;=$E30,마스터!$P$22&lt;=$F30,OR($F$22=0,마스터!$G$22&gt;0)),마스터!$C$22&amp;"("&amp;IF(마스터!$P$22-$D30&gt;=0,"+","")&amp;TEXT(마스터!$P$22-$D30,"#,##0")&amp;")",""))</f>
        <v>100*35(+7,010)</v>
      </c>
      <c r="S30" s="1" t="str">
        <f aca="false">IF(OR(NOT(ISNUMBER($E30)),NOT(ISNUMBER(마스터!$P$23))),"",IF(AND(마스터!$P$23&gt;=$E30,마스터!$P$23&lt;=$F30,OR($F$22=0,마스터!$G$23&gt;0)),마스터!$C$23&amp;"("&amp;IF(마스터!$P$23-$D30&gt;=0,"+","")&amp;TEXT(마스터!$P$23-$D30,"#,##0")&amp;")",""))</f>
        <v/>
      </c>
      <c r="T30" s="1" t="str">
        <f aca="false">IF(OR(NOT(ISNUMBER($E30)),NOT(ISNUMBER(마스터!$P$17))),"",IF(AND(마스터!$P$17&gt;=$E30,마스터!$P$17&lt;=$F30,OR($F$22=0,마스터!$G$17&gt;0)),마스터!$C$17&amp;"("&amp;IF(마스터!$P$17-$D30&gt;=0,"+","")&amp;TEXT(마스터!$P$17-$D30,"#,##0")&amp;")",""))</f>
        <v>40*20(-1,030)</v>
      </c>
    </row>
    <row r="31" customFormat="false" ht="15" hidden="true" customHeight="true" outlineLevel="0" collapsed="false">
      <c r="A31" s="114" t="n">
        <v>7</v>
      </c>
      <c r="B31" s="9" t="str">
        <f aca="false">마스터!B22</f>
        <v>유포지</v>
      </c>
      <c r="C31" s="9" t="str">
        <f aca="false">마스터!C22</f>
        <v>100*35</v>
      </c>
      <c r="D31" s="20" t="n">
        <f aca="false">마스터!P22</f>
        <v>14180</v>
      </c>
      <c r="E31" s="20" t="n">
        <f aca="false">IF(ISNUMBER(D31),ROUNDDOWN(D31*(1+$F$20),-1),"")</f>
        <v>7090</v>
      </c>
      <c r="F31" s="20" t="n">
        <f aca="false">IF(ISNUMBER(D31),ROUNDDOWN(D31*(1+$F$21),-1),"")</f>
        <v>28360</v>
      </c>
      <c r="G31" s="120" t="n">
        <f aca="false">SUMPRODUCT(--(LEN(J31:AG31)&gt;0))</f>
        <v>4</v>
      </c>
      <c r="H31" s="121" t="str">
        <f aca="false">IF(G31&gt;0,_xlfn.TEXTJOIN(", ",TRUE(),J31:AG31),IF(ISNUMBER(D31),"옵션 가능한 사이즈 없음","가격 미정 — 판매가 입력 필요"))</f>
        <v>100*80(-5,260), 100*150(-3,980), 100*90(-250), 70*60(-7,010)</v>
      </c>
      <c r="J31" s="1" t="str">
        <f aca="false">IF(OR(NOT(ISNUMBER($E31)),NOT(ISNUMBER(마스터!$P$18))),"",IF(AND(마스터!$P$18&gt;=$E31,마스터!$P$18&lt;=$F31,OR($F$22=0,마스터!$G$18&gt;0)),마스터!$C$18&amp;"("&amp;IF(마스터!$P$18-$D31&gt;=0,"+","")&amp;TEXT(마스터!$P$18-$D31,"#,##0")&amp;")",""))</f>
        <v/>
      </c>
      <c r="K31" s="1" t="str">
        <f aca="false">IF(OR(NOT(ISNUMBER($E31)),NOT(ISNUMBER(마스터!$P$26))),"",IF(AND(마스터!$P$26&gt;=$E31,마스터!$P$26&lt;=$F31,OR($F$22=0,마스터!$G$26&gt;0)),마스터!$C$26&amp;"("&amp;IF(마스터!$P$26-$D31&gt;=0,"+","")&amp;TEXT(마스터!$P$26-$D31,"#,##0")&amp;")",""))</f>
        <v/>
      </c>
      <c r="L31" s="1" t="str">
        <f aca="false">IF(OR(NOT(ISNUMBER($E31)),NOT(ISNUMBER(마스터!$P$24))),"",IF(AND(마스터!$P$24&gt;=$E31,마스터!$P$24&lt;=$F31,OR($F$22=0,마스터!$G$24&gt;0)),마스터!$C$24&amp;"("&amp;IF(마스터!$P$24-$D31&gt;=0,"+","")&amp;TEXT(마스터!$P$24-$D31,"#,##0")&amp;")",""))</f>
        <v>100*80(-5,260)</v>
      </c>
      <c r="M31" s="1" t="str">
        <f aca="false">IF(OR(NOT(ISNUMBER($E31)),NOT(ISNUMBER(마스터!$P$16))),"",IF(AND(마스터!$P$16&gt;=$E31,마스터!$P$16&lt;=$F31,OR($F$22=0,마스터!$G$16&gt;0)),마스터!$C$16&amp;"("&amp;IF(마스터!$P$16-$D31&gt;=0,"+","")&amp;TEXT(마스터!$P$16-$D31,"#,##0")&amp;")",""))</f>
        <v/>
      </c>
      <c r="N31" s="1" t="str">
        <f aca="false">IF(OR(NOT(ISNUMBER($E31)),NOT(ISNUMBER(마스터!$P$27))),"",IF(AND(마스터!$P$27&gt;=$E31,마스터!$P$27&lt;=$F31,OR($F$22=0,마스터!$G$27&gt;0)),마스터!$C$27&amp;"("&amp;IF(마스터!$P$27-$D31&gt;=0,"+","")&amp;TEXT(마스터!$P$27-$D31,"#,##0")&amp;")",""))</f>
        <v>100*150(-3,980)</v>
      </c>
      <c r="O31" s="1" t="str">
        <f aca="false">IF(OR(NOT(ISNUMBER($E31)),NOT(ISNUMBER(마스터!$P$19))),"",IF(AND(마스터!$P$19&gt;=$E31,마스터!$P$19&lt;=$F31,OR($F$22=0,마스터!$G$19&gt;0)),마스터!$C$19&amp;"("&amp;IF(마스터!$P$19-$D31&gt;=0,"+","")&amp;TEXT(마스터!$P$19-$D31,"#,##0")&amp;")",""))</f>
        <v/>
      </c>
      <c r="P31" s="1" t="str">
        <f aca="false">IF(OR(NOT(ISNUMBER($E31)),NOT(ISNUMBER(마스터!$P$20))),"",IF(AND(마스터!$P$20&gt;=$E31,마스터!$P$20&lt;=$F31,OR($F$22=0,마스터!$G$20&gt;0)),마스터!$C$20&amp;"("&amp;IF(마스터!$P$20-$D31&gt;=0,"+","")&amp;TEXT(마스터!$P$20-$D31,"#,##0")&amp;")",""))</f>
        <v/>
      </c>
      <c r="Q31" s="1" t="str">
        <f aca="false">IF(OR(NOT(ISNUMBER($E31)),NOT(ISNUMBER(마스터!$P$25))),"",IF(AND(마스터!$P$25&gt;=$E31,마스터!$P$25&lt;=$F31,OR($F$22=0,마스터!$G$25&gt;0)),마스터!$C$25&amp;"("&amp;IF(마스터!$P$25-$D31&gt;=0,"+","")&amp;TEXT(마스터!$P$25-$D31,"#,##0")&amp;")",""))</f>
        <v>100*90(-250)</v>
      </c>
      <c r="S31" s="1" t="str">
        <f aca="false">IF(OR(NOT(ISNUMBER($E31)),NOT(ISNUMBER(마스터!$P$23))),"",IF(AND(마스터!$P$23&gt;=$E31,마스터!$P$23&lt;=$F31,OR($F$22=0,마스터!$G$23&gt;0)),마스터!$C$23&amp;"("&amp;IF(마스터!$P$23-$D31&gt;=0,"+","")&amp;TEXT(마스터!$P$23-$D31,"#,##0")&amp;")",""))</f>
        <v/>
      </c>
      <c r="T31" s="1" t="str">
        <f aca="false">IF(OR(NOT(ISNUMBER($E31)),NOT(ISNUMBER(마스터!$P$17))),"",IF(AND(마스터!$P$17&gt;=$E31,마스터!$P$17&lt;=$F31,OR($F$22=0,마스터!$G$17&gt;0)),마스터!$C$17&amp;"("&amp;IF(마스터!$P$17-$D31&gt;=0,"+","")&amp;TEXT(마스터!$P$17-$D31,"#,##0")&amp;")",""))</f>
        <v/>
      </c>
      <c r="U31" s="1" t="str">
        <f aca="false">IF(OR(NOT(ISNUMBER($E31)),NOT(ISNUMBER(마스터!$P$21))),"",IF(AND(마스터!$P$21&gt;=$E31,마스터!$P$21&lt;=$F31,OR($F$22=0,마스터!$G$21&gt;0)),마스터!$C$21&amp;"("&amp;IF(마스터!$P$21-$D31&gt;=0,"+","")&amp;TEXT(마스터!$P$21-$D31,"#,##0")&amp;")",""))</f>
        <v>70*60(-7,010)</v>
      </c>
    </row>
    <row r="32" customFormat="false" ht="15" hidden="false" customHeight="true" outlineLevel="0" collapsed="false">
      <c r="A32" s="114" t="n">
        <v>8</v>
      </c>
      <c r="B32" s="9" t="str">
        <f aca="false">마스터!B23</f>
        <v>유포지/품절</v>
      </c>
      <c r="C32" s="9" t="str">
        <f aca="false">마스터!C23</f>
        <v>100*70</v>
      </c>
      <c r="D32" s="20" t="n">
        <f aca="false">마스터!P23</f>
        <v>10590</v>
      </c>
      <c r="E32" s="20" t="n">
        <f aca="false">IF(ISNUMBER(D32),ROUNDDOWN(D32*(1+$F$20),-1),"")</f>
        <v>5290</v>
      </c>
      <c r="F32" s="20" t="n">
        <f aca="false">IF(ISNUMBER(D32),ROUNDDOWN(D32*(1+$F$21),-1),"")</f>
        <v>21180</v>
      </c>
      <c r="G32" s="120" t="n">
        <f aca="false">SUMPRODUCT(--(LEN(J32:AG32)&gt;0))</f>
        <v>8</v>
      </c>
      <c r="H32" s="121" t="str">
        <f aca="false">IF(G32&gt;0,_xlfn.TEXTJOIN(", ",TRUE(),J32:AG32),IF(ISNUMBER(D32),"옵션 가능한 사이즈 없음","가격 미정 — 판매가 입력 필요"))</f>
        <v>100*80(-1,670), 100*150(-390), 60*40(-4,810), 70*50(-4,610), 100*90(+3,340), 100*35(+3,590), 40*20(-4,450), 70*60(-3,420)</v>
      </c>
      <c r="J32" s="1" t="str">
        <f aca="false">IF(OR(NOT(ISNUMBER($E32)),NOT(ISNUMBER(마스터!$P$18))),"",IF(AND(마스터!$P$18&gt;=$E32,마스터!$P$18&lt;=$F32,OR($F$22=0,마스터!$G$18&gt;0)),마스터!$C$18&amp;"("&amp;IF(마스터!$P$18-$D32&gt;=0,"+","")&amp;TEXT(마스터!$P$18-$D32,"#,##0")&amp;")",""))</f>
        <v/>
      </c>
      <c r="K32" s="1" t="str">
        <f aca="false">IF(OR(NOT(ISNUMBER($E32)),NOT(ISNUMBER(마스터!$P$26))),"",IF(AND(마스터!$P$26&gt;=$E32,마스터!$P$26&lt;=$F32,OR($F$22=0,마스터!$G$26&gt;0)),마스터!$C$26&amp;"("&amp;IF(마스터!$P$26-$D32&gt;=0,"+","")&amp;TEXT(마스터!$P$26-$D32,"#,##0")&amp;")",""))</f>
        <v/>
      </c>
      <c r="L32" s="1" t="str">
        <f aca="false">IF(OR(NOT(ISNUMBER($E32)),NOT(ISNUMBER(마스터!$P$24))),"",IF(AND(마스터!$P$24&gt;=$E32,마스터!$P$24&lt;=$F32,OR($F$22=0,마스터!$G$24&gt;0)),마스터!$C$24&amp;"("&amp;IF(마스터!$P$24-$D32&gt;=0,"+","")&amp;TEXT(마스터!$P$24-$D32,"#,##0")&amp;")",""))</f>
        <v>100*80(-1,670)</v>
      </c>
      <c r="M32" s="1" t="str">
        <f aca="false">IF(OR(NOT(ISNUMBER($E32)),NOT(ISNUMBER(마스터!$P$16))),"",IF(AND(마스터!$P$16&gt;=$E32,마스터!$P$16&lt;=$F32,OR($F$22=0,마스터!$G$16&gt;0)),마스터!$C$16&amp;"("&amp;IF(마스터!$P$16-$D32&gt;=0,"+","")&amp;TEXT(마스터!$P$16-$D32,"#,##0")&amp;")",""))</f>
        <v/>
      </c>
      <c r="N32" s="1" t="str">
        <f aca="false">IF(OR(NOT(ISNUMBER($E32)),NOT(ISNUMBER(마스터!$P$27))),"",IF(AND(마스터!$P$27&gt;=$E32,마스터!$P$27&lt;=$F32,OR($F$22=0,마스터!$G$27&gt;0)),마스터!$C$27&amp;"("&amp;IF(마스터!$P$27-$D32&gt;=0,"+","")&amp;TEXT(마스터!$P$27-$D32,"#,##0")&amp;")",""))</f>
        <v>100*150(-390)</v>
      </c>
      <c r="O32" s="1" t="str">
        <f aca="false">IF(OR(NOT(ISNUMBER($E32)),NOT(ISNUMBER(마스터!$P$19))),"",IF(AND(마스터!$P$19&gt;=$E32,마스터!$P$19&lt;=$F32,OR($F$22=0,마스터!$G$19&gt;0)),마스터!$C$19&amp;"("&amp;IF(마스터!$P$19-$D32&gt;=0,"+","")&amp;TEXT(마스터!$P$19-$D32,"#,##0")&amp;")",""))</f>
        <v>60*40(-4,810)</v>
      </c>
      <c r="P32" s="1" t="str">
        <f aca="false">IF(OR(NOT(ISNUMBER($E32)),NOT(ISNUMBER(마스터!$P$20))),"",IF(AND(마스터!$P$20&gt;=$E32,마스터!$P$20&lt;=$F32,OR($F$22=0,마스터!$G$20&gt;0)),마스터!$C$20&amp;"("&amp;IF(마스터!$P$20-$D32&gt;=0,"+","")&amp;TEXT(마스터!$P$20-$D32,"#,##0")&amp;")",""))</f>
        <v>70*50(-4,610)</v>
      </c>
      <c r="Q32" s="1" t="str">
        <f aca="false">IF(OR(NOT(ISNUMBER($E32)),NOT(ISNUMBER(마스터!$P$25))),"",IF(AND(마스터!$P$25&gt;=$E32,마스터!$P$25&lt;=$F32,OR($F$22=0,마스터!$G$25&gt;0)),마스터!$C$25&amp;"("&amp;IF(마스터!$P$25-$D32&gt;=0,"+","")&amp;TEXT(마스터!$P$25-$D32,"#,##0")&amp;")",""))</f>
        <v>100*90(+3,340)</v>
      </c>
      <c r="R32" s="1" t="str">
        <f aca="false">IF(OR(NOT(ISNUMBER($E32)),NOT(ISNUMBER(마스터!$P$22))),"",IF(AND(마스터!$P$22&gt;=$E32,마스터!$P$22&lt;=$F32,OR($F$22=0,마스터!$G$22&gt;0)),마스터!$C$22&amp;"("&amp;IF(마스터!$P$22-$D32&gt;=0,"+","")&amp;TEXT(마스터!$P$22-$D32,"#,##0")&amp;")",""))</f>
        <v>100*35(+3,590)</v>
      </c>
      <c r="T32" s="1" t="str">
        <f aca="false">IF(OR(NOT(ISNUMBER($E32)),NOT(ISNUMBER(마스터!$P$17))),"",IF(AND(마스터!$P$17&gt;=$E32,마스터!$P$17&lt;=$F32,OR($F$22=0,마스터!$G$17&gt;0)),마스터!$C$17&amp;"("&amp;IF(마스터!$P$17-$D32&gt;=0,"+","")&amp;TEXT(마스터!$P$17-$D32,"#,##0")&amp;")",""))</f>
        <v>40*20(-4,450)</v>
      </c>
      <c r="U32" s="1" t="str">
        <f aca="false">IF(OR(NOT(ISNUMBER($E32)),NOT(ISNUMBER(마스터!$P$21))),"",IF(AND(마스터!$P$21&gt;=$E32,마스터!$P$21&lt;=$F32,OR($F$22=0,마스터!$G$21&gt;0)),마스터!$C$21&amp;"("&amp;IF(마스터!$P$21-$D32&gt;=0,"+","")&amp;TEXT(마스터!$P$21-$D32,"#,##0")&amp;")",""))</f>
        <v>70*60(-3,420)</v>
      </c>
    </row>
    <row r="33" customFormat="false" ht="15" hidden="false" customHeight="true" outlineLevel="0" collapsed="false">
      <c r="A33" s="114" t="n">
        <v>9</v>
      </c>
      <c r="B33" s="9" t="str">
        <f aca="false">마스터!B24</f>
        <v>유포지</v>
      </c>
      <c r="C33" s="9" t="str">
        <f aca="false">마스터!C24</f>
        <v>100*80</v>
      </c>
      <c r="D33" s="20" t="n">
        <f aca="false">마스터!P24</f>
        <v>8920</v>
      </c>
      <c r="E33" s="20" t="n">
        <f aca="false">IF(ISNUMBER(D33),ROUNDDOWN(D33*(1+$F$20),-1),"")</f>
        <v>4460</v>
      </c>
      <c r="F33" s="20" t="n">
        <f aca="false">IF(ISNUMBER(D33),ROUNDDOWN(D33*(1+$F$21),-1),"")</f>
        <v>17840</v>
      </c>
      <c r="G33" s="120" t="n">
        <f aca="false">SUMPRODUCT(--(LEN(J33:AG33)&gt;0))</f>
        <v>8</v>
      </c>
      <c r="H33" s="121" t="str">
        <f aca="false">IF(G33&gt;0,_xlfn.TEXTJOIN(", ",TRUE(),J33:AG33),IF(ISNUMBER(D33),"옵션 가능한 사이즈 없음","가격 미정 — 판매가 입력 필요"))</f>
        <v>30*15(-3,900), 100*150(+1,280), 60*40(-3,140), 70*50(-2,940), 100*90(+5,010), 100*35(+5,260), 40*20(-2,780), 70*60(-1,750)</v>
      </c>
      <c r="J33" s="1" t="str">
        <f aca="false">IF(OR(NOT(ISNUMBER($E33)),NOT(ISNUMBER(마스터!$P$18))),"",IF(AND(마스터!$P$18&gt;=$E33,마스터!$P$18&lt;=$F33,OR($F$22=0,마스터!$G$18&gt;0)),마스터!$C$18&amp;"("&amp;IF(마스터!$P$18-$D33&gt;=0,"+","")&amp;TEXT(마스터!$P$18-$D33,"#,##0")&amp;")",""))</f>
        <v/>
      </c>
      <c r="K33" s="1" t="str">
        <f aca="false">IF(OR(NOT(ISNUMBER($E33)),NOT(ISNUMBER(마스터!$P$26))),"",IF(AND(마스터!$P$26&gt;=$E33,마스터!$P$26&lt;=$F33,OR($F$22=0,마스터!$G$26&gt;0)),마스터!$C$26&amp;"("&amp;IF(마스터!$P$26-$D33&gt;=0,"+","")&amp;TEXT(마스터!$P$26-$D33,"#,##0")&amp;")",""))</f>
        <v/>
      </c>
      <c r="M33" s="1" t="str">
        <f aca="false">IF(OR(NOT(ISNUMBER($E33)),NOT(ISNUMBER(마스터!$P$16))),"",IF(AND(마스터!$P$16&gt;=$E33,마스터!$P$16&lt;=$F33,OR($F$22=0,마스터!$G$16&gt;0)),마스터!$C$16&amp;"("&amp;IF(마스터!$P$16-$D33&gt;=0,"+","")&amp;TEXT(마스터!$P$16-$D33,"#,##0")&amp;")",""))</f>
        <v>30*15(-3,900)</v>
      </c>
      <c r="N33" s="1" t="str">
        <f aca="false">IF(OR(NOT(ISNUMBER($E33)),NOT(ISNUMBER(마스터!$P$27))),"",IF(AND(마스터!$P$27&gt;=$E33,마스터!$P$27&lt;=$F33,OR($F$22=0,마스터!$G$27&gt;0)),마스터!$C$27&amp;"("&amp;IF(마스터!$P$27-$D33&gt;=0,"+","")&amp;TEXT(마스터!$P$27-$D33,"#,##0")&amp;")",""))</f>
        <v>100*150(+1,280)</v>
      </c>
      <c r="O33" s="1" t="str">
        <f aca="false">IF(OR(NOT(ISNUMBER($E33)),NOT(ISNUMBER(마스터!$P$19))),"",IF(AND(마스터!$P$19&gt;=$E33,마스터!$P$19&lt;=$F33,OR($F$22=0,마스터!$G$19&gt;0)),마스터!$C$19&amp;"("&amp;IF(마스터!$P$19-$D33&gt;=0,"+","")&amp;TEXT(마스터!$P$19-$D33,"#,##0")&amp;")",""))</f>
        <v>60*40(-3,140)</v>
      </c>
      <c r="P33" s="1" t="str">
        <f aca="false">IF(OR(NOT(ISNUMBER($E33)),NOT(ISNUMBER(마스터!$P$20))),"",IF(AND(마스터!$P$20&gt;=$E33,마스터!$P$20&lt;=$F33,OR($F$22=0,마스터!$G$20&gt;0)),마스터!$C$20&amp;"("&amp;IF(마스터!$P$20-$D33&gt;=0,"+","")&amp;TEXT(마스터!$P$20-$D33,"#,##0")&amp;")",""))</f>
        <v>70*50(-2,940)</v>
      </c>
      <c r="Q33" s="1" t="str">
        <f aca="false">IF(OR(NOT(ISNUMBER($E33)),NOT(ISNUMBER(마스터!$P$25))),"",IF(AND(마스터!$P$25&gt;=$E33,마스터!$P$25&lt;=$F33,OR($F$22=0,마스터!$G$25&gt;0)),마스터!$C$25&amp;"("&amp;IF(마스터!$P$25-$D33&gt;=0,"+","")&amp;TEXT(마스터!$P$25-$D33,"#,##0")&amp;")",""))</f>
        <v>100*90(+5,010)</v>
      </c>
      <c r="R33" s="1" t="str">
        <f aca="false">IF(OR(NOT(ISNUMBER($E33)),NOT(ISNUMBER(마스터!$P$22))),"",IF(AND(마스터!$P$22&gt;=$E33,마스터!$P$22&lt;=$F33,OR($F$22=0,마스터!$G$22&gt;0)),마스터!$C$22&amp;"("&amp;IF(마스터!$P$22-$D33&gt;=0,"+","")&amp;TEXT(마스터!$P$22-$D33,"#,##0")&amp;")",""))</f>
        <v>100*35(+5,260)</v>
      </c>
      <c r="S33" s="1" t="str">
        <f aca="false">IF(OR(NOT(ISNUMBER($E33)),NOT(ISNUMBER(마스터!$P$23))),"",IF(AND(마스터!$P$23&gt;=$E33,마스터!$P$23&lt;=$F33,OR($F$22=0,마스터!$G$23&gt;0)),마스터!$C$23&amp;"("&amp;IF(마스터!$P$23-$D33&gt;=0,"+","")&amp;TEXT(마스터!$P$23-$D33,"#,##0")&amp;")",""))</f>
        <v/>
      </c>
      <c r="T33" s="1" t="str">
        <f aca="false">IF(OR(NOT(ISNUMBER($E33)),NOT(ISNUMBER(마스터!$P$17))),"",IF(AND(마스터!$P$17&gt;=$E33,마스터!$P$17&lt;=$F33,OR($F$22=0,마스터!$G$17&gt;0)),마스터!$C$17&amp;"("&amp;IF(마스터!$P$17-$D33&gt;=0,"+","")&amp;TEXT(마스터!$P$17-$D33,"#,##0")&amp;")",""))</f>
        <v>40*20(-2,780)</v>
      </c>
      <c r="U33" s="1" t="str">
        <f aca="false">IF(OR(NOT(ISNUMBER($E33)),NOT(ISNUMBER(마스터!$P$21))),"",IF(AND(마스터!$P$21&gt;=$E33,마스터!$P$21&lt;=$F33,OR($F$22=0,마스터!$G$21&gt;0)),마스터!$C$21&amp;"("&amp;IF(마스터!$P$21-$D33&gt;=0,"+","")&amp;TEXT(마스터!$P$21-$D33,"#,##0")&amp;")",""))</f>
        <v>70*60(-1,750)</v>
      </c>
    </row>
    <row r="34" customFormat="false" ht="15" hidden="false" customHeight="true" outlineLevel="0" collapsed="false">
      <c r="A34" s="114" t="n">
        <v>10</v>
      </c>
      <c r="B34" s="115" t="str">
        <f aca="false">마스터!B25</f>
        <v>유포지</v>
      </c>
      <c r="C34" s="115" t="str">
        <f aca="false">마스터!C25</f>
        <v>100*90</v>
      </c>
      <c r="D34" s="116" t="n">
        <f aca="false">마스터!P25</f>
        <v>13930</v>
      </c>
      <c r="E34" s="116" t="n">
        <f aca="false">IF(ISNUMBER(D34),ROUNDDOWN(D34*(1+$F$20),-1),"")</f>
        <v>6960</v>
      </c>
      <c r="F34" s="116" t="n">
        <f aca="false">IF(ISNUMBER(D34),ROUNDDOWN(D34*(1+$F$21),-1),"")</f>
        <v>27860</v>
      </c>
      <c r="G34" s="117" t="n">
        <f aca="false">SUMPRODUCT(--(LEN(J34:AG34)&gt;0))</f>
        <v>4</v>
      </c>
      <c r="H34" s="119" t="str">
        <f aca="false">IF(G34&gt;0,_xlfn.TEXTJOIN(", ",TRUE(),J34:AG34),IF(ISNUMBER(D34),"옵션 가능한 사이즈 없음","가격 미정 — 판매가 입력 필요"))</f>
        <v>100*80(-5,010), 100*150(-3,730), 100*35(+250), 70*60(-6,760)</v>
      </c>
      <c r="J34" s="1" t="str">
        <f aca="false">IF(OR(NOT(ISNUMBER($E34)),NOT(ISNUMBER(마스터!$P$18))),"",IF(AND(마스터!$P$18&gt;=$E34,마스터!$P$18&lt;=$F34,OR($F$22=0,마스터!$G$18&gt;0)),마스터!$C$18&amp;"("&amp;IF(마스터!$P$18-$D34&gt;=0,"+","")&amp;TEXT(마스터!$P$18-$D34,"#,##0")&amp;")",""))</f>
        <v/>
      </c>
      <c r="K34" s="1" t="str">
        <f aca="false">IF(OR(NOT(ISNUMBER($E34)),NOT(ISNUMBER(마스터!$P$26))),"",IF(AND(마스터!$P$26&gt;=$E34,마스터!$P$26&lt;=$F34,OR($F$22=0,마스터!$G$26&gt;0)),마스터!$C$26&amp;"("&amp;IF(마스터!$P$26-$D34&gt;=0,"+","")&amp;TEXT(마스터!$P$26-$D34,"#,##0")&amp;")",""))</f>
        <v/>
      </c>
      <c r="L34" s="1" t="str">
        <f aca="false">IF(OR(NOT(ISNUMBER($E34)),NOT(ISNUMBER(마스터!$P$24))),"",IF(AND(마스터!$P$24&gt;=$E34,마스터!$P$24&lt;=$F34,OR($F$22=0,마스터!$G$24&gt;0)),마스터!$C$24&amp;"("&amp;IF(마스터!$P$24-$D34&gt;=0,"+","")&amp;TEXT(마스터!$P$24-$D34,"#,##0")&amp;")",""))</f>
        <v>100*80(-5,010)</v>
      </c>
      <c r="M34" s="1" t="str">
        <f aca="false">IF(OR(NOT(ISNUMBER($E34)),NOT(ISNUMBER(마스터!$P$16))),"",IF(AND(마스터!$P$16&gt;=$E34,마스터!$P$16&lt;=$F34,OR($F$22=0,마스터!$G$16&gt;0)),마스터!$C$16&amp;"("&amp;IF(마스터!$P$16-$D34&gt;=0,"+","")&amp;TEXT(마스터!$P$16-$D34,"#,##0")&amp;")",""))</f>
        <v/>
      </c>
      <c r="N34" s="1" t="str">
        <f aca="false">IF(OR(NOT(ISNUMBER($E34)),NOT(ISNUMBER(마스터!$P$27))),"",IF(AND(마스터!$P$27&gt;=$E34,마스터!$P$27&lt;=$F34,OR($F$22=0,마스터!$G$27&gt;0)),마스터!$C$27&amp;"("&amp;IF(마스터!$P$27-$D34&gt;=0,"+","")&amp;TEXT(마스터!$P$27-$D34,"#,##0")&amp;")",""))</f>
        <v>100*150(-3,730)</v>
      </c>
      <c r="O34" s="1" t="str">
        <f aca="false">IF(OR(NOT(ISNUMBER($E34)),NOT(ISNUMBER(마스터!$P$19))),"",IF(AND(마스터!$P$19&gt;=$E34,마스터!$P$19&lt;=$F34,OR($F$22=0,마스터!$G$19&gt;0)),마스터!$C$19&amp;"("&amp;IF(마스터!$P$19-$D34&gt;=0,"+","")&amp;TEXT(마스터!$P$19-$D34,"#,##0")&amp;")",""))</f>
        <v/>
      </c>
      <c r="P34" s="1" t="str">
        <f aca="false">IF(OR(NOT(ISNUMBER($E34)),NOT(ISNUMBER(마스터!$P$20))),"",IF(AND(마스터!$P$20&gt;=$E34,마스터!$P$20&lt;=$F34,OR($F$22=0,마스터!$G$20&gt;0)),마스터!$C$20&amp;"("&amp;IF(마스터!$P$20-$D34&gt;=0,"+","")&amp;TEXT(마스터!$P$20-$D34,"#,##0")&amp;")",""))</f>
        <v/>
      </c>
      <c r="R34" s="1" t="str">
        <f aca="false">IF(OR(NOT(ISNUMBER($E34)),NOT(ISNUMBER(마스터!$P$22))),"",IF(AND(마스터!$P$22&gt;=$E34,마스터!$P$22&lt;=$F34,OR($F$22=0,마스터!$G$22&gt;0)),마스터!$C$22&amp;"("&amp;IF(마스터!$P$22-$D34&gt;=0,"+","")&amp;TEXT(마스터!$P$22-$D34,"#,##0")&amp;")",""))</f>
        <v>100*35(+250)</v>
      </c>
      <c r="S34" s="1" t="str">
        <f aca="false">IF(OR(NOT(ISNUMBER($E34)),NOT(ISNUMBER(마스터!$P$23))),"",IF(AND(마스터!$P$23&gt;=$E34,마스터!$P$23&lt;=$F34,OR($F$22=0,마스터!$G$23&gt;0)),마스터!$C$23&amp;"("&amp;IF(마스터!$P$23-$D34&gt;=0,"+","")&amp;TEXT(마스터!$P$23-$D34,"#,##0")&amp;")",""))</f>
        <v/>
      </c>
      <c r="T34" s="1" t="str">
        <f aca="false">IF(OR(NOT(ISNUMBER($E34)),NOT(ISNUMBER(마스터!$P$17))),"",IF(AND(마스터!$P$17&gt;=$E34,마스터!$P$17&lt;=$F34,OR($F$22=0,마스터!$G$17&gt;0)),마스터!$C$17&amp;"("&amp;IF(마스터!$P$17-$D34&gt;=0,"+","")&amp;TEXT(마스터!$P$17-$D34,"#,##0")&amp;")",""))</f>
        <v/>
      </c>
      <c r="U34" s="1" t="str">
        <f aca="false">IF(OR(NOT(ISNUMBER($E34)),NOT(ISNUMBER(마스터!$P$21))),"",IF(AND(마스터!$P$21&gt;=$E34,마스터!$P$21&lt;=$F34,OR($F$22=0,마스터!$G$21&gt;0)),마스터!$C$21&amp;"("&amp;IF(마스터!$P$21-$D34&gt;=0,"+","")&amp;TEXT(마스터!$P$21-$D34,"#,##0")&amp;")",""))</f>
        <v>70*60(-6,760)</v>
      </c>
    </row>
    <row r="35" customFormat="false" ht="15" hidden="false" customHeight="true" outlineLevel="0" collapsed="false">
      <c r="A35" s="114" t="n">
        <v>11</v>
      </c>
      <c r="B35" s="9" t="str">
        <f aca="false">마스터!B26</f>
        <v>유포지/품절</v>
      </c>
      <c r="C35" s="9" t="str">
        <f aca="false">마스터!C26</f>
        <v>100*100</v>
      </c>
      <c r="D35" s="20" t="n">
        <f aca="false">마스터!P26</f>
        <v>8490</v>
      </c>
      <c r="E35" s="20" t="n">
        <f aca="false">IF(ISNUMBER(D35),ROUNDDOWN(D35*(1+$F$20),-1),"")</f>
        <v>4240</v>
      </c>
      <c r="F35" s="20" t="n">
        <f aca="false">IF(ISNUMBER(D35),ROUNDDOWN(D35*(1+$F$21),-1),"")</f>
        <v>16980</v>
      </c>
      <c r="G35" s="120" t="n">
        <f aca="false">SUMPRODUCT(--(LEN(J35:AG35)&gt;0))</f>
        <v>9</v>
      </c>
      <c r="H35" s="121" t="str">
        <f aca="false">IF(G35&gt;0,_xlfn.TEXTJOIN(", ",TRUE(),J35:AG35),IF(ISNUMBER(D35),"옵션 가능한 사이즈 없음","가격 미정 — 판매가 입력 필요"))</f>
        <v>100*80(+430), 30*15(-3,470), 100*150(+1,710), 60*40(-2,710), 70*50(-2,510), 100*90(+5,440), 100*35(+5,690), 40*20(-2,350), 70*60(-1,320)</v>
      </c>
      <c r="J35" s="1" t="str">
        <f aca="false">IF(OR(NOT(ISNUMBER($E35)),NOT(ISNUMBER(마스터!$P$18))),"",IF(AND(마스터!$P$18&gt;=$E35,마스터!$P$18&lt;=$F35,OR($F$22=0,마스터!$G$18&gt;0)),마스터!$C$18&amp;"("&amp;IF(마스터!$P$18-$D35&gt;=0,"+","")&amp;TEXT(마스터!$P$18-$D35,"#,##0")&amp;")",""))</f>
        <v/>
      </c>
      <c r="L35" s="1" t="str">
        <f aca="false">IF(OR(NOT(ISNUMBER($E35)),NOT(ISNUMBER(마스터!$P$24))),"",IF(AND(마스터!$P$24&gt;=$E35,마스터!$P$24&lt;=$F35,OR($F$22=0,마스터!$G$24&gt;0)),마스터!$C$24&amp;"("&amp;IF(마스터!$P$24-$D35&gt;=0,"+","")&amp;TEXT(마스터!$P$24-$D35,"#,##0")&amp;")",""))</f>
        <v>100*80(+430)</v>
      </c>
      <c r="M35" s="1" t="str">
        <f aca="false">IF(OR(NOT(ISNUMBER($E35)),NOT(ISNUMBER(마스터!$P$16))),"",IF(AND(마스터!$P$16&gt;=$E35,마스터!$P$16&lt;=$F35,OR($F$22=0,마스터!$G$16&gt;0)),마스터!$C$16&amp;"("&amp;IF(마스터!$P$16-$D35&gt;=0,"+","")&amp;TEXT(마스터!$P$16-$D35,"#,##0")&amp;")",""))</f>
        <v>30*15(-3,470)</v>
      </c>
      <c r="N35" s="1" t="str">
        <f aca="false">IF(OR(NOT(ISNUMBER($E35)),NOT(ISNUMBER(마스터!$P$27))),"",IF(AND(마스터!$P$27&gt;=$E35,마스터!$P$27&lt;=$F35,OR($F$22=0,마스터!$G$27&gt;0)),마스터!$C$27&amp;"("&amp;IF(마스터!$P$27-$D35&gt;=0,"+","")&amp;TEXT(마스터!$P$27-$D35,"#,##0")&amp;")",""))</f>
        <v>100*150(+1,710)</v>
      </c>
      <c r="O35" s="1" t="str">
        <f aca="false">IF(OR(NOT(ISNUMBER($E35)),NOT(ISNUMBER(마스터!$P$19))),"",IF(AND(마스터!$P$19&gt;=$E35,마스터!$P$19&lt;=$F35,OR($F$22=0,마스터!$G$19&gt;0)),마스터!$C$19&amp;"("&amp;IF(마스터!$P$19-$D35&gt;=0,"+","")&amp;TEXT(마스터!$P$19-$D35,"#,##0")&amp;")",""))</f>
        <v>60*40(-2,710)</v>
      </c>
      <c r="P35" s="1" t="str">
        <f aca="false">IF(OR(NOT(ISNUMBER($E35)),NOT(ISNUMBER(마스터!$P$20))),"",IF(AND(마스터!$P$20&gt;=$E35,마스터!$P$20&lt;=$F35,OR($F$22=0,마스터!$G$20&gt;0)),마스터!$C$20&amp;"("&amp;IF(마스터!$P$20-$D35&gt;=0,"+","")&amp;TEXT(마스터!$P$20-$D35,"#,##0")&amp;")",""))</f>
        <v>70*50(-2,510)</v>
      </c>
      <c r="Q35" s="1" t="str">
        <f aca="false">IF(OR(NOT(ISNUMBER($E35)),NOT(ISNUMBER(마스터!$P$25))),"",IF(AND(마스터!$P$25&gt;=$E35,마스터!$P$25&lt;=$F35,OR($F$22=0,마스터!$G$25&gt;0)),마스터!$C$25&amp;"("&amp;IF(마스터!$P$25-$D35&gt;=0,"+","")&amp;TEXT(마스터!$P$25-$D35,"#,##0")&amp;")",""))</f>
        <v>100*90(+5,440)</v>
      </c>
      <c r="R35" s="1" t="str">
        <f aca="false">IF(OR(NOT(ISNUMBER($E35)),NOT(ISNUMBER(마스터!$P$22))),"",IF(AND(마스터!$P$22&gt;=$E35,마스터!$P$22&lt;=$F35,OR($F$22=0,마스터!$G$22&gt;0)),마스터!$C$22&amp;"("&amp;IF(마스터!$P$22-$D35&gt;=0,"+","")&amp;TEXT(마스터!$P$22-$D35,"#,##0")&amp;")",""))</f>
        <v>100*35(+5,690)</v>
      </c>
      <c r="S35" s="1" t="str">
        <f aca="false">IF(OR(NOT(ISNUMBER($E35)),NOT(ISNUMBER(마스터!$P$23))),"",IF(AND(마스터!$P$23&gt;=$E35,마스터!$P$23&lt;=$F35,OR($F$22=0,마스터!$G$23&gt;0)),마스터!$C$23&amp;"("&amp;IF(마스터!$P$23-$D35&gt;=0,"+","")&amp;TEXT(마스터!$P$23-$D35,"#,##0")&amp;")",""))</f>
        <v/>
      </c>
      <c r="T35" s="1" t="str">
        <f aca="false">IF(OR(NOT(ISNUMBER($E35)),NOT(ISNUMBER(마스터!$P$17))),"",IF(AND(마스터!$P$17&gt;=$E35,마스터!$P$17&lt;=$F35,OR($F$22=0,마스터!$G$17&gt;0)),마스터!$C$17&amp;"("&amp;IF(마스터!$P$17-$D35&gt;=0,"+","")&amp;TEXT(마스터!$P$17-$D35,"#,##0")&amp;")",""))</f>
        <v>40*20(-2,350)</v>
      </c>
      <c r="U35" s="1" t="str">
        <f aca="false">IF(OR(NOT(ISNUMBER($E35)),NOT(ISNUMBER(마스터!$P$21))),"",IF(AND(마스터!$P$21&gt;=$E35,마스터!$P$21&lt;=$F35,OR($F$22=0,마스터!$G$21&gt;0)),마스터!$C$21&amp;"("&amp;IF(마스터!$P$21-$D35&gt;=0,"+","")&amp;TEXT(마스터!$P$21-$D35,"#,##0")&amp;")",""))</f>
        <v>70*60(-1,320)</v>
      </c>
    </row>
    <row r="36" customFormat="false" ht="15" hidden="false" customHeight="true" outlineLevel="0" collapsed="false">
      <c r="A36" s="114" t="n">
        <v>12</v>
      </c>
      <c r="B36" s="9" t="str">
        <f aca="false">마스터!B27</f>
        <v>유포지</v>
      </c>
      <c r="C36" s="9" t="str">
        <f aca="false">마스터!C27</f>
        <v>100*150</v>
      </c>
      <c r="D36" s="20" t="n">
        <f aca="false">마스터!P27</f>
        <v>10200</v>
      </c>
      <c r="E36" s="20" t="n">
        <f aca="false">IF(ISNUMBER(D36),ROUNDDOWN(D36*(1+$F$20),-1),"")</f>
        <v>5100</v>
      </c>
      <c r="F36" s="20" t="n">
        <f aca="false">IF(ISNUMBER(D36),ROUNDDOWN(D36*(1+$F$21),-1),"")</f>
        <v>20400</v>
      </c>
      <c r="G36" s="120" t="n">
        <f aca="false">SUMPRODUCT(--(LEN(J36:AG36)&gt;0))</f>
        <v>7</v>
      </c>
      <c r="H36" s="121" t="str">
        <f aca="false">IF(G36&gt;0,_xlfn.TEXTJOIN(", ",TRUE(),J36:AG36),IF(ISNUMBER(D36),"옵션 가능한 사이즈 없음","가격 미정 — 판매가 입력 필요"))</f>
        <v>100*80(-1,280), 60*40(-4,420), 70*50(-4,220), 100*90(+3,730), 100*35(+3,980), 40*20(-4,060), 70*60(-3,030)</v>
      </c>
      <c r="J36" s="1" t="str">
        <f aca="false">IF(OR(NOT(ISNUMBER($E36)),NOT(ISNUMBER(마스터!$P$18))),"",IF(AND(마스터!$P$18&gt;=$E36,마스터!$P$18&lt;=$F36,OR($F$22=0,마스터!$G$18&gt;0)),마스터!$C$18&amp;"("&amp;IF(마스터!$P$18-$D36&gt;=0,"+","")&amp;TEXT(마스터!$P$18-$D36,"#,##0")&amp;")",""))</f>
        <v/>
      </c>
      <c r="K36" s="1" t="str">
        <f aca="false">IF(OR(NOT(ISNUMBER($E36)),NOT(ISNUMBER(마스터!$P$26))),"",IF(AND(마스터!$P$26&gt;=$E36,마스터!$P$26&lt;=$F36,OR($F$22=0,마스터!$G$26&gt;0)),마스터!$C$26&amp;"("&amp;IF(마스터!$P$26-$D36&gt;=0,"+","")&amp;TEXT(마스터!$P$26-$D36,"#,##0")&amp;")",""))</f>
        <v/>
      </c>
      <c r="L36" s="1" t="str">
        <f aca="false">IF(OR(NOT(ISNUMBER($E36)),NOT(ISNUMBER(마스터!$P$24))),"",IF(AND(마스터!$P$24&gt;=$E36,마스터!$P$24&lt;=$F36,OR($F$22=0,마스터!$G$24&gt;0)),마스터!$C$24&amp;"("&amp;IF(마스터!$P$24-$D36&gt;=0,"+","")&amp;TEXT(마스터!$P$24-$D36,"#,##0")&amp;")",""))</f>
        <v>100*80(-1,280)</v>
      </c>
      <c r="M36" s="1" t="str">
        <f aca="false">IF(OR(NOT(ISNUMBER($E36)),NOT(ISNUMBER(마스터!$P$16))),"",IF(AND(마스터!$P$16&gt;=$E36,마스터!$P$16&lt;=$F36,OR($F$22=0,마스터!$G$16&gt;0)),마스터!$C$16&amp;"("&amp;IF(마스터!$P$16-$D36&gt;=0,"+","")&amp;TEXT(마스터!$P$16-$D36,"#,##0")&amp;")",""))</f>
        <v/>
      </c>
      <c r="O36" s="1" t="str">
        <f aca="false">IF(OR(NOT(ISNUMBER($E36)),NOT(ISNUMBER(마스터!$P$19))),"",IF(AND(마스터!$P$19&gt;=$E36,마스터!$P$19&lt;=$F36,OR($F$22=0,마스터!$G$19&gt;0)),마스터!$C$19&amp;"("&amp;IF(마스터!$P$19-$D36&gt;=0,"+","")&amp;TEXT(마스터!$P$19-$D36,"#,##0")&amp;")",""))</f>
        <v>60*40(-4,420)</v>
      </c>
      <c r="P36" s="1" t="str">
        <f aca="false">IF(OR(NOT(ISNUMBER($E36)),NOT(ISNUMBER(마스터!$P$20))),"",IF(AND(마스터!$P$20&gt;=$E36,마스터!$P$20&lt;=$F36,OR($F$22=0,마스터!$G$20&gt;0)),마스터!$C$20&amp;"("&amp;IF(마스터!$P$20-$D36&gt;=0,"+","")&amp;TEXT(마스터!$P$20-$D36,"#,##0")&amp;")",""))</f>
        <v>70*50(-4,220)</v>
      </c>
      <c r="Q36" s="1" t="str">
        <f aca="false">IF(OR(NOT(ISNUMBER($E36)),NOT(ISNUMBER(마스터!$P$25))),"",IF(AND(마스터!$P$25&gt;=$E36,마스터!$P$25&lt;=$F36,OR($F$22=0,마스터!$G$25&gt;0)),마스터!$C$25&amp;"("&amp;IF(마스터!$P$25-$D36&gt;=0,"+","")&amp;TEXT(마스터!$P$25-$D36,"#,##0")&amp;")",""))</f>
        <v>100*90(+3,730)</v>
      </c>
      <c r="R36" s="1" t="str">
        <f aca="false">IF(OR(NOT(ISNUMBER($E36)),NOT(ISNUMBER(마스터!$P$22))),"",IF(AND(마스터!$P$22&gt;=$E36,마스터!$P$22&lt;=$F36,OR($F$22=0,마스터!$G$22&gt;0)),마스터!$C$22&amp;"("&amp;IF(마스터!$P$22-$D36&gt;=0,"+","")&amp;TEXT(마스터!$P$22-$D36,"#,##0")&amp;")",""))</f>
        <v>100*35(+3,980)</v>
      </c>
      <c r="S36" s="1" t="str">
        <f aca="false">IF(OR(NOT(ISNUMBER($E36)),NOT(ISNUMBER(마스터!$P$23))),"",IF(AND(마스터!$P$23&gt;=$E36,마스터!$P$23&lt;=$F36,OR($F$22=0,마스터!$G$23&gt;0)),마스터!$C$23&amp;"("&amp;IF(마스터!$P$23-$D36&gt;=0,"+","")&amp;TEXT(마스터!$P$23-$D36,"#,##0")&amp;")",""))</f>
        <v/>
      </c>
      <c r="T36" s="1" t="str">
        <f aca="false">IF(OR(NOT(ISNUMBER($E36)),NOT(ISNUMBER(마스터!$P$17))),"",IF(AND(마스터!$P$17&gt;=$E36,마스터!$P$17&lt;=$F36,OR($F$22=0,마스터!$G$17&gt;0)),마스터!$C$17&amp;"("&amp;IF(마스터!$P$17-$D36&gt;=0,"+","")&amp;TEXT(마스터!$P$17-$D36,"#,##0")&amp;")",""))</f>
        <v>40*20(-4,060)</v>
      </c>
      <c r="U36" s="1" t="str">
        <f aca="false">IF(OR(NOT(ISNUMBER($E36)),NOT(ISNUMBER(마스터!$P$21))),"",IF(AND(마스터!$P$21&gt;=$E36,마스터!$P$21&lt;=$F36,OR($F$22=0,마스터!$G$21&gt;0)),마스터!$C$21&amp;"("&amp;IF(마스터!$P$21-$D36&gt;=0,"+","")&amp;TEXT(마스터!$P$21-$D36,"#,##0")&amp;")",""))</f>
        <v>70*60(-3,030)</v>
      </c>
    </row>
    <row r="37" customFormat="false" ht="15" hidden="false" customHeight="true" outlineLevel="0" collapsed="false">
      <c r="A37" s="17"/>
      <c r="B37" s="9"/>
      <c r="C37" s="9"/>
      <c r="D37" s="20"/>
      <c r="E37" s="20"/>
      <c r="F37" s="20"/>
      <c r="G37" s="120"/>
      <c r="H37" s="122"/>
    </row>
    <row r="38" customFormat="false" ht="15" hidden="false" customHeight="true" outlineLevel="0" collapsed="false">
      <c r="A38" s="17"/>
      <c r="B38" s="9"/>
      <c r="C38" s="9"/>
      <c r="D38" s="20"/>
      <c r="E38" s="20"/>
      <c r="F38" s="20"/>
      <c r="G38" s="120"/>
      <c r="H38" s="1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4" activeCellId="0" sqref="A4"/>
    </sheetView>
  </sheetViews>
  <sheetFormatPr defaultColWidth="8.71484375" defaultRowHeight="17.25" zeroHeight="false" outlineLevelRow="0" outlineLevelCol="0"/>
  <cols>
    <col collapsed="false" customWidth="true" hidden="false" outlineLevel="0" max="1" min="1" style="1" width="10.71"/>
    <col collapsed="false" customWidth="true" hidden="false" outlineLevel="0" max="2" min="2" style="1" width="13.15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15"/>
    <col collapsed="false" customWidth="true" hidden="false" outlineLevel="0" max="6" min="6" style="1" width="16"/>
    <col collapsed="false" customWidth="true" hidden="false" outlineLevel="0" max="7" min="7" style="1" width="9"/>
    <col collapsed="false" customWidth="true" hidden="false" outlineLevel="0" max="8" min="8" style="1" width="20.42"/>
    <col collapsed="false" customWidth="true" hidden="false" outlineLevel="0" max="9" min="9" style="1" width="13"/>
    <col collapsed="false" customWidth="true" hidden="false" outlineLevel="0" max="10" min="10" style="1" width="9"/>
    <col collapsed="false" customWidth="true" hidden="true" outlineLevel="0" max="22" min="11" style="1" width="13"/>
    <col collapsed="false" customWidth="true" hidden="false" outlineLevel="0" max="23" min="23" style="1" width="22.86"/>
    <col collapsed="false" customWidth="false" hidden="false" outlineLevel="0" max="26" min="24" style="1" width="8.71"/>
    <col collapsed="false" customWidth="true" hidden="true" outlineLevel="0" max="27" min="27" style="1" width="13"/>
    <col collapsed="false" customWidth="false" hidden="false" outlineLevel="0" max="16384" min="28" style="1" width="8.71"/>
  </cols>
  <sheetData>
    <row r="1" customFormat="false" ht="17.25" hidden="false" customHeight="true" outlineLevel="0" collapsed="false">
      <c r="A1" s="47"/>
      <c r="B1" s="47" t="s">
        <v>51</v>
      </c>
      <c r="C1" s="47" t="s">
        <v>39</v>
      </c>
      <c r="D1" s="47" t="s">
        <v>56</v>
      </c>
      <c r="E1" s="47" t="s">
        <v>33</v>
      </c>
      <c r="F1" s="123" t="s">
        <v>58</v>
      </c>
      <c r="G1" s="124" t="s">
        <v>174</v>
      </c>
      <c r="H1" s="47" t="s">
        <v>61</v>
      </c>
      <c r="I1" s="47" t="s">
        <v>66</v>
      </c>
      <c r="J1" s="124" t="s">
        <v>175</v>
      </c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 t="s">
        <v>63</v>
      </c>
      <c r="X1" s="47" t="s">
        <v>59</v>
      </c>
      <c r="Y1" s="124" t="s">
        <v>176</v>
      </c>
    </row>
    <row r="2" customFormat="false" ht="17.25" hidden="false" customHeight="true" outlineLevel="0" collapsed="false">
      <c r="A2" s="123" t="s">
        <v>51</v>
      </c>
      <c r="B2" s="123" t="n">
        <v>5020</v>
      </c>
      <c r="C2" s="123" t="n">
        <v>5780</v>
      </c>
      <c r="D2" s="123" t="n">
        <v>5980</v>
      </c>
      <c r="E2" s="123" t="n">
        <v>6140</v>
      </c>
      <c r="F2" s="123" t="n">
        <v>7170</v>
      </c>
      <c r="G2" s="47" t="n">
        <v>8490</v>
      </c>
      <c r="H2" s="123" t="n">
        <v>8920</v>
      </c>
      <c r="I2" s="123" t="n">
        <v>10200</v>
      </c>
      <c r="J2" s="47" t="n">
        <v>10590</v>
      </c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 t="n">
        <v>13930</v>
      </c>
      <c r="X2" s="47" t="n">
        <v>14180</v>
      </c>
      <c r="Y2" s="47"/>
    </row>
    <row r="3" customFormat="false" ht="17.25" hidden="false" customHeight="true" outlineLevel="0" collapsed="false">
      <c r="A3" s="47" t="s">
        <v>39</v>
      </c>
      <c r="B3" s="123" t="n">
        <v>5780</v>
      </c>
      <c r="C3" s="47" t="n">
        <v>5780</v>
      </c>
      <c r="D3" s="47" t="n">
        <v>5780</v>
      </c>
      <c r="E3" s="47" t="n">
        <v>5780</v>
      </c>
      <c r="F3" s="123" t="n">
        <v>5780</v>
      </c>
      <c r="G3" s="47"/>
      <c r="H3" s="47" t="n">
        <v>5780</v>
      </c>
      <c r="I3" s="47" t="n">
        <v>5780</v>
      </c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 t="n">
        <v>5780</v>
      </c>
      <c r="X3" s="47" t="n">
        <v>5780</v>
      </c>
      <c r="Y3" s="47"/>
    </row>
    <row r="4" customFormat="false" ht="17.25" hidden="false" customHeight="true" outlineLevel="0" collapsed="false">
      <c r="A4" s="47" t="s">
        <v>56</v>
      </c>
      <c r="B4" s="123" t="n">
        <f aca="false">D2</f>
        <v>5980</v>
      </c>
      <c r="C4" s="47" t="n">
        <v>5980</v>
      </c>
      <c r="D4" s="47" t="n">
        <v>5980</v>
      </c>
      <c r="E4" s="47" t="n">
        <v>5980</v>
      </c>
      <c r="F4" s="123" t="n">
        <v>5980</v>
      </c>
      <c r="G4" s="47"/>
      <c r="H4" s="47" t="n">
        <v>5980</v>
      </c>
      <c r="I4" s="47" t="n">
        <v>5980</v>
      </c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 t="n">
        <v>5980</v>
      </c>
      <c r="X4" s="47" t="n">
        <v>5980</v>
      </c>
      <c r="Y4" s="47"/>
    </row>
    <row r="5" customFormat="false" ht="17.25" hidden="false" customHeight="true" outlineLevel="0" collapsed="false">
      <c r="A5" s="47" t="s">
        <v>33</v>
      </c>
      <c r="B5" s="123" t="n">
        <f aca="false">E2</f>
        <v>6140</v>
      </c>
      <c r="C5" s="47" t="n">
        <v>6140</v>
      </c>
      <c r="D5" s="47" t="n">
        <v>6140</v>
      </c>
      <c r="E5" s="47" t="n">
        <v>6140</v>
      </c>
      <c r="F5" s="123" t="n">
        <v>6140</v>
      </c>
      <c r="G5" s="47"/>
      <c r="H5" s="47" t="n">
        <v>6140</v>
      </c>
      <c r="I5" s="47" t="n">
        <v>6140</v>
      </c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 t="n">
        <v>6140</v>
      </c>
      <c r="X5" s="47" t="n">
        <v>6140</v>
      </c>
      <c r="Y5" s="47"/>
    </row>
    <row r="6" customFormat="false" ht="17.25" hidden="false" customHeight="true" outlineLevel="0" collapsed="false">
      <c r="A6" s="1" t="s">
        <v>58</v>
      </c>
      <c r="B6" s="123" t="n">
        <f aca="false">F2</f>
        <v>7170</v>
      </c>
      <c r="C6" s="1" t="n">
        <v>7170</v>
      </c>
      <c r="D6" s="1" t="n">
        <v>7170</v>
      </c>
      <c r="E6" s="1" t="n">
        <v>7170</v>
      </c>
      <c r="F6" s="123" t="n">
        <v>7170</v>
      </c>
      <c r="G6" s="47"/>
      <c r="H6" s="47" t="n">
        <v>7170</v>
      </c>
      <c r="I6" s="47" t="n">
        <v>7170</v>
      </c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 t="n">
        <v>7170</v>
      </c>
      <c r="X6" s="47" t="n">
        <v>7170</v>
      </c>
      <c r="Y6" s="47"/>
    </row>
    <row r="7" customFormat="false" ht="17.25" hidden="false" customHeight="true" outlineLevel="0" collapsed="false">
      <c r="A7" s="124" t="s">
        <v>174</v>
      </c>
      <c r="B7" s="123"/>
      <c r="C7" s="124"/>
      <c r="D7" s="124"/>
      <c r="E7" s="124"/>
      <c r="F7" s="123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</row>
    <row r="8" customFormat="false" ht="17.25" hidden="false" customHeight="true" outlineLevel="0" collapsed="false">
      <c r="A8" s="47" t="s">
        <v>61</v>
      </c>
      <c r="B8" s="123" t="n">
        <v>8920</v>
      </c>
      <c r="C8" s="47" t="n">
        <v>8920</v>
      </c>
      <c r="D8" s="47" t="n">
        <v>8920</v>
      </c>
      <c r="E8" s="47" t="n">
        <v>8920</v>
      </c>
      <c r="F8" s="123" t="n">
        <v>8920</v>
      </c>
      <c r="G8" s="47"/>
      <c r="H8" s="47" t="n">
        <v>8920</v>
      </c>
      <c r="I8" s="47" t="n">
        <v>8920</v>
      </c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 t="n">
        <v>8920</v>
      </c>
      <c r="X8" s="47" t="n">
        <v>8920</v>
      </c>
      <c r="Y8" s="47"/>
    </row>
    <row r="9" customFormat="false" ht="17.25" hidden="false" customHeight="true" outlineLevel="0" collapsed="false">
      <c r="A9" s="47" t="s">
        <v>66</v>
      </c>
      <c r="B9" s="47" t="n">
        <v>10200</v>
      </c>
      <c r="C9" s="47" t="n">
        <v>10200</v>
      </c>
      <c r="D9" s="125" t="n">
        <v>10200</v>
      </c>
      <c r="E9" s="125" t="n">
        <v>10200</v>
      </c>
      <c r="F9" s="123" t="n">
        <v>10200</v>
      </c>
      <c r="G9" s="47"/>
      <c r="H9" s="47" t="n">
        <v>10200</v>
      </c>
      <c r="I9" s="47" t="n">
        <v>10200</v>
      </c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 t="n">
        <v>10200</v>
      </c>
      <c r="X9" s="47" t="n">
        <v>10200</v>
      </c>
      <c r="Y9" s="47"/>
    </row>
    <row r="10" customFormat="false" ht="17.25" hidden="false" customHeight="true" outlineLevel="0" collapsed="false">
      <c r="A10" s="124" t="s">
        <v>175</v>
      </c>
      <c r="B10" s="124"/>
      <c r="C10" s="124"/>
      <c r="D10" s="124"/>
      <c r="E10" s="124"/>
      <c r="F10" s="123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</row>
    <row r="11" customFormat="false" ht="17.25" hidden="false" customHeight="true" outlineLevel="0" collapsed="false">
      <c r="A11" s="47" t="s">
        <v>63</v>
      </c>
      <c r="B11" s="47"/>
      <c r="C11" s="47"/>
      <c r="D11" s="47" t="n">
        <v>13930</v>
      </c>
      <c r="E11" s="47" t="n">
        <v>13930</v>
      </c>
      <c r="F11" s="123" t="n">
        <v>13930</v>
      </c>
      <c r="G11" s="47"/>
      <c r="H11" s="47" t="n">
        <v>13930</v>
      </c>
      <c r="I11" s="47" t="n">
        <v>13930</v>
      </c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 t="n">
        <v>13930</v>
      </c>
      <c r="X11" s="47" t="n">
        <v>13930</v>
      </c>
      <c r="Y11" s="47"/>
    </row>
    <row r="12" customFormat="false" ht="17.25" hidden="false" customHeight="true" outlineLevel="0" collapsed="false">
      <c r="A12" s="47" t="s">
        <v>59</v>
      </c>
      <c r="B12" s="47"/>
      <c r="C12" s="47"/>
      <c r="D12" s="47"/>
      <c r="E12" s="47"/>
      <c r="F12" s="123"/>
      <c r="G12" s="47"/>
      <c r="H12" s="125" t="n">
        <v>14180</v>
      </c>
      <c r="I12" s="125" t="n">
        <v>14180</v>
      </c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125" t="n">
        <v>14180</v>
      </c>
      <c r="X12" s="125" t="n">
        <v>14180</v>
      </c>
      <c r="Y12" s="47"/>
    </row>
    <row r="13" customFormat="false" ht="17.25" hidden="false" customHeight="true" outlineLevel="0" collapsed="false">
      <c r="A13" s="124" t="s">
        <v>176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</row>
    <row r="14" customFormat="false" ht="17.25" hidden="false" customHeight="true" outlineLevel="0" collapsed="false">
      <c r="A14" s="126" t="s">
        <v>177</v>
      </c>
      <c r="B14" s="127" t="n">
        <f aca="false">B2*2</f>
        <v>10040</v>
      </c>
      <c r="C14" s="127" t="n">
        <f aca="false">C2*2</f>
        <v>11560</v>
      </c>
      <c r="D14" s="127" t="n">
        <f aca="false">D2*2</f>
        <v>11960</v>
      </c>
      <c r="E14" s="127" t="n">
        <f aca="false">E2*2</f>
        <v>12280</v>
      </c>
      <c r="F14" s="127" t="n">
        <f aca="false">F2*2</f>
        <v>14340</v>
      </c>
      <c r="G14" s="127" t="n">
        <f aca="false">G2*2</f>
        <v>16980</v>
      </c>
      <c r="H14" s="127" t="n">
        <f aca="false">H2*2</f>
        <v>17840</v>
      </c>
      <c r="I14" s="127" t="n">
        <f aca="false">I2*2</f>
        <v>20400</v>
      </c>
      <c r="J14" s="127" t="n">
        <f aca="false">J2*2</f>
        <v>21180</v>
      </c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 t="n">
        <f aca="false">W2*2</f>
        <v>27860</v>
      </c>
      <c r="X14" s="127" t="n">
        <f aca="false">X2*2</f>
        <v>28360</v>
      </c>
      <c r="Y14" s="47"/>
    </row>
    <row r="16" customFormat="false" ht="20.25" hidden="true" customHeight="true" outlineLevel="0" collapsed="false">
      <c r="A16" s="2" t="s">
        <v>101</v>
      </c>
    </row>
    <row r="17" customFormat="false" ht="15" hidden="true" customHeight="true" outlineLevel="0" collapsed="false">
      <c r="A17" s="111" t="s">
        <v>102</v>
      </c>
      <c r="F17" s="112" t="n">
        <v>-0.5</v>
      </c>
    </row>
    <row r="18" customFormat="false" ht="15" hidden="true" customHeight="true" outlineLevel="0" collapsed="false">
      <c r="A18" s="111" t="s">
        <v>103</v>
      </c>
      <c r="F18" s="112" t="n">
        <v>1</v>
      </c>
    </row>
    <row r="19" customFormat="false" ht="15" hidden="true" customHeight="true" outlineLevel="0" collapsed="false">
      <c r="A19" s="111" t="s">
        <v>104</v>
      </c>
      <c r="F19" s="113" t="n">
        <v>1</v>
      </c>
    </row>
    <row r="20" customFormat="false" ht="17.25" hidden="true" customHeight="true" outlineLevel="0" collapsed="false"/>
    <row r="21" customFormat="false" ht="33" hidden="true" customHeight="true" outlineLevel="0" collapsed="false">
      <c r="A21" s="42" t="s">
        <v>3</v>
      </c>
      <c r="B21" s="43" t="s">
        <v>4</v>
      </c>
      <c r="C21" s="43" t="s">
        <v>5</v>
      </c>
      <c r="D21" s="43" t="s">
        <v>178</v>
      </c>
      <c r="E21" s="43" t="s">
        <v>106</v>
      </c>
      <c r="F21" s="43" t="s">
        <v>107</v>
      </c>
      <c r="G21" s="43" t="s">
        <v>108</v>
      </c>
      <c r="H21" s="43" t="s">
        <v>109</v>
      </c>
      <c r="K21" s="1" t="str">
        <f aca="false">마스터!C26</f>
        <v>100*100</v>
      </c>
      <c r="L21" s="1" t="str">
        <f aca="false">마스터!C24</f>
        <v>100*80</v>
      </c>
      <c r="M21" s="1" t="str">
        <f aca="false">마스터!C16</f>
        <v>30*15</v>
      </c>
      <c r="N21" s="1" t="str">
        <f aca="false">마스터!C27</f>
        <v>100*150</v>
      </c>
      <c r="O21" s="1" t="str">
        <f aca="false">마스터!C19</f>
        <v>60*40</v>
      </c>
      <c r="P21" s="1" t="str">
        <f aca="false">마스터!C20</f>
        <v>70*50</v>
      </c>
      <c r="Q21" s="1" t="str">
        <f aca="false">마스터!C25</f>
        <v>100*90</v>
      </c>
      <c r="R21" s="1" t="str">
        <f aca="false">마스터!C22</f>
        <v>100*35</v>
      </c>
      <c r="S21" s="1" t="str">
        <f aca="false">마스터!C23</f>
        <v>100*70</v>
      </c>
      <c r="T21" s="1" t="str">
        <f aca="false">마스터!C17</f>
        <v>40*20</v>
      </c>
      <c r="U21" s="1" t="str">
        <f aca="false">마스터!C21</f>
        <v>70*60</v>
      </c>
      <c r="AA21" s="1" t="str">
        <f aca="false">마스터!C18</f>
        <v>50*30</v>
      </c>
    </row>
    <row r="22" customFormat="false" ht="15" hidden="true" customHeight="true" outlineLevel="0" collapsed="false">
      <c r="A22" s="128" t="n">
        <v>1</v>
      </c>
      <c r="B22" s="115" t="str">
        <f aca="false">마스터!B18</f>
        <v>유포지/품절</v>
      </c>
      <c r="C22" s="115" t="str">
        <f aca="false">마스터!C18</f>
        <v>50*30</v>
      </c>
      <c r="D22" s="116" t="str">
        <f aca="false">마스터!P18</f>
        <v/>
      </c>
      <c r="E22" s="116" t="str">
        <f aca="false">IF(ISNUMBER(D22),ROUNDDOWN(D22*(1+$F$17),-1),"")</f>
        <v/>
      </c>
      <c r="F22" s="116" t="str">
        <f aca="false">IF(ISNUMBER(D22),ROUNDDOWN(D22*(1+$F$18),-1),"")</f>
        <v/>
      </c>
      <c r="G22" s="117" t="n">
        <f aca="false">SUMPRODUCT(--(LEN(J22:AG22)&gt;0))</f>
        <v>0</v>
      </c>
      <c r="H22" s="129" t="s">
        <v>110</v>
      </c>
      <c r="K22" s="1" t="str">
        <f aca="false">IF(OR(NOT(ISNUMBER($E22)),NOT(ISNUMBER(마스터!$P$26))),"",IF(AND(마스터!$P$26&gt;=$E22,마스터!$P$26&lt;=$F22,OR($F$19=0,마스터!$G$26&gt;0)),마스터!$C$26&amp;"("&amp;IF(마스터!$P$26-$D22&gt;=0,"+","")&amp;TEXT(마스터!$P$26-$D22,"#,##0")&amp;")",""))</f>
        <v/>
      </c>
      <c r="L22" s="1" t="str">
        <f aca="false">IF(OR(NOT(ISNUMBER($E22)),NOT(ISNUMBER(마스터!$P$24))),"",IF(AND(마스터!$P$24&gt;=$E22,마스터!$P$24&lt;=$F22,OR($F$19=0,마스터!$G$24&gt;0)),마스터!$C$24&amp;"("&amp;IF(마스터!$P$24-$D22&gt;=0,"+","")&amp;TEXT(마스터!$P$24-$D22,"#,##0")&amp;")",""))</f>
        <v/>
      </c>
      <c r="M22" s="1" t="str">
        <f aca="false">IF(OR(NOT(ISNUMBER($E22)),NOT(ISNUMBER(마스터!$P$16))),"",IF(AND(마스터!$P$16&gt;=$E22,마스터!$P$16&lt;=$F22,OR($F$19=0,마스터!$G$16&gt;0)),마스터!$C$16&amp;"("&amp;IF(마스터!$P$16-$D22&gt;=0,"+","")&amp;TEXT(마스터!$P$16-$D22,"#,##0")&amp;")",""))</f>
        <v/>
      </c>
      <c r="N22" s="1" t="str">
        <f aca="false">IF(OR(NOT(ISNUMBER($E22)),NOT(ISNUMBER(마스터!$P$27))),"",IF(AND(마스터!$P$27&gt;=$E22,마스터!$P$27&lt;=$F22,OR($F$19=0,마스터!$G$27&gt;0)),마스터!$C$27&amp;"("&amp;IF(마스터!$P$27-$D22&gt;=0,"+","")&amp;TEXT(마스터!$P$27-$D22,"#,##0")&amp;")",""))</f>
        <v/>
      </c>
      <c r="O22" s="1" t="str">
        <f aca="false">IF(OR(NOT(ISNUMBER($E22)),NOT(ISNUMBER(마스터!$P$19))),"",IF(AND(마스터!$P$19&gt;=$E22,마스터!$P$19&lt;=$F22,OR($F$19=0,마스터!$G$19&gt;0)),마스터!$C$19&amp;"("&amp;IF(마스터!$P$19-$D22&gt;=0,"+","")&amp;TEXT(마스터!$P$19-$D22,"#,##0")&amp;")",""))</f>
        <v/>
      </c>
      <c r="P22" s="1" t="str">
        <f aca="false">IF(OR(NOT(ISNUMBER($E22)),NOT(ISNUMBER(마스터!$P$20))),"",IF(AND(마스터!$P$20&gt;=$E22,마스터!$P$20&lt;=$F22,OR($F$19=0,마스터!$G$20&gt;0)),마스터!$C$20&amp;"("&amp;IF(마스터!$P$20-$D22&gt;=0,"+","")&amp;TEXT(마스터!$P$20-$D22,"#,##0")&amp;")",""))</f>
        <v/>
      </c>
      <c r="Q22" s="1" t="str">
        <f aca="false">IF(OR(NOT(ISNUMBER($E22)),NOT(ISNUMBER(마스터!$P$25))),"",IF(AND(마스터!$P$25&gt;=$E22,마스터!$P$25&lt;=$F22,OR($F$19=0,마스터!$G$25&gt;0)),마스터!$C$25&amp;"("&amp;IF(마스터!$P$25-$D22&gt;=0,"+","")&amp;TEXT(마스터!$P$25-$D22,"#,##0")&amp;")",""))</f>
        <v/>
      </c>
      <c r="R22" s="1" t="str">
        <f aca="false">IF(OR(NOT(ISNUMBER($E22)),NOT(ISNUMBER(마스터!$P$22))),"",IF(AND(마스터!$P$22&gt;=$E22,마스터!$P$22&lt;=$F22,OR($F$19=0,마스터!$G$22&gt;0)),마스터!$C$22&amp;"("&amp;IF(마스터!$P$22-$D22&gt;=0,"+","")&amp;TEXT(마스터!$P$22-$D22,"#,##0")&amp;")",""))</f>
        <v/>
      </c>
      <c r="S22" s="1" t="str">
        <f aca="false">IF(OR(NOT(ISNUMBER($E22)),NOT(ISNUMBER(마스터!$P$23))),"",IF(AND(마스터!$P$23&gt;=$E22,마스터!$P$23&lt;=$F22,OR($F$19=0,마스터!$G$23&gt;0)),마스터!$C$23&amp;"("&amp;IF(마스터!$P$23-$D22&gt;=0,"+","")&amp;TEXT(마스터!$P$23-$D22,"#,##0")&amp;")",""))</f>
        <v/>
      </c>
      <c r="T22" s="1" t="str">
        <f aca="false">IF(OR(NOT(ISNUMBER($E22)),NOT(ISNUMBER(마스터!$P$17))),"",IF(AND(마스터!$P$17&gt;=$E22,마스터!$P$17&lt;=$F22,OR($F$19=0,마스터!$G$17&gt;0)),마스터!$C$17&amp;"("&amp;IF(마스터!$P$17-$D22&gt;=0,"+","")&amp;TEXT(마스터!$P$17-$D22,"#,##0")&amp;")",""))</f>
        <v/>
      </c>
      <c r="U22" s="1" t="str">
        <f aca="false">IF(OR(NOT(ISNUMBER($E22)),NOT(ISNUMBER(마스터!$P$21))),"",IF(AND(마스터!$P$21&gt;=$E22,마스터!$P$21&lt;=$F22,OR($F$19=0,마스터!$G$21&gt;0)),마스터!$C$21&amp;"("&amp;IF(마스터!$P$21-$D22&gt;=0,"+","")&amp;TEXT(마스터!$P$21-$D22,"#,##0")&amp;")",""))</f>
        <v/>
      </c>
    </row>
    <row r="23" customFormat="false" ht="15" hidden="true" customHeight="true" outlineLevel="0" collapsed="false">
      <c r="A23" s="128" t="n">
        <v>2</v>
      </c>
      <c r="B23" s="115" t="str">
        <f aca="false">마스터!B26</f>
        <v>유포지/품절</v>
      </c>
      <c r="C23" s="115" t="str">
        <f aca="false">마스터!C26</f>
        <v>100*100</v>
      </c>
      <c r="D23" s="116" t="n">
        <f aca="false">마스터!P26</f>
        <v>8490</v>
      </c>
      <c r="E23" s="116" t="n">
        <f aca="false">IF(ISNUMBER(D23),ROUNDDOWN(D23*(1+$F$17),-1),"")</f>
        <v>4240</v>
      </c>
      <c r="F23" s="116" t="n">
        <f aca="false">IF(ISNUMBER(D23),ROUNDDOWN(D23*(1+$F$18),-1),"")</f>
        <v>16980</v>
      </c>
      <c r="G23" s="117" t="n">
        <f aca="false">SUMPRODUCT(--(LEN(J23:AG23)&gt;0))</f>
        <v>9</v>
      </c>
      <c r="H23" s="119" t="str">
        <f aca="false">IF(G23&gt;0,_xlfn.TEXTJOIN(", ",TRUE(),J23:AG23),IF(ISNUMBER(D23),"옵션 가능한 사이즈 없음","가격 미정 — 판매가 입력 필요"))</f>
        <v>100*80(+430), 30*15(-3,470), 100*150(+1,710), 60*40(-2,710), 70*50(-2,510), 100*90(+5,440), 100*35(+5,690), 40*20(-2,350), 70*60(-1,320)</v>
      </c>
      <c r="J23" s="1" t="str">
        <f aca="false">IF(OR(NOT(ISNUMBER($E23)),NOT(ISNUMBER(마스터!$P$18))),"",IF(AND(마스터!$P$18&gt;=$E23,마스터!$P$18&lt;=$F23,OR($F$19=0,마스터!$G$18&gt;0)),마스터!$C$18&amp;"("&amp;IF(마스터!$P$18-$D23&gt;=0,"+","")&amp;TEXT(마스터!$P$18-$D23,"#,##0")&amp;")",""))</f>
        <v/>
      </c>
      <c r="L23" s="1" t="str">
        <f aca="false">IF(OR(NOT(ISNUMBER($E23)),NOT(ISNUMBER(마스터!$P$24))),"",IF(AND(마스터!$P$24&gt;=$E23,마스터!$P$24&lt;=$F23,OR($F$19=0,마스터!$G$24&gt;0)),마스터!$C$24&amp;"("&amp;IF(마스터!$P$24-$D23&gt;=0,"+","")&amp;TEXT(마스터!$P$24-$D23,"#,##0")&amp;")",""))</f>
        <v>100*80(+430)</v>
      </c>
      <c r="M23" s="1" t="str">
        <f aca="false">IF(OR(NOT(ISNUMBER($E23)),NOT(ISNUMBER(마스터!$P$16))),"",IF(AND(마스터!$P$16&gt;=$E23,마스터!$P$16&lt;=$F23,OR($F$19=0,마스터!$G$16&gt;0)),마스터!$C$16&amp;"("&amp;IF(마스터!$P$16-$D23&gt;=0,"+","")&amp;TEXT(마스터!$P$16-$D23,"#,##0")&amp;")",""))</f>
        <v>30*15(-3,470)</v>
      </c>
      <c r="N23" s="1" t="str">
        <f aca="false">IF(OR(NOT(ISNUMBER($E23)),NOT(ISNUMBER(마스터!$P$27))),"",IF(AND(마스터!$P$27&gt;=$E23,마스터!$P$27&lt;=$F23,OR($F$19=0,마스터!$G$27&gt;0)),마스터!$C$27&amp;"("&amp;IF(마스터!$P$27-$D23&gt;=0,"+","")&amp;TEXT(마스터!$P$27-$D23,"#,##0")&amp;")",""))</f>
        <v>100*150(+1,710)</v>
      </c>
      <c r="O23" s="1" t="str">
        <f aca="false">IF(OR(NOT(ISNUMBER($E23)),NOT(ISNUMBER(마스터!$P$19))),"",IF(AND(마스터!$P$19&gt;=$E23,마스터!$P$19&lt;=$F23,OR($F$19=0,마스터!$G$19&gt;0)),마스터!$C$19&amp;"("&amp;IF(마스터!$P$19-$D23&gt;=0,"+","")&amp;TEXT(마스터!$P$19-$D23,"#,##0")&amp;")",""))</f>
        <v>60*40(-2,710)</v>
      </c>
      <c r="P23" s="1" t="str">
        <f aca="false">IF(OR(NOT(ISNUMBER($E23)),NOT(ISNUMBER(마스터!$P$20))),"",IF(AND(마스터!$P$20&gt;=$E23,마스터!$P$20&lt;=$F23,OR($F$19=0,마스터!$G$20&gt;0)),마스터!$C$20&amp;"("&amp;IF(마스터!$P$20-$D23&gt;=0,"+","")&amp;TEXT(마스터!$P$20-$D23,"#,##0")&amp;")",""))</f>
        <v>70*50(-2,510)</v>
      </c>
      <c r="Q23" s="1" t="str">
        <f aca="false">IF(OR(NOT(ISNUMBER($E23)),NOT(ISNUMBER(마스터!$P$25))),"",IF(AND(마스터!$P$25&gt;=$E23,마스터!$P$25&lt;=$F23,OR($F$19=0,마스터!$G$25&gt;0)),마스터!$C$25&amp;"("&amp;IF(마스터!$P$25-$D23&gt;=0,"+","")&amp;TEXT(마스터!$P$25-$D23,"#,##0")&amp;")",""))</f>
        <v>100*90(+5,440)</v>
      </c>
      <c r="R23" s="1" t="str">
        <f aca="false">IF(OR(NOT(ISNUMBER($E23)),NOT(ISNUMBER(마스터!$P$22))),"",IF(AND(마스터!$P$22&gt;=$E23,마스터!$P$22&lt;=$F23,OR($F$19=0,마스터!$G$22&gt;0)),마스터!$C$22&amp;"("&amp;IF(마스터!$P$22-$D23&gt;=0,"+","")&amp;TEXT(마스터!$P$22-$D23,"#,##0")&amp;")",""))</f>
        <v>100*35(+5,690)</v>
      </c>
      <c r="S23" s="1" t="str">
        <f aca="false">IF(OR(NOT(ISNUMBER($E23)),NOT(ISNUMBER(마스터!$P$23))),"",IF(AND(마스터!$P$23&gt;=$E23,마스터!$P$23&lt;=$F23,OR($F$19=0,마스터!$G$23&gt;0)),마스터!$C$23&amp;"("&amp;IF(마스터!$P$23-$D23&gt;=0,"+","")&amp;TEXT(마스터!$P$23-$D23,"#,##0")&amp;")",""))</f>
        <v/>
      </c>
      <c r="T23" s="1" t="str">
        <f aca="false">IF(OR(NOT(ISNUMBER($E23)),NOT(ISNUMBER(마스터!$P$17))),"",IF(AND(마스터!$P$17&gt;=$E23,마스터!$P$17&lt;=$F23,OR($F$19=0,마스터!$G$17&gt;0)),마스터!$C$17&amp;"("&amp;IF(마스터!$P$17-$D23&gt;=0,"+","")&amp;TEXT(마스터!$P$17-$D23,"#,##0")&amp;")",""))</f>
        <v>40*20(-2,350)</v>
      </c>
      <c r="U23" s="1" t="str">
        <f aca="false">IF(OR(NOT(ISNUMBER($E23)),NOT(ISNUMBER(마스터!$P$21))),"",IF(AND(마스터!$P$21&gt;=$E23,마스터!$P$21&lt;=$F23,OR($F$19=0,마스터!$G$21&gt;0)),마스터!$C$21&amp;"("&amp;IF(마스터!$P$21-$D23&gt;=0,"+","")&amp;TEXT(마스터!$P$21-$D23,"#,##0")&amp;")",""))</f>
        <v>70*60(-1,320)</v>
      </c>
    </row>
    <row r="24" customFormat="false" ht="15" hidden="true" customHeight="true" outlineLevel="0" collapsed="false">
      <c r="A24" s="128" t="n">
        <v>3</v>
      </c>
      <c r="B24" s="9" t="str">
        <f aca="false">마스터!B24</f>
        <v>유포지</v>
      </c>
      <c r="C24" s="9" t="str">
        <f aca="false">마스터!C24</f>
        <v>100*80</v>
      </c>
      <c r="D24" s="20" t="n">
        <f aca="false">마스터!P24</f>
        <v>8920</v>
      </c>
      <c r="E24" s="20" t="n">
        <f aca="false">IF(ISNUMBER(D24),ROUNDDOWN(D24*(1+$F$17),-1),"")</f>
        <v>4460</v>
      </c>
      <c r="F24" s="20" t="n">
        <f aca="false">IF(ISNUMBER(D24),ROUNDDOWN(D24*(1+$F$18),-1),"")</f>
        <v>17840</v>
      </c>
      <c r="G24" s="120" t="n">
        <f aca="false">SUMPRODUCT(--(LEN(J24:AG24)&gt;0))</f>
        <v>8</v>
      </c>
      <c r="H24" s="130" t="str">
        <f aca="false">IF(G24&gt;0,_xlfn.TEXTJOIN(", ",TRUE(),J24:AG24),IF(ISNUMBER(D24),"옵션 가능한 사이즈 없음","가격 미정 — 판매가 입력 필요"))</f>
        <v>30*15(-3,900), 100*150(+1,280), 60*40(-3,140), 70*50(-2,940), 100*90(+5,010), 100*35(+5,260), 40*20(-2,780), 70*60(-1,750)</v>
      </c>
      <c r="J24" s="1" t="str">
        <f aca="false">IF(OR(NOT(ISNUMBER($E24)),NOT(ISNUMBER(마스터!$P$18))),"",IF(AND(마스터!$P$18&gt;=$E24,마스터!$P$18&lt;=$F24,OR($F$19=0,마스터!$G$18&gt;0)),마스터!$C$18&amp;"("&amp;IF(마스터!$P$18-$D24&gt;=0,"+","")&amp;TEXT(마스터!$P$18-$D24,"#,##0")&amp;")",""))</f>
        <v/>
      </c>
      <c r="K24" s="1" t="str">
        <f aca="false">IF(OR(NOT(ISNUMBER($E24)),NOT(ISNUMBER(마스터!$P$26))),"",IF(AND(마스터!$P$26&gt;=$E24,마스터!$P$26&lt;=$F24,OR($F$19=0,마스터!$G$26&gt;0)),마스터!$C$26&amp;"("&amp;IF(마스터!$P$26-$D24&gt;=0,"+","")&amp;TEXT(마스터!$P$26-$D24,"#,##0")&amp;")",""))</f>
        <v/>
      </c>
      <c r="M24" s="1" t="str">
        <f aca="false">IF(OR(NOT(ISNUMBER($E24)),NOT(ISNUMBER(마스터!$P$16))),"",IF(AND(마스터!$P$16&gt;=$E24,마스터!$P$16&lt;=$F24,OR($F$19=0,마스터!$G$16&gt;0)),마스터!$C$16&amp;"("&amp;IF(마스터!$P$16-$D24&gt;=0,"+","")&amp;TEXT(마스터!$P$16-$D24,"#,##0")&amp;")",""))</f>
        <v>30*15(-3,900)</v>
      </c>
      <c r="N24" s="1" t="str">
        <f aca="false">IF(OR(NOT(ISNUMBER($E24)),NOT(ISNUMBER(마스터!$P$27))),"",IF(AND(마스터!$P$27&gt;=$E24,마스터!$P$27&lt;=$F24,OR($F$19=0,마스터!$G$27&gt;0)),마스터!$C$27&amp;"("&amp;IF(마스터!$P$27-$D24&gt;=0,"+","")&amp;TEXT(마스터!$P$27-$D24,"#,##0")&amp;")",""))</f>
        <v>100*150(+1,280)</v>
      </c>
      <c r="O24" s="1" t="str">
        <f aca="false">IF(OR(NOT(ISNUMBER($E24)),NOT(ISNUMBER(마스터!$P$19))),"",IF(AND(마스터!$P$19&gt;=$E24,마스터!$P$19&lt;=$F24,OR($F$19=0,마스터!$G$19&gt;0)),마스터!$C$19&amp;"("&amp;IF(마스터!$P$19-$D24&gt;=0,"+","")&amp;TEXT(마스터!$P$19-$D24,"#,##0")&amp;")",""))</f>
        <v>60*40(-3,140)</v>
      </c>
      <c r="P24" s="1" t="str">
        <f aca="false">IF(OR(NOT(ISNUMBER($E24)),NOT(ISNUMBER(마스터!$P$20))),"",IF(AND(마스터!$P$20&gt;=$E24,마스터!$P$20&lt;=$F24,OR($F$19=0,마스터!$G$20&gt;0)),마스터!$C$20&amp;"("&amp;IF(마스터!$P$20-$D24&gt;=0,"+","")&amp;TEXT(마스터!$P$20-$D24,"#,##0")&amp;")",""))</f>
        <v>70*50(-2,940)</v>
      </c>
      <c r="Q24" s="1" t="str">
        <f aca="false">IF(OR(NOT(ISNUMBER($E24)),NOT(ISNUMBER(마스터!$P$25))),"",IF(AND(마스터!$P$25&gt;=$E24,마스터!$P$25&lt;=$F24,OR($F$19=0,마스터!$G$25&gt;0)),마스터!$C$25&amp;"("&amp;IF(마스터!$P$25-$D24&gt;=0,"+","")&amp;TEXT(마스터!$P$25-$D24,"#,##0")&amp;")",""))</f>
        <v>100*90(+5,010)</v>
      </c>
      <c r="R24" s="1" t="str">
        <f aca="false">IF(OR(NOT(ISNUMBER($E24)),NOT(ISNUMBER(마스터!$P$22))),"",IF(AND(마스터!$P$22&gt;=$E24,마스터!$P$22&lt;=$F24,OR($F$19=0,마스터!$G$22&gt;0)),마스터!$C$22&amp;"("&amp;IF(마스터!$P$22-$D24&gt;=0,"+","")&amp;TEXT(마스터!$P$22-$D24,"#,##0")&amp;")",""))</f>
        <v>100*35(+5,260)</v>
      </c>
      <c r="S24" s="1" t="str">
        <f aca="false">IF(OR(NOT(ISNUMBER($E24)),NOT(ISNUMBER(마스터!$P$23))),"",IF(AND(마스터!$P$23&gt;=$E24,마스터!$P$23&lt;=$F24,OR($F$19=0,마스터!$G$23&gt;0)),마스터!$C$23&amp;"("&amp;IF(마스터!$P$23-$D24&gt;=0,"+","")&amp;TEXT(마스터!$P$23-$D24,"#,##0")&amp;")",""))</f>
        <v/>
      </c>
      <c r="T24" s="1" t="str">
        <f aca="false">IF(OR(NOT(ISNUMBER($E24)),NOT(ISNUMBER(마스터!$P$17))),"",IF(AND(마스터!$P$17&gt;=$E24,마스터!$P$17&lt;=$F24,OR($F$19=0,마스터!$G$17&gt;0)),마스터!$C$17&amp;"("&amp;IF(마스터!$P$17-$D24&gt;=0,"+","")&amp;TEXT(마스터!$P$17-$D24,"#,##0")&amp;")",""))</f>
        <v>40*20(-2,780)</v>
      </c>
      <c r="U24" s="1" t="str">
        <f aca="false">IF(OR(NOT(ISNUMBER($E24)),NOT(ISNUMBER(마스터!$P$21))),"",IF(AND(마스터!$P$21&gt;=$E24,마스터!$P$21&lt;=$F24,OR($F$19=0,마스터!$G$21&gt;0)),마스터!$C$21&amp;"("&amp;IF(마스터!$P$21-$D24&gt;=0,"+","")&amp;TEXT(마스터!$P$21-$D24,"#,##0")&amp;")",""))</f>
        <v>70*60(-1,750)</v>
      </c>
    </row>
    <row r="25" customFormat="false" ht="15" hidden="true" customHeight="true" outlineLevel="0" collapsed="false">
      <c r="A25" s="128" t="n">
        <v>4</v>
      </c>
      <c r="B25" s="9" t="str">
        <f aca="false">마스터!B16</f>
        <v>유포지</v>
      </c>
      <c r="C25" s="9" t="str">
        <f aca="false">마스터!C16</f>
        <v>30*15</v>
      </c>
      <c r="D25" s="20" t="n">
        <f aca="false">마스터!P16</f>
        <v>5020</v>
      </c>
      <c r="E25" s="20" t="n">
        <f aca="false">IF(ISNUMBER(D25),ROUNDDOWN(D25*(1+$F$17),-1),"")</f>
        <v>2510</v>
      </c>
      <c r="F25" s="20" t="n">
        <f aca="false">IF(ISNUMBER(D25),ROUNDDOWN(D25*(1+$F$18),-1),"")</f>
        <v>10040</v>
      </c>
      <c r="G25" s="120" t="n">
        <f aca="false">SUMPRODUCT(--(LEN(J25:AG25)&gt;0))</f>
        <v>5</v>
      </c>
      <c r="H25" s="130" t="str">
        <f aca="false">IF(G25&gt;0,_xlfn.TEXTJOIN(", ",TRUE(),J25:AG25),IF(ISNUMBER(D25),"옵션 가능한 사이즈 없음","가격 미정 — 판매가 입력 필요"))</f>
        <v>100*80(+3,900), 60*40(+760), 70*50(+960), 40*20(+1,120), 70*60(+2,150)</v>
      </c>
      <c r="J25" s="1" t="str">
        <f aca="false">IF(OR(NOT(ISNUMBER($E25)),NOT(ISNUMBER(마스터!$P$18))),"",IF(AND(마스터!$P$18&gt;=$E25,마스터!$P$18&lt;=$F25,OR($F$19=0,마스터!$G$18&gt;0)),마스터!$C$18&amp;"("&amp;IF(마스터!$P$18-$D25&gt;=0,"+","")&amp;TEXT(마스터!$P$18-$D25,"#,##0")&amp;")",""))</f>
        <v/>
      </c>
      <c r="K25" s="1" t="str">
        <f aca="false">IF(OR(NOT(ISNUMBER($E25)),NOT(ISNUMBER(마스터!$P$26))),"",IF(AND(마스터!$P$26&gt;=$E25,마스터!$P$26&lt;=$F25,OR($F$19=0,마스터!$G$26&gt;0)),마스터!$C$26&amp;"("&amp;IF(마스터!$P$26-$D25&gt;=0,"+","")&amp;TEXT(마스터!$P$26-$D25,"#,##0")&amp;")",""))</f>
        <v/>
      </c>
      <c r="L25" s="1" t="str">
        <f aca="false">IF(OR(NOT(ISNUMBER($E25)),NOT(ISNUMBER(마스터!$P$24))),"",IF(AND(마스터!$P$24&gt;=$E25,마스터!$P$24&lt;=$F25,OR($F$19=0,마스터!$G$24&gt;0)),마스터!$C$24&amp;"("&amp;IF(마스터!$P$24-$D25&gt;=0,"+","")&amp;TEXT(마스터!$P$24-$D25,"#,##0")&amp;")",""))</f>
        <v>100*80(+3,900)</v>
      </c>
      <c r="N25" s="1" t="str">
        <f aca="false">IF(OR(NOT(ISNUMBER($E25)),NOT(ISNUMBER(마스터!$P$27))),"",IF(AND(마스터!$P$27&gt;=$E25,마스터!$P$27&lt;=$F25,OR($F$19=0,마스터!$G$27&gt;0)),마스터!$C$27&amp;"("&amp;IF(마스터!$P$27-$D25&gt;=0,"+","")&amp;TEXT(마스터!$P$27-$D25,"#,##0")&amp;")",""))</f>
        <v/>
      </c>
      <c r="O25" s="1" t="str">
        <f aca="false">IF(OR(NOT(ISNUMBER($E25)),NOT(ISNUMBER(마스터!$P$19))),"",IF(AND(마스터!$P$19&gt;=$E25,마스터!$P$19&lt;=$F25,OR($F$19=0,마스터!$G$19&gt;0)),마스터!$C$19&amp;"("&amp;IF(마스터!$P$19-$D25&gt;=0,"+","")&amp;TEXT(마스터!$P$19-$D25,"#,##0")&amp;")",""))</f>
        <v>60*40(+760)</v>
      </c>
      <c r="P25" s="1" t="str">
        <f aca="false">IF(OR(NOT(ISNUMBER($E25)),NOT(ISNUMBER(마스터!$P$20))),"",IF(AND(마스터!$P$20&gt;=$E25,마스터!$P$20&lt;=$F25,OR($F$19=0,마스터!$G$20&gt;0)),마스터!$C$20&amp;"("&amp;IF(마스터!$P$20-$D25&gt;=0,"+","")&amp;TEXT(마스터!$P$20-$D25,"#,##0")&amp;")",""))</f>
        <v>70*50(+960)</v>
      </c>
      <c r="Q25" s="1" t="str">
        <f aca="false">IF(OR(NOT(ISNUMBER($E25)),NOT(ISNUMBER(마스터!$P$25))),"",IF(AND(마스터!$P$25&gt;=$E25,마스터!$P$25&lt;=$F25,OR($F$19=0,마스터!$G$25&gt;0)),마스터!$C$25&amp;"("&amp;IF(마스터!$P$25-$D25&gt;=0,"+","")&amp;TEXT(마스터!$P$25-$D25,"#,##0")&amp;")",""))</f>
        <v/>
      </c>
      <c r="R25" s="1" t="str">
        <f aca="false">IF(OR(NOT(ISNUMBER($E25)),NOT(ISNUMBER(마스터!$P$22))),"",IF(AND(마스터!$P$22&gt;=$E25,마스터!$P$22&lt;=$F25,OR($F$19=0,마스터!$G$22&gt;0)),마스터!$C$22&amp;"("&amp;IF(마스터!$P$22-$D25&gt;=0,"+","")&amp;TEXT(마스터!$P$22-$D25,"#,##0")&amp;")",""))</f>
        <v/>
      </c>
      <c r="S25" s="1" t="str">
        <f aca="false">IF(OR(NOT(ISNUMBER($E25)),NOT(ISNUMBER(마스터!$P$23))),"",IF(AND(마스터!$P$23&gt;=$E25,마스터!$P$23&lt;=$F25,OR($F$19=0,마스터!$G$23&gt;0)),마스터!$C$23&amp;"("&amp;IF(마스터!$P$23-$D25&gt;=0,"+","")&amp;TEXT(마스터!$P$23-$D25,"#,##0")&amp;")",""))</f>
        <v/>
      </c>
      <c r="T25" s="1" t="str">
        <f aca="false">IF(OR(NOT(ISNUMBER($E25)),NOT(ISNUMBER(마스터!$P$17))),"",IF(AND(마스터!$P$17&gt;=$E25,마스터!$P$17&lt;=$F25,OR($F$19=0,마스터!$G$17&gt;0)),마스터!$C$17&amp;"("&amp;IF(마스터!$P$17-$D25&gt;=0,"+","")&amp;TEXT(마스터!$P$17-$D25,"#,##0")&amp;")",""))</f>
        <v>40*20(+1,120)</v>
      </c>
      <c r="U25" s="1" t="str">
        <f aca="false">IF(OR(NOT(ISNUMBER($E25)),NOT(ISNUMBER(마스터!$P$21))),"",IF(AND(마스터!$P$21&gt;=$E25,마스터!$P$21&lt;=$F25,OR($F$19=0,마스터!$G$21&gt;0)),마스터!$C$21&amp;"("&amp;IF(마스터!$P$21-$D25&gt;=0,"+","")&amp;TEXT(마스터!$P$21-$D25,"#,##0")&amp;")",""))</f>
        <v>70*60(+2,150)</v>
      </c>
    </row>
    <row r="26" customFormat="false" ht="15" hidden="true" customHeight="true" outlineLevel="0" collapsed="false">
      <c r="A26" s="128" t="n">
        <v>5</v>
      </c>
      <c r="B26" s="9" t="str">
        <f aca="false">마스터!B27</f>
        <v>유포지</v>
      </c>
      <c r="C26" s="9" t="str">
        <f aca="false">마스터!C27</f>
        <v>100*150</v>
      </c>
      <c r="D26" s="20" t="n">
        <f aca="false">마스터!P27</f>
        <v>10200</v>
      </c>
      <c r="E26" s="20" t="n">
        <f aca="false">IF(ISNUMBER(D26),ROUNDDOWN(D26*(1+$F$17),-1),"")</f>
        <v>5100</v>
      </c>
      <c r="F26" s="20" t="n">
        <f aca="false">IF(ISNUMBER(D26),ROUNDDOWN(D26*(1+$F$18),-1),"")</f>
        <v>20400</v>
      </c>
      <c r="G26" s="120" t="n">
        <f aca="false">SUMPRODUCT(--(LEN(J26:AG26)&gt;0))</f>
        <v>7</v>
      </c>
      <c r="H26" s="130" t="str">
        <f aca="false">IF(G26&gt;0,_xlfn.TEXTJOIN(", ",TRUE(),J26:AG26),IF(ISNUMBER(D26),"옵션 가능한 사이즈 없음","가격 미정 — 판매가 입력 필요"))</f>
        <v>100*80(-1,280), 60*40(-4,420), 70*50(-4,220), 100*90(+3,730), 100*35(+3,980), 40*20(-4,060), 70*60(-3,030)</v>
      </c>
      <c r="J26" s="1" t="str">
        <f aca="false">IF(OR(NOT(ISNUMBER($E26)),NOT(ISNUMBER(마스터!$P$18))),"",IF(AND(마스터!$P$18&gt;=$E26,마스터!$P$18&lt;=$F26,OR($F$19=0,마스터!$G$18&gt;0)),마스터!$C$18&amp;"("&amp;IF(마스터!$P$18-$D26&gt;=0,"+","")&amp;TEXT(마스터!$P$18-$D26,"#,##0")&amp;")",""))</f>
        <v/>
      </c>
      <c r="K26" s="1" t="str">
        <f aca="false">IF(OR(NOT(ISNUMBER($E26)),NOT(ISNUMBER(마스터!$P$26))),"",IF(AND(마스터!$P$26&gt;=$E26,마스터!$P$26&lt;=$F26,OR($F$19=0,마스터!$G$26&gt;0)),마스터!$C$26&amp;"("&amp;IF(마스터!$P$26-$D26&gt;=0,"+","")&amp;TEXT(마스터!$P$26-$D26,"#,##0")&amp;")",""))</f>
        <v/>
      </c>
      <c r="L26" s="1" t="str">
        <f aca="false">IF(OR(NOT(ISNUMBER($E26)),NOT(ISNUMBER(마스터!$P$24))),"",IF(AND(마스터!$P$24&gt;=$E26,마스터!$P$24&lt;=$F26,OR($F$19=0,마스터!$G$24&gt;0)),마스터!$C$24&amp;"("&amp;IF(마스터!$P$24-$D26&gt;=0,"+","")&amp;TEXT(마스터!$P$24-$D26,"#,##0")&amp;")",""))</f>
        <v>100*80(-1,280)</v>
      </c>
      <c r="M26" s="1" t="str">
        <f aca="false">IF(OR(NOT(ISNUMBER($E26)),NOT(ISNUMBER(마스터!$P$16))),"",IF(AND(마스터!$P$16&gt;=$E26,마스터!$P$16&lt;=$F26,OR($F$19=0,마스터!$G$16&gt;0)),마스터!$C$16&amp;"("&amp;IF(마스터!$P$16-$D26&gt;=0,"+","")&amp;TEXT(마스터!$P$16-$D26,"#,##0")&amp;")",""))</f>
        <v/>
      </c>
      <c r="O26" s="1" t="str">
        <f aca="false">IF(OR(NOT(ISNUMBER($E26)),NOT(ISNUMBER(마스터!$P$19))),"",IF(AND(마스터!$P$19&gt;=$E26,마스터!$P$19&lt;=$F26,OR($F$19=0,마스터!$G$19&gt;0)),마스터!$C$19&amp;"("&amp;IF(마스터!$P$19-$D26&gt;=0,"+","")&amp;TEXT(마스터!$P$19-$D26,"#,##0")&amp;")",""))</f>
        <v>60*40(-4,420)</v>
      </c>
      <c r="P26" s="1" t="str">
        <f aca="false">IF(OR(NOT(ISNUMBER($E26)),NOT(ISNUMBER(마스터!$P$20))),"",IF(AND(마스터!$P$20&gt;=$E26,마스터!$P$20&lt;=$F26,OR($F$19=0,마스터!$G$20&gt;0)),마스터!$C$20&amp;"("&amp;IF(마스터!$P$20-$D26&gt;=0,"+","")&amp;TEXT(마스터!$P$20-$D26,"#,##0")&amp;")",""))</f>
        <v>70*50(-4,220)</v>
      </c>
      <c r="Q26" s="1" t="str">
        <f aca="false">IF(OR(NOT(ISNUMBER($E26)),NOT(ISNUMBER(마스터!$P$25))),"",IF(AND(마스터!$P$25&gt;=$E26,마스터!$P$25&lt;=$F26,OR($F$19=0,마스터!$G$25&gt;0)),마스터!$C$25&amp;"("&amp;IF(마스터!$P$25-$D26&gt;=0,"+","")&amp;TEXT(마스터!$P$25-$D26,"#,##0")&amp;")",""))</f>
        <v>100*90(+3,730)</v>
      </c>
      <c r="R26" s="1" t="str">
        <f aca="false">IF(OR(NOT(ISNUMBER($E26)),NOT(ISNUMBER(마스터!$P$22))),"",IF(AND(마스터!$P$22&gt;=$E26,마스터!$P$22&lt;=$F26,OR($F$19=0,마스터!$G$22&gt;0)),마스터!$C$22&amp;"("&amp;IF(마스터!$P$22-$D26&gt;=0,"+","")&amp;TEXT(마스터!$P$22-$D26,"#,##0")&amp;")",""))</f>
        <v>100*35(+3,980)</v>
      </c>
      <c r="S26" s="1" t="str">
        <f aca="false">IF(OR(NOT(ISNUMBER($E26)),NOT(ISNUMBER(마스터!$P$23))),"",IF(AND(마스터!$P$23&gt;=$E26,마스터!$P$23&lt;=$F26,OR($F$19=0,마스터!$G$23&gt;0)),마스터!$C$23&amp;"("&amp;IF(마스터!$P$23-$D26&gt;=0,"+","")&amp;TEXT(마스터!$P$23-$D26,"#,##0")&amp;")",""))</f>
        <v/>
      </c>
      <c r="T26" s="1" t="str">
        <f aca="false">IF(OR(NOT(ISNUMBER($E26)),NOT(ISNUMBER(마스터!$P$17))),"",IF(AND(마스터!$P$17&gt;=$E26,마스터!$P$17&lt;=$F26,OR($F$19=0,마스터!$G$17&gt;0)),마스터!$C$17&amp;"("&amp;IF(마스터!$P$17-$D26&gt;=0,"+","")&amp;TEXT(마스터!$P$17-$D26,"#,##0")&amp;")",""))</f>
        <v>40*20(-4,060)</v>
      </c>
      <c r="U26" s="1" t="str">
        <f aca="false">IF(OR(NOT(ISNUMBER($E26)),NOT(ISNUMBER(마스터!$P$21))),"",IF(AND(마스터!$P$21&gt;=$E26,마스터!$P$21&lt;=$F26,OR($F$19=0,마스터!$G$21&gt;0)),마스터!$C$21&amp;"("&amp;IF(마스터!$P$21-$D26&gt;=0,"+","")&amp;TEXT(마스터!$P$21-$D26,"#,##0")&amp;")",""))</f>
        <v>70*60(-3,030)</v>
      </c>
    </row>
    <row r="27" customFormat="false" ht="15" hidden="true" customHeight="true" outlineLevel="0" collapsed="false">
      <c r="A27" s="128" t="n">
        <v>6</v>
      </c>
      <c r="B27" s="9" t="str">
        <f aca="false">마스터!B19</f>
        <v>유포지</v>
      </c>
      <c r="C27" s="9" t="str">
        <f aca="false">마스터!C19</f>
        <v>60*40</v>
      </c>
      <c r="D27" s="20" t="n">
        <f aca="false">마스터!P19</f>
        <v>5780</v>
      </c>
      <c r="E27" s="20" t="n">
        <f aca="false">IF(ISNUMBER(D27),ROUNDDOWN(D27*(1+$F$17),-1),"")</f>
        <v>2890</v>
      </c>
      <c r="F27" s="20" t="n">
        <f aca="false">IF(ISNUMBER(D27),ROUNDDOWN(D27*(1+$F$18),-1),"")</f>
        <v>11560</v>
      </c>
      <c r="G27" s="120" t="n">
        <f aca="false">SUMPRODUCT(--(LEN(J27:AG27)&gt;0))</f>
        <v>6</v>
      </c>
      <c r="H27" s="130" t="str">
        <f aca="false">IF(G27&gt;0,_xlfn.TEXTJOIN(", ",TRUE(),J27:AG27),IF(ISNUMBER(D27),"옵션 가능한 사이즈 없음","가격 미정 — 판매가 입력 필요"))</f>
        <v>100*80(+3,140), 30*15(-760), 100*150(+4,420), 70*50(+200), 40*20(+360), 70*60(+1,390)</v>
      </c>
      <c r="J27" s="1" t="str">
        <f aca="false">IF(OR(NOT(ISNUMBER($E27)),NOT(ISNUMBER(마스터!$P$18))),"",IF(AND(마스터!$P$18&gt;=$E27,마스터!$P$18&lt;=$F27,OR($F$19=0,마스터!$G$18&gt;0)),마스터!$C$18&amp;"("&amp;IF(마스터!$P$18-$D27&gt;=0,"+","")&amp;TEXT(마스터!$P$18-$D27,"#,##0")&amp;")",""))</f>
        <v/>
      </c>
      <c r="K27" s="1" t="str">
        <f aca="false">IF(OR(NOT(ISNUMBER($E27)),NOT(ISNUMBER(마스터!$P$26))),"",IF(AND(마스터!$P$26&gt;=$E27,마스터!$P$26&lt;=$F27,OR($F$19=0,마스터!$G$26&gt;0)),마스터!$C$26&amp;"("&amp;IF(마스터!$P$26-$D27&gt;=0,"+","")&amp;TEXT(마스터!$P$26-$D27,"#,##0")&amp;")",""))</f>
        <v/>
      </c>
      <c r="L27" s="1" t="str">
        <f aca="false">IF(OR(NOT(ISNUMBER($E27)),NOT(ISNUMBER(마스터!$P$24))),"",IF(AND(마스터!$P$24&gt;=$E27,마스터!$P$24&lt;=$F27,OR($F$19=0,마스터!$G$24&gt;0)),마스터!$C$24&amp;"("&amp;IF(마스터!$P$24-$D27&gt;=0,"+","")&amp;TEXT(마스터!$P$24-$D27,"#,##0")&amp;")",""))</f>
        <v>100*80(+3,140)</v>
      </c>
      <c r="M27" s="1" t="str">
        <f aca="false">IF(OR(NOT(ISNUMBER($E27)),NOT(ISNUMBER(마스터!$P$16))),"",IF(AND(마스터!$P$16&gt;=$E27,마스터!$P$16&lt;=$F27,OR($F$19=0,마스터!$G$16&gt;0)),마스터!$C$16&amp;"("&amp;IF(마스터!$P$16-$D27&gt;=0,"+","")&amp;TEXT(마스터!$P$16-$D27,"#,##0")&amp;")",""))</f>
        <v>30*15(-760)</v>
      </c>
      <c r="N27" s="1" t="str">
        <f aca="false">IF(OR(NOT(ISNUMBER($E27)),NOT(ISNUMBER(마스터!$P$27))),"",IF(AND(마스터!$P$27&gt;=$E27,마스터!$P$27&lt;=$F27,OR($F$19=0,마스터!$G$27&gt;0)),마스터!$C$27&amp;"("&amp;IF(마스터!$P$27-$D27&gt;=0,"+","")&amp;TEXT(마스터!$P$27-$D27,"#,##0")&amp;")",""))</f>
        <v>100*150(+4,420)</v>
      </c>
      <c r="P27" s="1" t="str">
        <f aca="false">IF(OR(NOT(ISNUMBER($E27)),NOT(ISNUMBER(마스터!$P$20))),"",IF(AND(마스터!$P$20&gt;=$E27,마스터!$P$20&lt;=$F27,OR($F$19=0,마스터!$G$20&gt;0)),마스터!$C$20&amp;"("&amp;IF(마스터!$P$20-$D27&gt;=0,"+","")&amp;TEXT(마스터!$P$20-$D27,"#,##0")&amp;")",""))</f>
        <v>70*50(+200)</v>
      </c>
      <c r="Q27" s="1" t="str">
        <f aca="false">IF(OR(NOT(ISNUMBER($E27)),NOT(ISNUMBER(마스터!$P$25))),"",IF(AND(마스터!$P$25&gt;=$E27,마스터!$P$25&lt;=$F27,OR($F$19=0,마스터!$G$25&gt;0)),마스터!$C$25&amp;"("&amp;IF(마스터!$P$25-$D27&gt;=0,"+","")&amp;TEXT(마스터!$P$25-$D27,"#,##0")&amp;")",""))</f>
        <v/>
      </c>
      <c r="R27" s="1" t="str">
        <f aca="false">IF(OR(NOT(ISNUMBER($E27)),NOT(ISNUMBER(마스터!$P$22))),"",IF(AND(마스터!$P$22&gt;=$E27,마스터!$P$22&lt;=$F27,OR($F$19=0,마스터!$G$22&gt;0)),마스터!$C$22&amp;"("&amp;IF(마스터!$P$22-$D27&gt;=0,"+","")&amp;TEXT(마스터!$P$22-$D27,"#,##0")&amp;")",""))</f>
        <v/>
      </c>
      <c r="S27" s="1" t="str">
        <f aca="false">IF(OR(NOT(ISNUMBER($E27)),NOT(ISNUMBER(마스터!$P$23))),"",IF(AND(마스터!$P$23&gt;=$E27,마스터!$P$23&lt;=$F27,OR($F$19=0,마스터!$G$23&gt;0)),마스터!$C$23&amp;"("&amp;IF(마스터!$P$23-$D27&gt;=0,"+","")&amp;TEXT(마스터!$P$23-$D27,"#,##0")&amp;")",""))</f>
        <v/>
      </c>
      <c r="T27" s="1" t="str">
        <f aca="false">IF(OR(NOT(ISNUMBER($E27)),NOT(ISNUMBER(마스터!$P$17))),"",IF(AND(마스터!$P$17&gt;=$E27,마스터!$P$17&lt;=$F27,OR($F$19=0,마스터!$G$17&gt;0)),마스터!$C$17&amp;"("&amp;IF(마스터!$P$17-$D27&gt;=0,"+","")&amp;TEXT(마스터!$P$17-$D27,"#,##0")&amp;")",""))</f>
        <v>40*20(+360)</v>
      </c>
      <c r="U27" s="1" t="str">
        <f aca="false">IF(OR(NOT(ISNUMBER($E27)),NOT(ISNUMBER(마스터!$P$21))),"",IF(AND(마스터!$P$21&gt;=$E27,마스터!$P$21&lt;=$F27,OR($F$19=0,마스터!$G$21&gt;0)),마스터!$C$21&amp;"("&amp;IF(마스터!$P$21-$D27&gt;=0,"+","")&amp;TEXT(마스터!$P$21-$D27,"#,##0")&amp;")",""))</f>
        <v>70*60(+1,390)</v>
      </c>
    </row>
    <row r="28" customFormat="false" ht="15" hidden="true" customHeight="true" outlineLevel="0" collapsed="false">
      <c r="A28" s="128" t="n">
        <v>7</v>
      </c>
      <c r="B28" s="9" t="str">
        <f aca="false">마스터!B20</f>
        <v>유포지</v>
      </c>
      <c r="C28" s="9" t="str">
        <f aca="false">마스터!C20</f>
        <v>70*50</v>
      </c>
      <c r="D28" s="20" t="n">
        <f aca="false">마스터!P20</f>
        <v>5980</v>
      </c>
      <c r="E28" s="20" t="n">
        <f aca="false">IF(ISNUMBER(D28),ROUNDDOWN(D28*(1+$F$17),-1),"")</f>
        <v>2990</v>
      </c>
      <c r="F28" s="20" t="n">
        <f aca="false">IF(ISNUMBER(D28),ROUNDDOWN(D28*(1+$F$18),-1),"")</f>
        <v>11960</v>
      </c>
      <c r="G28" s="120" t="n">
        <f aca="false">SUMPRODUCT(--(LEN(J28:AG28)&gt;0))</f>
        <v>6</v>
      </c>
      <c r="H28" s="130" t="str">
        <f aca="false">IF(G28&gt;0,_xlfn.TEXTJOIN(", ",TRUE(),J28:AG28),IF(ISNUMBER(D28),"옵션 가능한 사이즈 없음","가격 미정 — 판매가 입력 필요"))</f>
        <v>100*80(+2,940), 30*15(-960), 100*150(+4,220), 60*40(-200), 40*20(+160), 70*60(+1,190)</v>
      </c>
      <c r="J28" s="1" t="str">
        <f aca="false">IF(OR(NOT(ISNUMBER($E28)),NOT(ISNUMBER(마스터!$P$18))),"",IF(AND(마스터!$P$18&gt;=$E28,마스터!$P$18&lt;=$F28,OR($F$19=0,마스터!$G$18&gt;0)),마스터!$C$18&amp;"("&amp;IF(마스터!$P$18-$D28&gt;=0,"+","")&amp;TEXT(마스터!$P$18-$D28,"#,##0")&amp;")",""))</f>
        <v/>
      </c>
      <c r="K28" s="1" t="str">
        <f aca="false">IF(OR(NOT(ISNUMBER($E28)),NOT(ISNUMBER(마스터!$P$26))),"",IF(AND(마스터!$P$26&gt;=$E28,마스터!$P$26&lt;=$F28,OR($F$19=0,마스터!$G$26&gt;0)),마스터!$C$26&amp;"("&amp;IF(마스터!$P$26-$D28&gt;=0,"+","")&amp;TEXT(마스터!$P$26-$D28,"#,##0")&amp;")",""))</f>
        <v/>
      </c>
      <c r="L28" s="1" t="str">
        <f aca="false">IF(OR(NOT(ISNUMBER($E28)),NOT(ISNUMBER(마스터!$P$24))),"",IF(AND(마스터!$P$24&gt;=$E28,마스터!$P$24&lt;=$F28,OR($F$19=0,마스터!$G$24&gt;0)),마스터!$C$24&amp;"("&amp;IF(마스터!$P$24-$D28&gt;=0,"+","")&amp;TEXT(마스터!$P$24-$D28,"#,##0")&amp;")",""))</f>
        <v>100*80(+2,940)</v>
      </c>
      <c r="M28" s="1" t="str">
        <f aca="false">IF(OR(NOT(ISNUMBER($E28)),NOT(ISNUMBER(마스터!$P$16))),"",IF(AND(마스터!$P$16&gt;=$E28,마스터!$P$16&lt;=$F28,OR($F$19=0,마스터!$G$16&gt;0)),마스터!$C$16&amp;"("&amp;IF(마스터!$P$16-$D28&gt;=0,"+","")&amp;TEXT(마스터!$P$16-$D28,"#,##0")&amp;")",""))</f>
        <v>30*15(-960)</v>
      </c>
      <c r="N28" s="1" t="str">
        <f aca="false">IF(OR(NOT(ISNUMBER($E28)),NOT(ISNUMBER(마스터!$P$27))),"",IF(AND(마스터!$P$27&gt;=$E28,마스터!$P$27&lt;=$F28,OR($F$19=0,마스터!$G$27&gt;0)),마스터!$C$27&amp;"("&amp;IF(마스터!$P$27-$D28&gt;=0,"+","")&amp;TEXT(마스터!$P$27-$D28,"#,##0")&amp;")",""))</f>
        <v>100*150(+4,220)</v>
      </c>
      <c r="O28" s="1" t="str">
        <f aca="false">IF(OR(NOT(ISNUMBER($E28)),NOT(ISNUMBER(마스터!$P$19))),"",IF(AND(마스터!$P$19&gt;=$E28,마스터!$P$19&lt;=$F28,OR($F$19=0,마스터!$G$19&gt;0)),마스터!$C$19&amp;"("&amp;IF(마스터!$P$19-$D28&gt;=0,"+","")&amp;TEXT(마스터!$P$19-$D28,"#,##0")&amp;")",""))</f>
        <v>60*40(-200)</v>
      </c>
      <c r="Q28" s="1" t="str">
        <f aca="false">IF(OR(NOT(ISNUMBER($E28)),NOT(ISNUMBER(마스터!$P$25))),"",IF(AND(마스터!$P$25&gt;=$E28,마스터!$P$25&lt;=$F28,OR($F$19=0,마스터!$G$25&gt;0)),마스터!$C$25&amp;"("&amp;IF(마스터!$P$25-$D28&gt;=0,"+","")&amp;TEXT(마스터!$P$25-$D28,"#,##0")&amp;")",""))</f>
        <v/>
      </c>
      <c r="R28" s="1" t="str">
        <f aca="false">IF(OR(NOT(ISNUMBER($E28)),NOT(ISNUMBER(마스터!$P$22))),"",IF(AND(마스터!$P$22&gt;=$E28,마스터!$P$22&lt;=$F28,OR($F$19=0,마스터!$G$22&gt;0)),마스터!$C$22&amp;"("&amp;IF(마스터!$P$22-$D28&gt;=0,"+","")&amp;TEXT(마스터!$P$22-$D28,"#,##0")&amp;")",""))</f>
        <v/>
      </c>
      <c r="S28" s="1" t="str">
        <f aca="false">IF(OR(NOT(ISNUMBER($E28)),NOT(ISNUMBER(마스터!$P$23))),"",IF(AND(마스터!$P$23&gt;=$E28,마스터!$P$23&lt;=$F28,OR($F$19=0,마스터!$G$23&gt;0)),마스터!$C$23&amp;"("&amp;IF(마스터!$P$23-$D28&gt;=0,"+","")&amp;TEXT(마스터!$P$23-$D28,"#,##0")&amp;")",""))</f>
        <v/>
      </c>
      <c r="T28" s="1" t="str">
        <f aca="false">IF(OR(NOT(ISNUMBER($E28)),NOT(ISNUMBER(마스터!$P$17))),"",IF(AND(마스터!$P$17&gt;=$E28,마스터!$P$17&lt;=$F28,OR($F$19=0,마스터!$G$17&gt;0)),마스터!$C$17&amp;"("&amp;IF(마스터!$P$17-$D28&gt;=0,"+","")&amp;TEXT(마스터!$P$17-$D28,"#,##0")&amp;")",""))</f>
        <v>40*20(+160)</v>
      </c>
      <c r="U28" s="1" t="str">
        <f aca="false">IF(OR(NOT(ISNUMBER($E28)),NOT(ISNUMBER(마스터!$P$21))),"",IF(AND(마스터!$P$21&gt;=$E28,마스터!$P$21&lt;=$F28,OR($F$19=0,마스터!$G$21&gt;0)),마스터!$C$21&amp;"("&amp;IF(마스터!$P$21-$D28&gt;=0,"+","")&amp;TEXT(마스터!$P$21-$D28,"#,##0")&amp;")",""))</f>
        <v>70*60(+1,190)</v>
      </c>
    </row>
    <row r="29" customFormat="false" ht="15" hidden="true" customHeight="true" outlineLevel="0" collapsed="false">
      <c r="A29" s="128" t="n">
        <v>8</v>
      </c>
      <c r="B29" s="9" t="str">
        <f aca="false">마스터!B25</f>
        <v>유포지</v>
      </c>
      <c r="C29" s="9" t="str">
        <f aca="false">마스터!C25</f>
        <v>100*90</v>
      </c>
      <c r="D29" s="20" t="n">
        <f aca="false">마스터!P25</f>
        <v>13930</v>
      </c>
      <c r="E29" s="20" t="n">
        <f aca="false">IF(ISNUMBER(D29),ROUNDDOWN(D29*(1+$F$17),-1),"")</f>
        <v>6960</v>
      </c>
      <c r="F29" s="20" t="n">
        <f aca="false">IF(ISNUMBER(D29),ROUNDDOWN(D29*(1+$F$18),-1),"")</f>
        <v>27860</v>
      </c>
      <c r="G29" s="120" t="n">
        <f aca="false">SUMPRODUCT(--(LEN(J29:AG29)&gt;0))</f>
        <v>4</v>
      </c>
      <c r="H29" s="130" t="str">
        <f aca="false">IF(G29&gt;0,_xlfn.TEXTJOIN(", ",TRUE(),J29:AG29),IF(ISNUMBER(D29),"옵션 가능한 사이즈 없음","가격 미정 — 판매가 입력 필요"))</f>
        <v>100*80(-5,010), 100*150(-3,730), 100*35(+250), 70*60(-6,760)</v>
      </c>
      <c r="J29" s="1" t="str">
        <f aca="false">IF(OR(NOT(ISNUMBER($E29)),NOT(ISNUMBER(마스터!$P$18))),"",IF(AND(마스터!$P$18&gt;=$E29,마스터!$P$18&lt;=$F29,OR($F$19=0,마스터!$G$18&gt;0)),마스터!$C$18&amp;"("&amp;IF(마스터!$P$18-$D29&gt;=0,"+","")&amp;TEXT(마스터!$P$18-$D29,"#,##0")&amp;")",""))</f>
        <v/>
      </c>
      <c r="K29" s="1" t="str">
        <f aca="false">IF(OR(NOT(ISNUMBER($E29)),NOT(ISNUMBER(마스터!$P$26))),"",IF(AND(마스터!$P$26&gt;=$E29,마스터!$P$26&lt;=$F29,OR($F$19=0,마스터!$G$26&gt;0)),마스터!$C$26&amp;"("&amp;IF(마스터!$P$26-$D29&gt;=0,"+","")&amp;TEXT(마스터!$P$26-$D29,"#,##0")&amp;")",""))</f>
        <v/>
      </c>
      <c r="L29" s="1" t="str">
        <f aca="false">IF(OR(NOT(ISNUMBER($E29)),NOT(ISNUMBER(마스터!$P$24))),"",IF(AND(마스터!$P$24&gt;=$E29,마스터!$P$24&lt;=$F29,OR($F$19=0,마스터!$G$24&gt;0)),마스터!$C$24&amp;"("&amp;IF(마스터!$P$24-$D29&gt;=0,"+","")&amp;TEXT(마스터!$P$24-$D29,"#,##0")&amp;")",""))</f>
        <v>100*80(-5,010)</v>
      </c>
      <c r="M29" s="1" t="str">
        <f aca="false">IF(OR(NOT(ISNUMBER($E29)),NOT(ISNUMBER(마스터!$P$16))),"",IF(AND(마스터!$P$16&gt;=$E29,마스터!$P$16&lt;=$F29,OR($F$19=0,마스터!$G$16&gt;0)),마스터!$C$16&amp;"("&amp;IF(마스터!$P$16-$D29&gt;=0,"+","")&amp;TEXT(마스터!$P$16-$D29,"#,##0")&amp;")",""))</f>
        <v/>
      </c>
      <c r="N29" s="1" t="str">
        <f aca="false">IF(OR(NOT(ISNUMBER($E29)),NOT(ISNUMBER(마스터!$P$27))),"",IF(AND(마스터!$P$27&gt;=$E29,마스터!$P$27&lt;=$F29,OR($F$19=0,마스터!$G$27&gt;0)),마스터!$C$27&amp;"("&amp;IF(마스터!$P$27-$D29&gt;=0,"+","")&amp;TEXT(마스터!$P$27-$D29,"#,##0")&amp;")",""))</f>
        <v>100*150(-3,730)</v>
      </c>
      <c r="O29" s="1" t="str">
        <f aca="false">IF(OR(NOT(ISNUMBER($E29)),NOT(ISNUMBER(마스터!$P$19))),"",IF(AND(마스터!$P$19&gt;=$E29,마스터!$P$19&lt;=$F29,OR($F$19=0,마스터!$G$19&gt;0)),마스터!$C$19&amp;"("&amp;IF(마스터!$P$19-$D29&gt;=0,"+","")&amp;TEXT(마스터!$P$19-$D29,"#,##0")&amp;")",""))</f>
        <v/>
      </c>
      <c r="P29" s="1" t="str">
        <f aca="false">IF(OR(NOT(ISNUMBER($E29)),NOT(ISNUMBER(마스터!$P$20))),"",IF(AND(마스터!$P$20&gt;=$E29,마스터!$P$20&lt;=$F29,OR($F$19=0,마스터!$G$20&gt;0)),마스터!$C$20&amp;"("&amp;IF(마스터!$P$20-$D29&gt;=0,"+","")&amp;TEXT(마스터!$P$20-$D29,"#,##0")&amp;")",""))</f>
        <v/>
      </c>
      <c r="R29" s="1" t="str">
        <f aca="false">IF(OR(NOT(ISNUMBER($E29)),NOT(ISNUMBER(마스터!$P$22))),"",IF(AND(마스터!$P$22&gt;=$E29,마스터!$P$22&lt;=$F29,OR($F$19=0,마스터!$G$22&gt;0)),마스터!$C$22&amp;"("&amp;IF(마스터!$P$22-$D29&gt;=0,"+","")&amp;TEXT(마스터!$P$22-$D29,"#,##0")&amp;")",""))</f>
        <v>100*35(+250)</v>
      </c>
      <c r="S29" s="1" t="str">
        <f aca="false">IF(OR(NOT(ISNUMBER($E29)),NOT(ISNUMBER(마스터!$P$23))),"",IF(AND(마스터!$P$23&gt;=$E29,마스터!$P$23&lt;=$F29,OR($F$19=0,마스터!$G$23&gt;0)),마스터!$C$23&amp;"("&amp;IF(마스터!$P$23-$D29&gt;=0,"+","")&amp;TEXT(마스터!$P$23-$D29,"#,##0")&amp;")",""))</f>
        <v/>
      </c>
      <c r="T29" s="1" t="str">
        <f aca="false">IF(OR(NOT(ISNUMBER($E29)),NOT(ISNUMBER(마스터!$P$17))),"",IF(AND(마스터!$P$17&gt;=$E29,마스터!$P$17&lt;=$F29,OR($F$19=0,마스터!$G$17&gt;0)),마스터!$C$17&amp;"("&amp;IF(마스터!$P$17-$D29&gt;=0,"+","")&amp;TEXT(마스터!$P$17-$D29,"#,##0")&amp;")",""))</f>
        <v/>
      </c>
      <c r="U29" s="1" t="str">
        <f aca="false">IF(OR(NOT(ISNUMBER($E29)),NOT(ISNUMBER(마스터!$P$21))),"",IF(AND(마스터!$P$21&gt;=$E29,마스터!$P$21&lt;=$F29,OR($F$19=0,마스터!$G$21&gt;0)),마스터!$C$21&amp;"("&amp;IF(마스터!$P$21-$D29&gt;=0,"+","")&amp;TEXT(마스터!$P$21-$D29,"#,##0")&amp;")",""))</f>
        <v>70*60(-6,760)</v>
      </c>
    </row>
    <row r="30" customFormat="false" ht="15" hidden="true" customHeight="true" outlineLevel="0" collapsed="false">
      <c r="A30" s="128" t="n">
        <v>9</v>
      </c>
      <c r="B30" s="9" t="str">
        <f aca="false">마스터!B22</f>
        <v>유포지</v>
      </c>
      <c r="C30" s="9" t="str">
        <f aca="false">마스터!C22</f>
        <v>100*35</v>
      </c>
      <c r="D30" s="20" t="n">
        <f aca="false">마스터!P22</f>
        <v>14180</v>
      </c>
      <c r="E30" s="20" t="n">
        <f aca="false">IF(ISNUMBER(D30),ROUNDDOWN(D30*(1+$F$17),-1),"")</f>
        <v>7090</v>
      </c>
      <c r="F30" s="20" t="n">
        <f aca="false">IF(ISNUMBER(D30),ROUNDDOWN(D30*(1+$F$18),-1),"")</f>
        <v>28360</v>
      </c>
      <c r="G30" s="120" t="n">
        <f aca="false">SUMPRODUCT(--(LEN(J30:AG30)&gt;0))</f>
        <v>4</v>
      </c>
      <c r="H30" s="130" t="str">
        <f aca="false">IF(G30&gt;0,_xlfn.TEXTJOIN(", ",TRUE(),J30:AG30),IF(ISNUMBER(D30),"옵션 가능한 사이즈 없음","가격 미정 — 판매가 입력 필요"))</f>
        <v>100*80(-5,260), 100*150(-3,980), 100*90(-250), 70*60(-7,010)</v>
      </c>
      <c r="J30" s="1" t="str">
        <f aca="false">IF(OR(NOT(ISNUMBER($E30)),NOT(ISNUMBER(마스터!$P$18))),"",IF(AND(마스터!$P$18&gt;=$E30,마스터!$P$18&lt;=$F30,OR($F$19=0,마스터!$G$18&gt;0)),마스터!$C$18&amp;"("&amp;IF(마스터!$P$18-$D30&gt;=0,"+","")&amp;TEXT(마스터!$P$18-$D30,"#,##0")&amp;")",""))</f>
        <v/>
      </c>
      <c r="K30" s="1" t="str">
        <f aca="false">IF(OR(NOT(ISNUMBER($E30)),NOT(ISNUMBER(마스터!$P$26))),"",IF(AND(마스터!$P$26&gt;=$E30,마스터!$P$26&lt;=$F30,OR($F$19=0,마스터!$G$26&gt;0)),마스터!$C$26&amp;"("&amp;IF(마스터!$P$26-$D30&gt;=0,"+","")&amp;TEXT(마스터!$P$26-$D30,"#,##0")&amp;")",""))</f>
        <v/>
      </c>
      <c r="L30" s="1" t="str">
        <f aca="false">IF(OR(NOT(ISNUMBER($E30)),NOT(ISNUMBER(마스터!$P$24))),"",IF(AND(마스터!$P$24&gt;=$E30,마스터!$P$24&lt;=$F30,OR($F$19=0,마스터!$G$24&gt;0)),마스터!$C$24&amp;"("&amp;IF(마스터!$P$24-$D30&gt;=0,"+","")&amp;TEXT(마스터!$P$24-$D30,"#,##0")&amp;")",""))</f>
        <v>100*80(-5,260)</v>
      </c>
      <c r="M30" s="1" t="str">
        <f aca="false">IF(OR(NOT(ISNUMBER($E30)),NOT(ISNUMBER(마스터!$P$16))),"",IF(AND(마스터!$P$16&gt;=$E30,마스터!$P$16&lt;=$F30,OR($F$19=0,마스터!$G$16&gt;0)),마스터!$C$16&amp;"("&amp;IF(마스터!$P$16-$D30&gt;=0,"+","")&amp;TEXT(마스터!$P$16-$D30,"#,##0")&amp;")",""))</f>
        <v/>
      </c>
      <c r="N30" s="1" t="str">
        <f aca="false">IF(OR(NOT(ISNUMBER($E30)),NOT(ISNUMBER(마스터!$P$27))),"",IF(AND(마스터!$P$27&gt;=$E30,마스터!$P$27&lt;=$F30,OR($F$19=0,마스터!$G$27&gt;0)),마스터!$C$27&amp;"("&amp;IF(마스터!$P$27-$D30&gt;=0,"+","")&amp;TEXT(마스터!$P$27-$D30,"#,##0")&amp;")",""))</f>
        <v>100*150(-3,980)</v>
      </c>
      <c r="O30" s="1" t="str">
        <f aca="false">IF(OR(NOT(ISNUMBER($E30)),NOT(ISNUMBER(마스터!$P$19))),"",IF(AND(마스터!$P$19&gt;=$E30,마스터!$P$19&lt;=$F30,OR($F$19=0,마스터!$G$19&gt;0)),마스터!$C$19&amp;"("&amp;IF(마스터!$P$19-$D30&gt;=0,"+","")&amp;TEXT(마스터!$P$19-$D30,"#,##0")&amp;")",""))</f>
        <v/>
      </c>
      <c r="P30" s="1" t="str">
        <f aca="false">IF(OR(NOT(ISNUMBER($E30)),NOT(ISNUMBER(마스터!$P$20))),"",IF(AND(마스터!$P$20&gt;=$E30,마스터!$P$20&lt;=$F30,OR($F$19=0,마스터!$G$20&gt;0)),마스터!$C$20&amp;"("&amp;IF(마스터!$P$20-$D30&gt;=0,"+","")&amp;TEXT(마스터!$P$20-$D30,"#,##0")&amp;")",""))</f>
        <v/>
      </c>
      <c r="Q30" s="1" t="str">
        <f aca="false">IF(OR(NOT(ISNUMBER($E30)),NOT(ISNUMBER(마스터!$P$25))),"",IF(AND(마스터!$P$25&gt;=$E30,마스터!$P$25&lt;=$F30,OR($F$19=0,마스터!$G$25&gt;0)),마스터!$C$25&amp;"("&amp;IF(마스터!$P$25-$D30&gt;=0,"+","")&amp;TEXT(마스터!$P$25-$D30,"#,##0")&amp;")",""))</f>
        <v>100*90(-250)</v>
      </c>
      <c r="S30" s="1" t="str">
        <f aca="false">IF(OR(NOT(ISNUMBER($E30)),NOT(ISNUMBER(마스터!$P$23))),"",IF(AND(마스터!$P$23&gt;=$E30,마스터!$P$23&lt;=$F30,OR($F$19=0,마스터!$G$23&gt;0)),마스터!$C$23&amp;"("&amp;IF(마스터!$P$23-$D30&gt;=0,"+","")&amp;TEXT(마스터!$P$23-$D30,"#,##0")&amp;")",""))</f>
        <v/>
      </c>
      <c r="T30" s="1" t="str">
        <f aca="false">IF(OR(NOT(ISNUMBER($E30)),NOT(ISNUMBER(마스터!$P$17))),"",IF(AND(마스터!$P$17&gt;=$E30,마스터!$P$17&lt;=$F30,OR($F$19=0,마스터!$G$17&gt;0)),마스터!$C$17&amp;"("&amp;IF(마스터!$P$17-$D30&gt;=0,"+","")&amp;TEXT(마스터!$P$17-$D30,"#,##0")&amp;")",""))</f>
        <v/>
      </c>
      <c r="U30" s="1" t="str">
        <f aca="false">IF(OR(NOT(ISNUMBER($E30)),NOT(ISNUMBER(마스터!$P$21))),"",IF(AND(마스터!$P$21&gt;=$E30,마스터!$P$21&lt;=$F30,OR($F$19=0,마스터!$G$21&gt;0)),마스터!$C$21&amp;"("&amp;IF(마스터!$P$21-$D30&gt;=0,"+","")&amp;TEXT(마스터!$P$21-$D30,"#,##0")&amp;")",""))</f>
        <v>70*60(-7,010)</v>
      </c>
    </row>
    <row r="31" customFormat="false" ht="15" hidden="true" customHeight="true" outlineLevel="0" collapsed="false">
      <c r="A31" s="128" t="n">
        <v>10</v>
      </c>
      <c r="B31" s="115" t="str">
        <f aca="false">마스터!B23</f>
        <v>유포지/품절</v>
      </c>
      <c r="C31" s="115" t="str">
        <f aca="false">마스터!C23</f>
        <v>100*70</v>
      </c>
      <c r="D31" s="116" t="n">
        <f aca="false">마스터!P23</f>
        <v>10590</v>
      </c>
      <c r="E31" s="116" t="n">
        <f aca="false">IF(ISNUMBER(D31),ROUNDDOWN(D31*(1+$F$17),-1),"")</f>
        <v>5290</v>
      </c>
      <c r="F31" s="116" t="n">
        <f aca="false">IF(ISNUMBER(D31),ROUNDDOWN(D31*(1+$F$18),-1),"")</f>
        <v>21180</v>
      </c>
      <c r="G31" s="117" t="n">
        <f aca="false">SUMPRODUCT(--(LEN(J31:AG31)&gt;0))</f>
        <v>8</v>
      </c>
      <c r="H31" s="119" t="str">
        <f aca="false">IF(G31&gt;0,_xlfn.TEXTJOIN(", ",TRUE(),J31:AG31),IF(ISNUMBER(D31),"옵션 가능한 사이즈 없음","가격 미정 — 판매가 입력 필요"))</f>
        <v>100*80(-1,670), 100*150(-390), 60*40(-4,810), 70*50(-4,610), 100*90(+3,340), 100*35(+3,590), 40*20(-4,450), 70*60(-3,420)</v>
      </c>
      <c r="J31" s="1" t="str">
        <f aca="false">IF(OR(NOT(ISNUMBER($E31)),NOT(ISNUMBER(마스터!$P$18))),"",IF(AND(마스터!$P$18&gt;=$E31,마스터!$P$18&lt;=$F31,OR($F$19=0,마스터!$G$18&gt;0)),마스터!$C$18&amp;"("&amp;IF(마스터!$P$18-$D31&gt;=0,"+","")&amp;TEXT(마스터!$P$18-$D31,"#,##0")&amp;")",""))</f>
        <v/>
      </c>
      <c r="K31" s="1" t="str">
        <f aca="false">IF(OR(NOT(ISNUMBER($E31)),NOT(ISNUMBER(마스터!$P$26))),"",IF(AND(마스터!$P$26&gt;=$E31,마스터!$P$26&lt;=$F31,OR($F$19=0,마스터!$G$26&gt;0)),마스터!$C$26&amp;"("&amp;IF(마스터!$P$26-$D31&gt;=0,"+","")&amp;TEXT(마스터!$P$26-$D31,"#,##0")&amp;")",""))</f>
        <v/>
      </c>
      <c r="L31" s="1" t="str">
        <f aca="false">IF(OR(NOT(ISNUMBER($E31)),NOT(ISNUMBER(마스터!$P$24))),"",IF(AND(마스터!$P$24&gt;=$E31,마스터!$P$24&lt;=$F31,OR($F$19=0,마스터!$G$24&gt;0)),마스터!$C$24&amp;"("&amp;IF(마스터!$P$24-$D31&gt;=0,"+","")&amp;TEXT(마스터!$P$24-$D31,"#,##0")&amp;")",""))</f>
        <v>100*80(-1,670)</v>
      </c>
      <c r="M31" s="1" t="str">
        <f aca="false">IF(OR(NOT(ISNUMBER($E31)),NOT(ISNUMBER(마스터!$P$16))),"",IF(AND(마스터!$P$16&gt;=$E31,마스터!$P$16&lt;=$F31,OR($F$19=0,마스터!$G$16&gt;0)),마스터!$C$16&amp;"("&amp;IF(마스터!$P$16-$D31&gt;=0,"+","")&amp;TEXT(마스터!$P$16-$D31,"#,##0")&amp;")",""))</f>
        <v/>
      </c>
      <c r="N31" s="1" t="str">
        <f aca="false">IF(OR(NOT(ISNUMBER($E31)),NOT(ISNUMBER(마스터!$P$27))),"",IF(AND(마스터!$P$27&gt;=$E31,마스터!$P$27&lt;=$F31,OR($F$19=0,마스터!$G$27&gt;0)),마스터!$C$27&amp;"("&amp;IF(마스터!$P$27-$D31&gt;=0,"+","")&amp;TEXT(마스터!$P$27-$D31,"#,##0")&amp;")",""))</f>
        <v>100*150(-390)</v>
      </c>
      <c r="O31" s="1" t="str">
        <f aca="false">IF(OR(NOT(ISNUMBER($E31)),NOT(ISNUMBER(마스터!$P$19))),"",IF(AND(마스터!$P$19&gt;=$E31,마스터!$P$19&lt;=$F31,OR($F$19=0,마스터!$G$19&gt;0)),마스터!$C$19&amp;"("&amp;IF(마스터!$P$19-$D31&gt;=0,"+","")&amp;TEXT(마스터!$P$19-$D31,"#,##0")&amp;")",""))</f>
        <v>60*40(-4,810)</v>
      </c>
      <c r="P31" s="1" t="str">
        <f aca="false">IF(OR(NOT(ISNUMBER($E31)),NOT(ISNUMBER(마스터!$P$20))),"",IF(AND(마스터!$P$20&gt;=$E31,마스터!$P$20&lt;=$F31,OR($F$19=0,마스터!$G$20&gt;0)),마스터!$C$20&amp;"("&amp;IF(마스터!$P$20-$D31&gt;=0,"+","")&amp;TEXT(마스터!$P$20-$D31,"#,##0")&amp;")",""))</f>
        <v>70*50(-4,610)</v>
      </c>
      <c r="Q31" s="1" t="str">
        <f aca="false">IF(OR(NOT(ISNUMBER($E31)),NOT(ISNUMBER(마스터!$P$25))),"",IF(AND(마스터!$P$25&gt;=$E31,마스터!$P$25&lt;=$F31,OR($F$19=0,마스터!$G$25&gt;0)),마스터!$C$25&amp;"("&amp;IF(마스터!$P$25-$D31&gt;=0,"+","")&amp;TEXT(마스터!$P$25-$D31,"#,##0")&amp;")",""))</f>
        <v>100*90(+3,340)</v>
      </c>
      <c r="R31" s="1" t="str">
        <f aca="false">IF(OR(NOT(ISNUMBER($E31)),NOT(ISNUMBER(마스터!$P$22))),"",IF(AND(마스터!$P$22&gt;=$E31,마스터!$P$22&lt;=$F31,OR($F$19=0,마스터!$G$22&gt;0)),마스터!$C$22&amp;"("&amp;IF(마스터!$P$22-$D31&gt;=0,"+","")&amp;TEXT(마스터!$P$22-$D31,"#,##0")&amp;")",""))</f>
        <v>100*35(+3,590)</v>
      </c>
      <c r="T31" s="1" t="str">
        <f aca="false">IF(OR(NOT(ISNUMBER($E31)),NOT(ISNUMBER(마스터!$P$17))),"",IF(AND(마스터!$P$17&gt;=$E31,마스터!$P$17&lt;=$F31,OR($F$19=0,마스터!$G$17&gt;0)),마스터!$C$17&amp;"("&amp;IF(마스터!$P$17-$D31&gt;=0,"+","")&amp;TEXT(마스터!$P$17-$D31,"#,##0")&amp;")",""))</f>
        <v>40*20(-4,450)</v>
      </c>
      <c r="U31" s="1" t="str">
        <f aca="false">IF(OR(NOT(ISNUMBER($E31)),NOT(ISNUMBER(마스터!$P$21))),"",IF(AND(마스터!$P$21&gt;=$E31,마스터!$P$21&lt;=$F31,OR($F$19=0,마스터!$G$21&gt;0)),마스터!$C$21&amp;"("&amp;IF(마스터!$P$21-$D31&gt;=0,"+","")&amp;TEXT(마스터!$P$21-$D31,"#,##0")&amp;")",""))</f>
        <v>70*60(-3,420)</v>
      </c>
    </row>
    <row r="32" customFormat="false" ht="15" hidden="true" customHeight="true" outlineLevel="0" collapsed="false">
      <c r="A32" s="128" t="n">
        <v>11</v>
      </c>
      <c r="B32" s="9" t="str">
        <f aca="false">마스터!B17</f>
        <v>유포지</v>
      </c>
      <c r="C32" s="9" t="str">
        <f aca="false">마스터!C17</f>
        <v>40*20</v>
      </c>
      <c r="D32" s="20" t="n">
        <f aca="false">마스터!P17</f>
        <v>6140</v>
      </c>
      <c r="E32" s="20" t="n">
        <f aca="false">IF(ISNUMBER(D32),ROUNDDOWN(D32*(1+$F$17),-1),"")</f>
        <v>3070</v>
      </c>
      <c r="F32" s="20" t="n">
        <f aca="false">IF(ISNUMBER(D32),ROUNDDOWN(D32*(1+$F$18),-1),"")</f>
        <v>12280</v>
      </c>
      <c r="G32" s="120" t="n">
        <f aca="false">SUMPRODUCT(--(LEN(J32:AG32)&gt;0))</f>
        <v>6</v>
      </c>
      <c r="H32" s="130" t="str">
        <f aca="false">IF(G32&gt;0,_xlfn.TEXTJOIN(", ",TRUE(),J32:AG32),IF(ISNUMBER(D32),"옵션 가능한 사이즈 없음","가격 미정 — 판매가 입력 필요"))</f>
        <v>100*80(+2,780), 30*15(-1,120), 100*150(+4,060), 60*40(-360), 70*50(-160), 70*60(+1,030)</v>
      </c>
      <c r="J32" s="1" t="str">
        <f aca="false">IF(OR(NOT(ISNUMBER($E32)),NOT(ISNUMBER(마스터!$P$18))),"",IF(AND(마스터!$P$18&gt;=$E32,마스터!$P$18&lt;=$F32,OR($F$19=0,마스터!$G$18&gt;0)),마스터!$C$18&amp;"("&amp;IF(마스터!$P$18-$D32&gt;=0,"+","")&amp;TEXT(마스터!$P$18-$D32,"#,##0")&amp;")",""))</f>
        <v/>
      </c>
      <c r="K32" s="1" t="str">
        <f aca="false">IF(OR(NOT(ISNUMBER($E32)),NOT(ISNUMBER(마스터!$P$26))),"",IF(AND(마스터!$P$26&gt;=$E32,마스터!$P$26&lt;=$F32,OR($F$19=0,마스터!$G$26&gt;0)),마스터!$C$26&amp;"("&amp;IF(마스터!$P$26-$D32&gt;=0,"+","")&amp;TEXT(마스터!$P$26-$D32,"#,##0")&amp;")",""))</f>
        <v/>
      </c>
      <c r="L32" s="1" t="str">
        <f aca="false">IF(OR(NOT(ISNUMBER($E32)),NOT(ISNUMBER(마스터!$P$24))),"",IF(AND(마스터!$P$24&gt;=$E32,마스터!$P$24&lt;=$F32,OR($F$19=0,마스터!$G$24&gt;0)),마스터!$C$24&amp;"("&amp;IF(마스터!$P$24-$D32&gt;=0,"+","")&amp;TEXT(마스터!$P$24-$D32,"#,##0")&amp;")",""))</f>
        <v>100*80(+2,780)</v>
      </c>
      <c r="M32" s="1" t="str">
        <f aca="false">IF(OR(NOT(ISNUMBER($E32)),NOT(ISNUMBER(마스터!$P$16))),"",IF(AND(마스터!$P$16&gt;=$E32,마스터!$P$16&lt;=$F32,OR($F$19=0,마스터!$G$16&gt;0)),마스터!$C$16&amp;"("&amp;IF(마스터!$P$16-$D32&gt;=0,"+","")&amp;TEXT(마스터!$P$16-$D32,"#,##0")&amp;")",""))</f>
        <v>30*15(-1,120)</v>
      </c>
      <c r="N32" s="1" t="str">
        <f aca="false">IF(OR(NOT(ISNUMBER($E32)),NOT(ISNUMBER(마스터!$P$27))),"",IF(AND(마스터!$P$27&gt;=$E32,마스터!$P$27&lt;=$F32,OR($F$19=0,마스터!$G$27&gt;0)),마스터!$C$27&amp;"("&amp;IF(마스터!$P$27-$D32&gt;=0,"+","")&amp;TEXT(마스터!$P$27-$D32,"#,##0")&amp;")",""))</f>
        <v>100*150(+4,060)</v>
      </c>
      <c r="O32" s="1" t="str">
        <f aca="false">IF(OR(NOT(ISNUMBER($E32)),NOT(ISNUMBER(마스터!$P$19))),"",IF(AND(마스터!$P$19&gt;=$E32,마스터!$P$19&lt;=$F32,OR($F$19=0,마스터!$G$19&gt;0)),마스터!$C$19&amp;"("&amp;IF(마스터!$P$19-$D32&gt;=0,"+","")&amp;TEXT(마스터!$P$19-$D32,"#,##0")&amp;")",""))</f>
        <v>60*40(-360)</v>
      </c>
      <c r="P32" s="1" t="str">
        <f aca="false">IF(OR(NOT(ISNUMBER($E32)),NOT(ISNUMBER(마스터!$P$20))),"",IF(AND(마스터!$P$20&gt;=$E32,마스터!$P$20&lt;=$F32,OR($F$19=0,마스터!$G$20&gt;0)),마스터!$C$20&amp;"("&amp;IF(마스터!$P$20-$D32&gt;=0,"+","")&amp;TEXT(마스터!$P$20-$D32,"#,##0")&amp;")",""))</f>
        <v>70*50(-160)</v>
      </c>
      <c r="Q32" s="1" t="str">
        <f aca="false">IF(OR(NOT(ISNUMBER($E32)),NOT(ISNUMBER(마스터!$P$25))),"",IF(AND(마스터!$P$25&gt;=$E32,마스터!$P$25&lt;=$F32,OR($F$19=0,마스터!$G$25&gt;0)),마스터!$C$25&amp;"("&amp;IF(마스터!$P$25-$D32&gt;=0,"+","")&amp;TEXT(마스터!$P$25-$D32,"#,##0")&amp;")",""))</f>
        <v/>
      </c>
      <c r="R32" s="1" t="str">
        <f aca="false">IF(OR(NOT(ISNUMBER($E32)),NOT(ISNUMBER(마스터!$P$22))),"",IF(AND(마스터!$P$22&gt;=$E32,마스터!$P$22&lt;=$F32,OR($F$19=0,마스터!$G$22&gt;0)),마스터!$C$22&amp;"("&amp;IF(마스터!$P$22-$D32&gt;=0,"+","")&amp;TEXT(마스터!$P$22-$D32,"#,##0")&amp;")",""))</f>
        <v/>
      </c>
      <c r="S32" s="1" t="str">
        <f aca="false">IF(OR(NOT(ISNUMBER($E32)),NOT(ISNUMBER(마스터!$P$23))),"",IF(AND(마스터!$P$23&gt;=$E32,마스터!$P$23&lt;=$F32,OR($F$19=0,마스터!$G$23&gt;0)),마스터!$C$23&amp;"("&amp;IF(마스터!$P$23-$D32&gt;=0,"+","")&amp;TEXT(마스터!$P$23-$D32,"#,##0")&amp;")",""))</f>
        <v/>
      </c>
      <c r="U32" s="1" t="str">
        <f aca="false">IF(OR(NOT(ISNUMBER($E32)),NOT(ISNUMBER(마스터!$P$21))),"",IF(AND(마스터!$P$21&gt;=$E32,마스터!$P$21&lt;=$F32,OR($F$19=0,마스터!$G$21&gt;0)),마스터!$C$21&amp;"("&amp;IF(마스터!$P$21-$D32&gt;=0,"+","")&amp;TEXT(마스터!$P$21-$D32,"#,##0")&amp;")",""))</f>
        <v>70*60(+1,030)</v>
      </c>
    </row>
    <row r="33" customFormat="false" ht="15" hidden="true" customHeight="true" outlineLevel="0" collapsed="false">
      <c r="A33" s="128" t="n">
        <v>12</v>
      </c>
      <c r="B33" s="9" t="str">
        <f aca="false">마스터!B21</f>
        <v>유포지</v>
      </c>
      <c r="C33" s="9" t="str">
        <f aca="false">마스터!C21</f>
        <v>70*60</v>
      </c>
      <c r="D33" s="20" t="n">
        <f aca="false">마스터!P21</f>
        <v>7170</v>
      </c>
      <c r="E33" s="20" t="n">
        <f aca="false">IF(ISNUMBER(D33),ROUNDDOWN(D33*(1+$F$17),-1),"")</f>
        <v>3580</v>
      </c>
      <c r="F33" s="20" t="n">
        <f aca="false">IF(ISNUMBER(D33),ROUNDDOWN(D33*(1+$F$18),-1),"")</f>
        <v>14340</v>
      </c>
      <c r="G33" s="120" t="n">
        <f aca="false">SUMPRODUCT(--(LEN(J33:AG33)&gt;0))</f>
        <v>8</v>
      </c>
      <c r="H33" s="130" t="str">
        <f aca="false">IF(G33&gt;0,_xlfn.TEXTJOIN(", ",TRUE(),J33:AG33),IF(ISNUMBER(D33),"옵션 가능한 사이즈 없음","가격 미정 — 판매가 입력 필요"))</f>
        <v>100*80(+1,750), 30*15(-2,150), 100*150(+3,030), 60*40(-1,390), 70*50(-1,190), 100*90(+6,760), 100*35(+7,010), 40*20(-1,030)</v>
      </c>
      <c r="J33" s="1" t="str">
        <f aca="false">IF(OR(NOT(ISNUMBER($E33)),NOT(ISNUMBER(마스터!$P$18))),"",IF(AND(마스터!$P$18&gt;=$E33,마스터!$P$18&lt;=$F33,OR($F$19=0,마스터!$G$18&gt;0)),마스터!$C$18&amp;"("&amp;IF(마스터!$P$18-$D33&gt;=0,"+","")&amp;TEXT(마스터!$P$18-$D33,"#,##0")&amp;")",""))</f>
        <v/>
      </c>
      <c r="K33" s="1" t="str">
        <f aca="false">IF(OR(NOT(ISNUMBER($E33)),NOT(ISNUMBER(마스터!$P$26))),"",IF(AND(마스터!$P$26&gt;=$E33,마스터!$P$26&lt;=$F33,OR($F$19=0,마스터!$G$26&gt;0)),마스터!$C$26&amp;"("&amp;IF(마스터!$P$26-$D33&gt;=0,"+","")&amp;TEXT(마스터!$P$26-$D33,"#,##0")&amp;")",""))</f>
        <v/>
      </c>
      <c r="L33" s="1" t="str">
        <f aca="false">IF(OR(NOT(ISNUMBER($E33)),NOT(ISNUMBER(마스터!$P$24))),"",IF(AND(마스터!$P$24&gt;=$E33,마스터!$P$24&lt;=$F33,OR($F$19=0,마스터!$G$24&gt;0)),마스터!$C$24&amp;"("&amp;IF(마스터!$P$24-$D33&gt;=0,"+","")&amp;TEXT(마스터!$P$24-$D33,"#,##0")&amp;")",""))</f>
        <v>100*80(+1,750)</v>
      </c>
      <c r="M33" s="1" t="str">
        <f aca="false">IF(OR(NOT(ISNUMBER($E33)),NOT(ISNUMBER(마스터!$P$16))),"",IF(AND(마스터!$P$16&gt;=$E33,마스터!$P$16&lt;=$F33,OR($F$19=0,마스터!$G$16&gt;0)),마스터!$C$16&amp;"("&amp;IF(마스터!$P$16-$D33&gt;=0,"+","")&amp;TEXT(마스터!$P$16-$D33,"#,##0")&amp;")",""))</f>
        <v>30*15(-2,150)</v>
      </c>
      <c r="N33" s="1" t="str">
        <f aca="false">IF(OR(NOT(ISNUMBER($E33)),NOT(ISNUMBER(마스터!$P$27))),"",IF(AND(마스터!$P$27&gt;=$E33,마스터!$P$27&lt;=$F33,OR($F$19=0,마스터!$G$27&gt;0)),마스터!$C$27&amp;"("&amp;IF(마스터!$P$27-$D33&gt;=0,"+","")&amp;TEXT(마스터!$P$27-$D33,"#,##0")&amp;")",""))</f>
        <v>100*150(+3,030)</v>
      </c>
      <c r="O33" s="1" t="str">
        <f aca="false">IF(OR(NOT(ISNUMBER($E33)),NOT(ISNUMBER(마스터!$P$19))),"",IF(AND(마스터!$P$19&gt;=$E33,마스터!$P$19&lt;=$F33,OR($F$19=0,마스터!$G$19&gt;0)),마스터!$C$19&amp;"("&amp;IF(마스터!$P$19-$D33&gt;=0,"+","")&amp;TEXT(마스터!$P$19-$D33,"#,##0")&amp;")",""))</f>
        <v>60*40(-1,390)</v>
      </c>
      <c r="P33" s="1" t="str">
        <f aca="false">IF(OR(NOT(ISNUMBER($E33)),NOT(ISNUMBER(마스터!$P$20))),"",IF(AND(마스터!$P$20&gt;=$E33,마스터!$P$20&lt;=$F33,OR($F$19=0,마스터!$G$20&gt;0)),마스터!$C$20&amp;"("&amp;IF(마스터!$P$20-$D33&gt;=0,"+","")&amp;TEXT(마스터!$P$20-$D33,"#,##0")&amp;")",""))</f>
        <v>70*50(-1,190)</v>
      </c>
      <c r="Q33" s="1" t="str">
        <f aca="false">IF(OR(NOT(ISNUMBER($E33)),NOT(ISNUMBER(마스터!$P$25))),"",IF(AND(마스터!$P$25&gt;=$E33,마스터!$P$25&lt;=$F33,OR($F$19=0,마스터!$G$25&gt;0)),마스터!$C$25&amp;"("&amp;IF(마스터!$P$25-$D33&gt;=0,"+","")&amp;TEXT(마스터!$P$25-$D33,"#,##0")&amp;")",""))</f>
        <v>100*90(+6,760)</v>
      </c>
      <c r="R33" s="1" t="str">
        <f aca="false">IF(OR(NOT(ISNUMBER($E33)),NOT(ISNUMBER(마스터!$P$22))),"",IF(AND(마스터!$P$22&gt;=$E33,마스터!$P$22&lt;=$F33,OR($F$19=0,마스터!$G$22&gt;0)),마스터!$C$22&amp;"("&amp;IF(마스터!$P$22-$D33&gt;=0,"+","")&amp;TEXT(마스터!$P$22-$D33,"#,##0")&amp;")",""))</f>
        <v>100*35(+7,010)</v>
      </c>
      <c r="S33" s="1" t="str">
        <f aca="false">IF(OR(NOT(ISNUMBER($E33)),NOT(ISNUMBER(마스터!$P$23))),"",IF(AND(마스터!$P$23&gt;=$E33,마스터!$P$23&lt;=$F33,OR($F$19=0,마스터!$G$23&gt;0)),마스터!$C$23&amp;"("&amp;IF(마스터!$P$23-$D33&gt;=0,"+","")&amp;TEXT(마스터!$P$23-$D33,"#,##0")&amp;")",""))</f>
        <v/>
      </c>
      <c r="T33" s="1" t="str">
        <f aca="false">IF(OR(NOT(ISNUMBER($E33)),NOT(ISNUMBER(마스터!$P$17))),"",IF(AND(마스터!$P$17&gt;=$E33,마스터!$P$17&lt;=$F33,OR($F$19=0,마스터!$G$17&gt;0)),마스터!$C$17&amp;"("&amp;IF(마스터!$P$17-$D33&gt;=0,"+","")&amp;TEXT(마스터!$P$17-$D33,"#,##0")&amp;")",""))</f>
        <v>40*20(-1,030)</v>
      </c>
    </row>
    <row r="34" customFormat="false" ht="15" hidden="false" customHeight="true" outlineLevel="0" collapsed="false">
      <c r="A34" s="17"/>
      <c r="B34" s="9"/>
      <c r="C34" s="9"/>
      <c r="D34" s="20"/>
      <c r="E34" s="20"/>
      <c r="F34" s="20"/>
      <c r="G34" s="120"/>
      <c r="H34" s="122"/>
    </row>
    <row r="35" customFormat="false" ht="15" hidden="false" customHeight="true" outlineLevel="0" collapsed="false">
      <c r="A35" s="17"/>
      <c r="B35" s="9"/>
      <c r="C35" s="9"/>
      <c r="D35" s="20"/>
      <c r="E35" s="20"/>
      <c r="F35" s="20"/>
      <c r="G35" s="120"/>
      <c r="H35" s="1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false" showRowColHeaders="true" showZeros="true" rightToLeft="false" tabSelected="true" showOutlineSymbols="true" defaultGridColor="true" view="normal" topLeftCell="A33" colorId="64" zoomScale="117" zoomScaleNormal="117" zoomScalePageLayoutView="100" workbookViewId="0">
      <selection pane="topLeft" activeCell="A53" activeCellId="0" sqref="A53"/>
    </sheetView>
  </sheetViews>
  <sheetFormatPr defaultColWidth="8.71484375" defaultRowHeight="15" zeroHeight="false" outlineLevelRow="0" outlineLevelCol="0"/>
  <cols>
    <col collapsed="false" customWidth="true" hidden="false" outlineLevel="0" max="2" min="1" style="48" width="13"/>
    <col collapsed="false" customWidth="true" hidden="false" outlineLevel="0" max="3" min="3" style="48" width="10"/>
    <col collapsed="false" customWidth="true" hidden="false" outlineLevel="0" max="4" min="4" style="48" width="14"/>
    <col collapsed="false" customWidth="true" hidden="true" outlineLevel="0" max="5" min="5" style="48" width="12"/>
    <col collapsed="false" customWidth="true" hidden="false" outlineLevel="0" max="6" min="6" style="48" width="13"/>
    <col collapsed="false" customWidth="true" hidden="false" outlineLevel="0" max="7" min="7" style="131" width="11"/>
    <col collapsed="false" customWidth="true" hidden="false" outlineLevel="0" max="8" min="8" style="48" width="28"/>
  </cols>
  <sheetData>
    <row r="1" customFormat="false" ht="31.5" hidden="false" customHeight="true" outlineLevel="0" collapsed="false">
      <c r="A1" s="132"/>
      <c r="B1" s="133" t="s">
        <v>179</v>
      </c>
      <c r="C1" s="132"/>
      <c r="D1" s="132"/>
      <c r="E1" s="132"/>
      <c r="F1" s="132"/>
      <c r="G1" s="134"/>
      <c r="H1" s="132"/>
    </row>
    <row r="2" customFormat="false" ht="36" hidden="false" customHeight="true" outlineLevel="0" collapsed="false">
      <c r="A2" s="135" t="s">
        <v>180</v>
      </c>
      <c r="B2" s="135" t="s">
        <v>181</v>
      </c>
      <c r="C2" s="135" t="s">
        <v>4</v>
      </c>
      <c r="D2" s="135" t="s">
        <v>182</v>
      </c>
      <c r="E2" s="135" t="s">
        <v>183</v>
      </c>
      <c r="F2" s="135" t="s">
        <v>184</v>
      </c>
      <c r="G2" s="136" t="s">
        <v>185</v>
      </c>
      <c r="H2" s="135" t="s">
        <v>27</v>
      </c>
    </row>
    <row r="3" customFormat="false" ht="18" hidden="false" customHeight="true" outlineLevel="0" collapsed="false">
      <c r="A3" s="137" t="n">
        <v>46119</v>
      </c>
      <c r="B3" s="138" t="n">
        <v>46261</v>
      </c>
      <c r="C3" s="139" t="s">
        <v>50</v>
      </c>
      <c r="D3" s="140" t="s">
        <v>61</v>
      </c>
      <c r="E3" s="141"/>
      <c r="F3" s="142" t="s">
        <v>78</v>
      </c>
      <c r="G3" s="143" t="n">
        <v>19</v>
      </c>
      <c r="H3" s="144" t="s">
        <v>186</v>
      </c>
    </row>
    <row r="4" customFormat="false" ht="18" hidden="false" customHeight="true" outlineLevel="0" collapsed="false">
      <c r="A4" s="137" t="n">
        <v>46119</v>
      </c>
      <c r="B4" s="138" t="n">
        <v>46191</v>
      </c>
      <c r="C4" s="139" t="s">
        <v>30</v>
      </c>
      <c r="D4" s="145" t="s">
        <v>47</v>
      </c>
      <c r="E4" s="141" t="n">
        <v>7980</v>
      </c>
      <c r="F4" s="146" t="s">
        <v>80</v>
      </c>
      <c r="G4" s="147" t="n">
        <v>10</v>
      </c>
      <c r="H4" s="148" t="s">
        <v>187</v>
      </c>
    </row>
    <row r="5" customFormat="false" ht="18" hidden="false" customHeight="true" outlineLevel="0" collapsed="false">
      <c r="A5" s="137" t="n">
        <v>46119</v>
      </c>
      <c r="B5" s="138" t="n">
        <v>46272</v>
      </c>
      <c r="C5" s="139" t="s">
        <v>30</v>
      </c>
      <c r="D5" s="140" t="s">
        <v>47</v>
      </c>
      <c r="E5" s="141"/>
      <c r="F5" s="139" t="s">
        <v>80</v>
      </c>
      <c r="G5" s="149" t="n">
        <v>1</v>
      </c>
      <c r="H5" s="140"/>
    </row>
    <row r="6" customFormat="false" ht="18" hidden="false" customHeight="true" outlineLevel="0" collapsed="false">
      <c r="A6" s="137" t="n">
        <v>46119</v>
      </c>
      <c r="B6" s="137" t="n">
        <v>46261</v>
      </c>
      <c r="C6" s="139" t="s">
        <v>68</v>
      </c>
      <c r="D6" s="140" t="s">
        <v>69</v>
      </c>
      <c r="E6" s="141" t="n">
        <v>6930</v>
      </c>
      <c r="F6" s="150" t="s">
        <v>77</v>
      </c>
      <c r="G6" s="149" t="n">
        <v>1</v>
      </c>
      <c r="H6" s="151"/>
    </row>
    <row r="7" customFormat="false" ht="18" hidden="false" customHeight="true" outlineLevel="0" collapsed="false">
      <c r="A7" s="137" t="n">
        <v>46119</v>
      </c>
      <c r="B7" s="138" t="n">
        <v>46261</v>
      </c>
      <c r="C7" s="148" t="s">
        <v>50</v>
      </c>
      <c r="D7" s="145" t="s">
        <v>51</v>
      </c>
      <c r="E7" s="141" t="n">
        <v>5030</v>
      </c>
      <c r="F7" s="150" t="s">
        <v>77</v>
      </c>
      <c r="G7" s="152" t="n">
        <v>2</v>
      </c>
      <c r="H7" s="153" t="s">
        <v>188</v>
      </c>
    </row>
    <row r="8" customFormat="false" ht="18" hidden="false" customHeight="true" outlineLevel="0" collapsed="false">
      <c r="A8" s="137" t="n">
        <v>46119</v>
      </c>
      <c r="B8" s="137" t="n">
        <v>46260</v>
      </c>
      <c r="C8" s="139" t="s">
        <v>50</v>
      </c>
      <c r="D8" s="140" t="s">
        <v>56</v>
      </c>
      <c r="E8" s="141"/>
      <c r="F8" s="146" t="s">
        <v>80</v>
      </c>
      <c r="G8" s="154" t="n">
        <v>1</v>
      </c>
      <c r="H8" s="144" t="s">
        <v>189</v>
      </c>
    </row>
    <row r="9" customFormat="false" ht="18" hidden="false" customHeight="true" outlineLevel="0" collapsed="false">
      <c r="A9" s="137" t="n">
        <v>46119</v>
      </c>
      <c r="B9" s="138" t="n">
        <v>46258</v>
      </c>
      <c r="C9" s="148" t="s">
        <v>50</v>
      </c>
      <c r="D9" s="145" t="s">
        <v>56</v>
      </c>
      <c r="E9" s="141"/>
      <c r="F9" s="146" t="s">
        <v>80</v>
      </c>
      <c r="G9" s="147" t="n">
        <v>4</v>
      </c>
      <c r="H9" s="148"/>
    </row>
    <row r="10" customFormat="false" ht="18" hidden="false" customHeight="true" outlineLevel="0" collapsed="false">
      <c r="A10" s="137" t="n">
        <v>46119</v>
      </c>
      <c r="B10" s="137" t="n">
        <v>46255</v>
      </c>
      <c r="C10" s="139" t="s">
        <v>50</v>
      </c>
      <c r="D10" s="140" t="s">
        <v>47</v>
      </c>
      <c r="E10" s="141"/>
      <c r="F10" s="146" t="s">
        <v>80</v>
      </c>
      <c r="G10" s="154" t="n">
        <v>1</v>
      </c>
      <c r="H10" s="151"/>
    </row>
    <row r="11" customFormat="false" ht="18" hidden="false" customHeight="true" outlineLevel="0" collapsed="false">
      <c r="A11" s="137" t="n">
        <v>46119</v>
      </c>
      <c r="B11" s="138" t="n">
        <v>46255</v>
      </c>
      <c r="C11" s="148" t="s">
        <v>50</v>
      </c>
      <c r="D11" s="145" t="s">
        <v>47</v>
      </c>
      <c r="E11" s="141"/>
      <c r="F11" s="146" t="s">
        <v>80</v>
      </c>
      <c r="G11" s="147" t="n">
        <v>5</v>
      </c>
      <c r="H11" s="148"/>
    </row>
    <row r="12" customFormat="false" ht="18" hidden="false" customHeight="true" outlineLevel="0" collapsed="false">
      <c r="A12" s="137" t="n">
        <v>46119</v>
      </c>
      <c r="B12" s="137" t="n">
        <v>46255</v>
      </c>
      <c r="C12" s="139" t="s">
        <v>50</v>
      </c>
      <c r="D12" s="140" t="s">
        <v>47</v>
      </c>
      <c r="E12" s="141"/>
      <c r="F12" s="146" t="s">
        <v>80</v>
      </c>
      <c r="G12" s="154" t="n">
        <v>1</v>
      </c>
      <c r="H12" s="151"/>
    </row>
    <row r="13" customFormat="false" ht="18" hidden="false" customHeight="true" outlineLevel="0" collapsed="false">
      <c r="A13" s="137" t="n">
        <v>46119</v>
      </c>
      <c r="B13" s="137" t="n">
        <v>46255</v>
      </c>
      <c r="C13" s="139" t="s">
        <v>68</v>
      </c>
      <c r="D13" s="140" t="s">
        <v>47</v>
      </c>
      <c r="E13" s="141" t="n">
        <v>9350</v>
      </c>
      <c r="F13" s="142" t="s">
        <v>78</v>
      </c>
      <c r="G13" s="143" t="n">
        <v>16</v>
      </c>
      <c r="H13" s="151"/>
    </row>
    <row r="14" customFormat="false" ht="18" hidden="false" customHeight="true" outlineLevel="0" collapsed="false">
      <c r="A14" s="137" t="n">
        <v>46119</v>
      </c>
      <c r="B14" s="138" t="n">
        <v>46261</v>
      </c>
      <c r="C14" s="148" t="s">
        <v>30</v>
      </c>
      <c r="D14" s="145" t="s">
        <v>44</v>
      </c>
      <c r="E14" s="141" t="n">
        <v>7150</v>
      </c>
      <c r="F14" s="150" t="s">
        <v>77</v>
      </c>
      <c r="G14" s="152" t="n">
        <v>2</v>
      </c>
      <c r="H14" s="148"/>
    </row>
    <row r="15" customFormat="false" ht="18" hidden="false" customHeight="true" outlineLevel="0" collapsed="false">
      <c r="A15" s="137" t="n">
        <v>46119</v>
      </c>
      <c r="B15" s="137" t="n">
        <v>46247</v>
      </c>
      <c r="C15" s="139" t="s">
        <v>50</v>
      </c>
      <c r="D15" s="140" t="s">
        <v>47</v>
      </c>
      <c r="E15" s="141"/>
      <c r="F15" s="146" t="s">
        <v>80</v>
      </c>
      <c r="G15" s="154" t="n">
        <v>2</v>
      </c>
      <c r="H15" s="151"/>
    </row>
    <row r="16" customFormat="false" ht="18" hidden="false" customHeight="true" outlineLevel="0" collapsed="false">
      <c r="A16" s="137" t="n">
        <v>46119</v>
      </c>
      <c r="B16" s="138" t="n">
        <v>46247</v>
      </c>
      <c r="C16" s="148" t="s">
        <v>50</v>
      </c>
      <c r="D16" s="145" t="s">
        <v>47</v>
      </c>
      <c r="E16" s="141"/>
      <c r="F16" s="146" t="s">
        <v>80</v>
      </c>
      <c r="G16" s="147" t="n">
        <v>5</v>
      </c>
      <c r="H16" s="148"/>
    </row>
    <row r="17" customFormat="false" ht="18" hidden="false" customHeight="true" outlineLevel="0" collapsed="false">
      <c r="A17" s="137" t="n">
        <v>46119</v>
      </c>
      <c r="B17" s="138" t="n">
        <v>46241</v>
      </c>
      <c r="C17" s="148" t="s">
        <v>50</v>
      </c>
      <c r="D17" s="145" t="s">
        <v>59</v>
      </c>
      <c r="E17" s="141"/>
      <c r="F17" s="146" t="s">
        <v>80</v>
      </c>
      <c r="G17" s="147" t="n">
        <v>1</v>
      </c>
      <c r="H17" s="145"/>
    </row>
    <row r="18" customFormat="false" ht="18" hidden="false" customHeight="true" outlineLevel="0" collapsed="false">
      <c r="A18" s="137" t="n">
        <v>46119</v>
      </c>
      <c r="B18" s="137" t="n">
        <v>46238</v>
      </c>
      <c r="C18" s="139" t="s">
        <v>50</v>
      </c>
      <c r="D18" s="140" t="s">
        <v>63</v>
      </c>
      <c r="E18" s="141"/>
      <c r="F18" s="146" t="s">
        <v>80</v>
      </c>
      <c r="G18" s="154" t="n">
        <v>2</v>
      </c>
      <c r="H18" s="140"/>
    </row>
    <row r="19" customFormat="false" ht="18" hidden="false" customHeight="true" outlineLevel="0" collapsed="false">
      <c r="A19" s="137" t="n">
        <v>46119</v>
      </c>
      <c r="B19" s="137" t="n">
        <v>46234</v>
      </c>
      <c r="C19" s="139" t="s">
        <v>50</v>
      </c>
      <c r="D19" s="145" t="s">
        <v>63</v>
      </c>
      <c r="E19" s="141"/>
      <c r="F19" s="150" t="s">
        <v>77</v>
      </c>
      <c r="G19" s="149" t="n">
        <v>1</v>
      </c>
      <c r="H19" s="140"/>
    </row>
    <row r="20" customFormat="false" ht="18" hidden="false" customHeight="true" outlineLevel="0" collapsed="false">
      <c r="A20" s="137" t="n">
        <v>46119</v>
      </c>
      <c r="B20" s="138" t="n">
        <v>46254</v>
      </c>
      <c r="C20" s="148" t="s">
        <v>30</v>
      </c>
      <c r="D20" s="145" t="s">
        <v>44</v>
      </c>
      <c r="E20" s="141" t="n">
        <v>7150</v>
      </c>
      <c r="F20" s="142" t="s">
        <v>78</v>
      </c>
      <c r="G20" s="143" t="n">
        <v>5</v>
      </c>
      <c r="H20" s="148"/>
    </row>
    <row r="21" customFormat="false" ht="18" hidden="false" customHeight="true" outlineLevel="0" collapsed="false">
      <c r="A21" s="137" t="n">
        <v>46119</v>
      </c>
      <c r="B21" s="138" t="n">
        <v>46267</v>
      </c>
      <c r="C21" s="139" t="s">
        <v>30</v>
      </c>
      <c r="D21" s="140" t="s">
        <v>44</v>
      </c>
      <c r="E21" s="141"/>
      <c r="F21" s="139" t="s">
        <v>80</v>
      </c>
      <c r="G21" s="149" t="n">
        <v>5</v>
      </c>
      <c r="H21" s="140"/>
    </row>
    <row r="22" customFormat="false" ht="18" hidden="false" customHeight="true" outlineLevel="0" collapsed="false">
      <c r="A22" s="137" t="n">
        <v>46119</v>
      </c>
      <c r="B22" s="137" t="n">
        <v>46211</v>
      </c>
      <c r="C22" s="139" t="s">
        <v>50</v>
      </c>
      <c r="D22" s="140" t="s">
        <v>56</v>
      </c>
      <c r="E22" s="141" t="n">
        <v>5990</v>
      </c>
      <c r="F22" s="150" t="s">
        <v>77</v>
      </c>
      <c r="G22" s="149" t="n">
        <v>1</v>
      </c>
      <c r="H22" s="151"/>
    </row>
    <row r="23" customFormat="false" ht="18" hidden="false" customHeight="true" outlineLevel="0" collapsed="false">
      <c r="A23" s="137" t="n">
        <v>46119</v>
      </c>
      <c r="B23" s="138" t="n">
        <v>46203</v>
      </c>
      <c r="C23" s="148" t="s">
        <v>50</v>
      </c>
      <c r="D23" s="145" t="s">
        <v>66</v>
      </c>
      <c r="E23" s="141" t="n">
        <v>10200</v>
      </c>
      <c r="F23" s="146" t="s">
        <v>80</v>
      </c>
      <c r="G23" s="147" t="n">
        <v>5</v>
      </c>
      <c r="H23" s="145"/>
    </row>
    <row r="24" customFormat="false" ht="18" hidden="false" customHeight="true" outlineLevel="0" collapsed="false">
      <c r="A24" s="137" t="n">
        <v>46119</v>
      </c>
      <c r="B24" s="137" t="n">
        <v>46195</v>
      </c>
      <c r="C24" s="139" t="s">
        <v>50</v>
      </c>
      <c r="D24" s="140" t="s">
        <v>39</v>
      </c>
      <c r="E24" s="141" t="n">
        <v>5780</v>
      </c>
      <c r="F24" s="146" t="s">
        <v>80</v>
      </c>
      <c r="G24" s="154" t="n">
        <v>5</v>
      </c>
      <c r="H24" s="139" t="s">
        <v>190</v>
      </c>
    </row>
    <row r="25" customFormat="false" ht="18" hidden="false" customHeight="true" outlineLevel="0" collapsed="false">
      <c r="A25" s="137" t="n">
        <v>46119</v>
      </c>
      <c r="B25" s="138" t="n">
        <v>46268</v>
      </c>
      <c r="C25" s="148" t="s">
        <v>30</v>
      </c>
      <c r="D25" s="140" t="s">
        <v>44</v>
      </c>
      <c r="E25" s="141"/>
      <c r="F25" s="139" t="s">
        <v>80</v>
      </c>
      <c r="G25" s="152" t="n">
        <v>1</v>
      </c>
      <c r="H25" s="145"/>
    </row>
    <row r="26" customFormat="false" ht="18" hidden="false" customHeight="true" outlineLevel="0" collapsed="false">
      <c r="A26" s="137" t="n">
        <v>46119</v>
      </c>
      <c r="B26" s="137" t="n">
        <v>46185</v>
      </c>
      <c r="C26" s="139" t="s">
        <v>50</v>
      </c>
      <c r="D26" s="140" t="s">
        <v>51</v>
      </c>
      <c r="E26" s="141" t="n">
        <v>5020</v>
      </c>
      <c r="F26" s="146" t="s">
        <v>80</v>
      </c>
      <c r="G26" s="154" t="n">
        <v>1</v>
      </c>
      <c r="H26" s="140"/>
    </row>
    <row r="27" customFormat="false" ht="18" hidden="false" customHeight="true" outlineLevel="0" collapsed="false">
      <c r="A27" s="137" t="n">
        <v>46119</v>
      </c>
      <c r="B27" s="138" t="n">
        <v>46184</v>
      </c>
      <c r="C27" s="148" t="s">
        <v>50</v>
      </c>
      <c r="D27" s="145" t="s">
        <v>46</v>
      </c>
      <c r="E27" s="141"/>
      <c r="F27" s="146" t="s">
        <v>80</v>
      </c>
      <c r="G27" s="147" t="n">
        <v>1</v>
      </c>
      <c r="H27" s="145"/>
    </row>
    <row r="28" customFormat="false" ht="18" hidden="false" customHeight="true" outlineLevel="0" collapsed="false">
      <c r="A28" s="137" t="n">
        <v>46119</v>
      </c>
      <c r="B28" s="137" t="n">
        <v>46183</v>
      </c>
      <c r="C28" s="155" t="s">
        <v>50</v>
      </c>
      <c r="D28" s="140" t="s">
        <v>51</v>
      </c>
      <c r="E28" s="141" t="n">
        <v>5020</v>
      </c>
      <c r="F28" s="146" t="s">
        <v>80</v>
      </c>
      <c r="G28" s="154" t="n">
        <v>5</v>
      </c>
      <c r="H28" s="156" t="s">
        <v>191</v>
      </c>
    </row>
    <row r="29" customFormat="false" ht="18" hidden="false" customHeight="true" outlineLevel="0" collapsed="false">
      <c r="A29" s="137" t="n">
        <v>46119</v>
      </c>
      <c r="B29" s="157" t="n">
        <v>46216</v>
      </c>
      <c r="C29" s="158" t="s">
        <v>30</v>
      </c>
      <c r="D29" s="159" t="s">
        <v>46</v>
      </c>
      <c r="E29" s="160"/>
      <c r="F29" s="161"/>
      <c r="G29" s="160"/>
      <c r="H29" s="158" t="s">
        <v>110</v>
      </c>
    </row>
    <row r="30" customFormat="false" ht="18" hidden="false" customHeight="true" outlineLevel="0" collapsed="false">
      <c r="A30" s="137" t="n">
        <v>46119</v>
      </c>
      <c r="B30" s="157" t="n">
        <v>46168</v>
      </c>
      <c r="C30" s="162" t="s">
        <v>50</v>
      </c>
      <c r="D30" s="159" t="s">
        <v>35</v>
      </c>
      <c r="E30" s="160" t="n">
        <v>4950</v>
      </c>
      <c r="F30" s="158" t="s">
        <v>80</v>
      </c>
      <c r="G30" s="163" t="n">
        <v>50</v>
      </c>
      <c r="H30" s="164" t="s">
        <v>192</v>
      </c>
    </row>
    <row r="31" customFormat="false" ht="18" hidden="false" customHeight="true" outlineLevel="0" collapsed="false">
      <c r="A31" s="137" t="n">
        <v>46119</v>
      </c>
      <c r="B31" s="138" t="n">
        <v>46272</v>
      </c>
      <c r="C31" s="139" t="s">
        <v>30</v>
      </c>
      <c r="D31" s="140" t="s">
        <v>33</v>
      </c>
      <c r="E31" s="141"/>
      <c r="F31" s="139" t="s">
        <v>80</v>
      </c>
      <c r="G31" s="149" t="n">
        <v>2</v>
      </c>
      <c r="H31" s="140"/>
    </row>
    <row r="32" customFormat="false" ht="18" hidden="false" customHeight="true" outlineLevel="0" collapsed="false">
      <c r="A32" s="137" t="n">
        <v>46119</v>
      </c>
      <c r="B32" s="137" t="n">
        <v>46169</v>
      </c>
      <c r="C32" s="139" t="s">
        <v>30</v>
      </c>
      <c r="D32" s="140" t="s">
        <v>37</v>
      </c>
      <c r="E32" s="141" t="n">
        <v>3850</v>
      </c>
      <c r="F32" s="142" t="s">
        <v>78</v>
      </c>
      <c r="G32" s="143" t="n">
        <v>20</v>
      </c>
      <c r="H32" s="139"/>
    </row>
    <row r="33" customFormat="false" ht="18" hidden="false" customHeight="true" outlineLevel="0" collapsed="false">
      <c r="A33" s="137" t="n">
        <v>46119</v>
      </c>
      <c r="B33" s="138" t="n">
        <v>46274</v>
      </c>
      <c r="C33" s="139" t="s">
        <v>30</v>
      </c>
      <c r="D33" s="140" t="s">
        <v>37</v>
      </c>
      <c r="E33" s="141"/>
      <c r="F33" s="139" t="s">
        <v>77</v>
      </c>
      <c r="G33" s="149" t="n">
        <v>1</v>
      </c>
      <c r="H33" s="140"/>
    </row>
    <row r="34" customFormat="false" ht="18" hidden="false" customHeight="true" outlineLevel="0" collapsed="false">
      <c r="A34" s="137" t="n">
        <v>46119</v>
      </c>
      <c r="B34" s="138" t="n">
        <v>46272</v>
      </c>
      <c r="C34" s="139" t="s">
        <v>30</v>
      </c>
      <c r="D34" s="140" t="s">
        <v>37</v>
      </c>
      <c r="E34" s="141"/>
      <c r="F34" s="139" t="s">
        <v>77</v>
      </c>
      <c r="G34" s="149" t="n">
        <v>1</v>
      </c>
      <c r="H34" s="140"/>
    </row>
    <row r="35" customFormat="false" ht="18" hidden="false" customHeight="true" outlineLevel="0" collapsed="false">
      <c r="A35" s="137" t="n">
        <v>46119</v>
      </c>
      <c r="B35" s="138" t="n">
        <v>46275</v>
      </c>
      <c r="C35" s="139" t="s">
        <v>50</v>
      </c>
      <c r="D35" s="140" t="s">
        <v>46</v>
      </c>
      <c r="E35" s="141"/>
      <c r="F35" s="139" t="s">
        <v>77</v>
      </c>
      <c r="G35" s="149" t="n">
        <v>1</v>
      </c>
      <c r="H35" s="140"/>
    </row>
    <row r="36" customFormat="false" ht="18" hidden="false" customHeight="true" outlineLevel="0" collapsed="false">
      <c r="A36" s="137" t="n">
        <v>46119</v>
      </c>
      <c r="B36" s="137" t="n">
        <v>46237</v>
      </c>
      <c r="C36" s="139" t="s">
        <v>30</v>
      </c>
      <c r="D36" s="140" t="s">
        <v>39</v>
      </c>
      <c r="E36" s="141" t="n">
        <v>4930</v>
      </c>
      <c r="F36" s="150" t="s">
        <v>77</v>
      </c>
      <c r="G36" s="165" t="n">
        <v>1</v>
      </c>
      <c r="H36" s="166"/>
    </row>
    <row r="37" customFormat="false" ht="18" hidden="false" customHeight="true" outlineLevel="0" collapsed="false">
      <c r="A37" s="137" t="n">
        <v>46119</v>
      </c>
      <c r="B37" s="138" t="n">
        <v>46279</v>
      </c>
      <c r="C37" s="148" t="s">
        <v>30</v>
      </c>
      <c r="D37" s="145" t="s">
        <v>39</v>
      </c>
      <c r="E37" s="141"/>
      <c r="F37" s="148" t="s">
        <v>77</v>
      </c>
      <c r="G37" s="152" t="n">
        <v>1</v>
      </c>
      <c r="H37" s="145"/>
    </row>
    <row r="38" customFormat="false" ht="18" hidden="false" customHeight="true" outlineLevel="0" collapsed="false">
      <c r="A38" s="137" t="n">
        <v>46119</v>
      </c>
      <c r="B38" s="157" t="n">
        <v>46216</v>
      </c>
      <c r="C38" s="158" t="s">
        <v>30</v>
      </c>
      <c r="D38" s="159" t="s">
        <v>42</v>
      </c>
      <c r="E38" s="160"/>
      <c r="F38" s="158"/>
      <c r="G38" s="160"/>
      <c r="H38" s="158" t="s">
        <v>193</v>
      </c>
    </row>
    <row r="39" customFormat="false" ht="18" hidden="false" customHeight="true" outlineLevel="0" collapsed="false">
      <c r="A39" s="137" t="n">
        <v>46119</v>
      </c>
      <c r="B39" s="138" t="n">
        <v>46268</v>
      </c>
      <c r="C39" s="139" t="s">
        <v>30</v>
      </c>
      <c r="D39" s="140" t="s">
        <v>194</v>
      </c>
      <c r="E39" s="141"/>
      <c r="F39" s="139" t="s">
        <v>80</v>
      </c>
      <c r="G39" s="149" t="n">
        <v>1</v>
      </c>
      <c r="H39" s="140"/>
    </row>
    <row r="40" customFormat="false" ht="18" hidden="false" customHeight="true" outlineLevel="0" collapsed="false">
      <c r="A40" s="137" t="n">
        <v>46119</v>
      </c>
      <c r="B40" s="138" t="n">
        <v>46269</v>
      </c>
      <c r="C40" s="139" t="s">
        <v>50</v>
      </c>
      <c r="D40" s="140" t="s">
        <v>51</v>
      </c>
      <c r="E40" s="141"/>
      <c r="F40" s="139" t="s">
        <v>80</v>
      </c>
      <c r="G40" s="149" t="n">
        <v>2</v>
      </c>
      <c r="H40" s="140"/>
    </row>
    <row r="41" customFormat="false" ht="18" hidden="false" customHeight="true" outlineLevel="0" collapsed="false">
      <c r="A41" s="137" t="n">
        <v>46119</v>
      </c>
      <c r="B41" s="138" t="n">
        <v>46269</v>
      </c>
      <c r="C41" s="139" t="s">
        <v>50</v>
      </c>
      <c r="D41" s="140" t="s">
        <v>56</v>
      </c>
      <c r="E41" s="141"/>
      <c r="F41" s="139" t="s">
        <v>80</v>
      </c>
      <c r="G41" s="149" t="n">
        <v>1</v>
      </c>
      <c r="H41" s="140"/>
    </row>
    <row r="42" customFormat="false" ht="18" hidden="false" customHeight="true" outlineLevel="0" collapsed="false">
      <c r="A42" s="137" t="n">
        <v>46119</v>
      </c>
      <c r="B42" s="138" t="n">
        <v>46275</v>
      </c>
      <c r="C42" s="139" t="s">
        <v>30</v>
      </c>
      <c r="D42" s="140" t="s">
        <v>43</v>
      </c>
      <c r="E42" s="141"/>
      <c r="F42" s="139" t="s">
        <v>80</v>
      </c>
      <c r="G42" s="149" t="n">
        <v>1</v>
      </c>
      <c r="H42" s="140"/>
    </row>
    <row r="43" customFormat="false" ht="18" hidden="false" customHeight="true" outlineLevel="0" collapsed="false">
      <c r="A43" s="137" t="n">
        <v>46119</v>
      </c>
      <c r="B43" s="138" t="n">
        <v>46286</v>
      </c>
      <c r="C43" s="139" t="s">
        <v>30</v>
      </c>
      <c r="D43" s="145" t="s">
        <v>39</v>
      </c>
      <c r="E43" s="141"/>
      <c r="F43" s="139" t="s">
        <v>80</v>
      </c>
      <c r="G43" s="149" t="n">
        <v>5</v>
      </c>
      <c r="H43" s="140"/>
    </row>
    <row r="44" customFormat="false" ht="18" hidden="false" customHeight="true" outlineLevel="0" collapsed="false">
      <c r="A44" s="137" t="n">
        <v>46119</v>
      </c>
      <c r="B44" s="138" t="n">
        <v>46295</v>
      </c>
      <c r="C44" s="139" t="s">
        <v>50</v>
      </c>
      <c r="D44" s="140" t="s">
        <v>56</v>
      </c>
      <c r="E44" s="141"/>
      <c r="F44" s="139" t="s">
        <v>80</v>
      </c>
      <c r="G44" s="149" t="n">
        <v>5</v>
      </c>
      <c r="H44" s="140"/>
    </row>
    <row r="45" customFormat="false" ht="18" hidden="false" customHeight="true" outlineLevel="0" collapsed="false">
      <c r="A45" s="137" t="n">
        <v>46119</v>
      </c>
      <c r="B45" s="138" t="n">
        <v>46295</v>
      </c>
      <c r="C45" s="139" t="s">
        <v>50</v>
      </c>
      <c r="D45" s="140" t="s">
        <v>51</v>
      </c>
      <c r="E45" s="141"/>
      <c r="F45" s="139" t="s">
        <v>80</v>
      </c>
      <c r="G45" s="149" t="n">
        <v>1</v>
      </c>
      <c r="H45" s="140"/>
    </row>
    <row r="46" customFormat="false" ht="18" hidden="false" customHeight="true" outlineLevel="0" collapsed="false">
      <c r="A46" s="137" t="n">
        <v>46119</v>
      </c>
      <c r="B46" s="138" t="n">
        <v>46295</v>
      </c>
      <c r="C46" s="139" t="s">
        <v>68</v>
      </c>
      <c r="D46" s="140" t="s">
        <v>47</v>
      </c>
      <c r="E46" s="141"/>
      <c r="F46" s="139" t="s">
        <v>78</v>
      </c>
      <c r="G46" s="149" t="n">
        <v>1</v>
      </c>
      <c r="H46" s="140"/>
    </row>
    <row r="47" customFormat="false" ht="18" hidden="false" customHeight="true" outlineLevel="0" collapsed="false">
      <c r="A47" s="137" t="n">
        <v>46119</v>
      </c>
      <c r="B47" s="138" t="n">
        <v>46295</v>
      </c>
      <c r="C47" s="139" t="s">
        <v>30</v>
      </c>
      <c r="D47" s="140" t="s">
        <v>43</v>
      </c>
      <c r="E47" s="141"/>
      <c r="F47" s="139" t="s">
        <v>80</v>
      </c>
      <c r="G47" s="149" t="n">
        <v>1</v>
      </c>
      <c r="H47" s="140"/>
    </row>
    <row r="48" customFormat="false" ht="18" hidden="false" customHeight="true" outlineLevel="0" collapsed="false">
      <c r="A48" s="137" t="n">
        <v>46119</v>
      </c>
      <c r="B48" s="138" t="n">
        <v>46296</v>
      </c>
      <c r="C48" s="139" t="s">
        <v>30</v>
      </c>
      <c r="D48" s="140" t="s">
        <v>33</v>
      </c>
      <c r="E48" s="141"/>
      <c r="F48" s="139" t="s">
        <v>77</v>
      </c>
      <c r="G48" s="149" t="n">
        <v>12</v>
      </c>
      <c r="H48" s="140"/>
    </row>
    <row r="49" customFormat="false" ht="18" hidden="false" customHeight="true" outlineLevel="0" collapsed="false">
      <c r="A49" s="137" t="n">
        <v>46119</v>
      </c>
      <c r="B49" s="138" t="n">
        <v>46297</v>
      </c>
      <c r="C49" s="139" t="s">
        <v>50</v>
      </c>
      <c r="D49" s="140" t="s">
        <v>51</v>
      </c>
      <c r="E49" s="141"/>
      <c r="F49" s="139" t="s">
        <v>80</v>
      </c>
      <c r="G49" s="149" t="n">
        <v>1</v>
      </c>
      <c r="H49" s="140"/>
    </row>
    <row r="50" customFormat="false" ht="18" hidden="false" customHeight="true" outlineLevel="0" collapsed="false">
      <c r="A50" s="137" t="n">
        <v>46119</v>
      </c>
      <c r="B50" s="138" t="n">
        <v>46301</v>
      </c>
      <c r="C50" s="139" t="s">
        <v>30</v>
      </c>
      <c r="D50" s="145" t="s">
        <v>39</v>
      </c>
      <c r="E50" s="141"/>
      <c r="F50" s="139" t="s">
        <v>77</v>
      </c>
      <c r="G50" s="149" t="n">
        <v>1</v>
      </c>
      <c r="H50" s="140"/>
    </row>
    <row r="51" customFormat="false" ht="18" hidden="false" customHeight="true" outlineLevel="0" collapsed="false">
      <c r="A51" s="137" t="n">
        <v>46119</v>
      </c>
      <c r="B51" s="138" t="n">
        <v>46301</v>
      </c>
      <c r="C51" s="139" t="s">
        <v>30</v>
      </c>
      <c r="D51" s="145" t="s">
        <v>39</v>
      </c>
      <c r="E51" s="141"/>
      <c r="F51" s="139" t="s">
        <v>77</v>
      </c>
      <c r="G51" s="149" t="n">
        <v>1</v>
      </c>
      <c r="H51" s="140"/>
    </row>
    <row r="52" customFormat="false" ht="18" hidden="false" customHeight="true" outlineLevel="0" collapsed="false">
      <c r="A52" s="137" t="n">
        <v>46119</v>
      </c>
      <c r="B52" s="138" t="n">
        <v>46301</v>
      </c>
      <c r="C52" s="139" t="s">
        <v>68</v>
      </c>
      <c r="D52" s="140" t="s">
        <v>69</v>
      </c>
      <c r="E52" s="141"/>
      <c r="F52" s="139" t="s">
        <v>77</v>
      </c>
      <c r="G52" s="149" t="n">
        <v>10</v>
      </c>
      <c r="H52" s="140"/>
    </row>
    <row r="53" customFormat="false" ht="18" hidden="false" customHeight="true" outlineLevel="0" collapsed="false">
      <c r="A53" s="137" t="n">
        <v>46119</v>
      </c>
      <c r="B53" s="138" t="n">
        <v>46301</v>
      </c>
      <c r="C53" s="139" t="s">
        <v>68</v>
      </c>
      <c r="D53" s="140" t="s">
        <v>47</v>
      </c>
      <c r="E53" s="141"/>
      <c r="F53" s="139" t="s">
        <v>195</v>
      </c>
      <c r="G53" s="149" t="n">
        <v>6</v>
      </c>
      <c r="H53" s="140"/>
    </row>
    <row r="54" customFormat="false" ht="18" hidden="false" customHeight="true" outlineLevel="0" collapsed="false">
      <c r="A54" s="137"/>
      <c r="B54" s="138"/>
      <c r="C54" s="139"/>
      <c r="D54" s="140"/>
      <c r="E54" s="141"/>
      <c r="F54" s="139"/>
      <c r="G54" s="149"/>
      <c r="H54" s="140"/>
    </row>
    <row r="55" customFormat="false" ht="18" hidden="false" customHeight="true" outlineLevel="0" collapsed="false">
      <c r="A55" s="137"/>
      <c r="B55" s="138"/>
      <c r="C55" s="139"/>
      <c r="D55" s="140"/>
      <c r="E55" s="141"/>
      <c r="F55" s="139"/>
      <c r="G55" s="149"/>
      <c r="H55" s="140"/>
    </row>
    <row r="56" customFormat="false" ht="15" hidden="false" customHeight="true" outlineLevel="0" collapsed="false">
      <c r="A56" s="137"/>
      <c r="B56" s="138"/>
      <c r="C56" s="139"/>
      <c r="D56" s="140"/>
      <c r="E56" s="141"/>
      <c r="F56" s="139"/>
      <c r="G56" s="149"/>
      <c r="H56" s="140"/>
    </row>
    <row r="57" customFormat="false" ht="18" hidden="false" customHeight="true" outlineLevel="0" collapsed="false">
      <c r="H57" s="145"/>
    </row>
    <row r="58" customFormat="false" ht="18" hidden="false" customHeight="true" outlineLevel="0" collapsed="false">
      <c r="G58" s="131" t="n">
        <f aca="false">SUBTOTAL(9,G3:G56)</f>
        <v>229</v>
      </c>
    </row>
    <row r="59" customFormat="false" ht="15" hidden="false" customHeight="true" outlineLevel="0" collapsed="false">
      <c r="G59" s="167"/>
    </row>
    <row r="60" customFormat="false" ht="15" hidden="false" customHeight="true" outlineLevel="0" collapsed="false">
      <c r="G60" s="167"/>
    </row>
    <row r="61" customFormat="false" ht="15" hidden="false" customHeight="true" outlineLevel="0" collapsed="false">
      <c r="G61" s="131" t="n">
        <f aca="false">SUBTOTAL(9,G44:G49)</f>
        <v>21</v>
      </c>
    </row>
  </sheetData>
  <autoFilter ref="A2:H60">
    <sortState ref="A3:H60">
      <sortCondition ref="A3:A60" customList=""/>
    </sortState>
  </autoFilter>
  <dataValidations count="2">
    <dataValidation allowBlank="true" errorStyle="stop" operator="between" showDropDown="false" showErrorMessage="false" showInputMessage="false" sqref="C3:C56 C58:C501" type="list">
      <formula1>"아트지,유포지,감열지"</formula1>
      <formula2>0</formula2>
    </dataValidation>
    <dataValidation allowBlank="true" errorStyle="stop" operator="between" showDropDown="false" showErrorMessage="false" showInputMessage="false" sqref="F3:F56 F58:F501" type="list">
      <formula1>"쿠팡,지마켓,전문몰,11번가"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2026-09-22T05:12:57Z</dcterms:created>
  <dc:creator>openpyxl</dc:creator>
  <dc:description/>
  <dc:language>en-US</dc:language>
  <cp:lastModifiedBy>우영 박</cp:lastModifiedBy>
  <dcterms:modified xsi:type="dcterms:W3CDTF">2026-10-07T04:12:55Z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