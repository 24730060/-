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쇼핑검색 테스트" sheetId="1" state="visible" r:id="rId3"/>
    <sheet name="2.중국라벨 판매현황" sheetId="2" state="visible" r:id="rId4"/>
    <sheet name="원본_판매현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<sst xmlns="http://schemas.openxmlformats.org/spreadsheetml/2006/main" count="650" uniqueCount="257">
  <si>
    <t xml:space="preserve">쇼핑검색 광고 입찰가 테스트 현황</t>
  </si>
  <si>
    <r>
      <rPr>
        <sz val="10"/>
        <color rgb="FF5A6270"/>
        <rFont val="WenQuanYi Zen Hei"/>
        <family val="2"/>
      </rPr>
      <t xml:space="preserve">네이버 쇼핑검색 </t>
    </r>
    <r>
      <rPr>
        <sz val="10"/>
        <color rgb="FF5A6270"/>
        <rFont val="Arial"/>
        <family val="0"/>
        <charset val="1"/>
      </rPr>
      <t xml:space="preserve">· </t>
    </r>
    <r>
      <rPr>
        <sz val="10"/>
        <color rgb="FF5A6270"/>
        <rFont val="WenQuanYi Zen Hei"/>
        <family val="2"/>
      </rPr>
      <t xml:space="preserve">키워드별 입찰가에 따른 메인페이지 </t>
    </r>
    <r>
      <rPr>
        <sz val="10"/>
        <color rgb="FF5A6270"/>
        <rFont val="Arial"/>
        <family val="0"/>
        <charset val="1"/>
      </rPr>
      <t xml:space="preserve">/ </t>
    </r>
    <r>
      <rPr>
        <sz val="10"/>
        <color rgb="FF5A6270"/>
        <rFont val="WenQuanYi Zen Hei"/>
        <family val="2"/>
      </rPr>
      <t xml:space="preserve">가격비교탭 순위 </t>
    </r>
    <r>
      <rPr>
        <sz val="10"/>
        <color rgb="FF5A6270"/>
        <rFont val="Arial"/>
        <family val="0"/>
        <charset val="1"/>
      </rPr>
      <t xml:space="preserve">· </t>
    </r>
    <r>
      <rPr>
        <sz val="10"/>
        <color rgb="FF5A6270"/>
        <rFont val="WenQuanYi Zen Hei"/>
        <family val="2"/>
      </rPr>
      <t xml:space="preserve">우리 판매처</t>
    </r>
    <r>
      <rPr>
        <sz val="10"/>
        <color rgb="FF5A6270"/>
        <rFont val="Arial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전문몰  </t>
    </r>
    <r>
      <rPr>
        <sz val="10"/>
        <color rgb="FF5A6270"/>
        <rFont val="Arial"/>
        <family val="0"/>
        <charset val="1"/>
      </rPr>
      <t xml:space="preserve">|  </t>
    </r>
    <r>
      <rPr>
        <sz val="10"/>
        <color rgb="FF5A6270"/>
        <rFont val="WenQuanYi Zen Hei"/>
        <family val="2"/>
      </rPr>
      <t xml:space="preserve">출처</t>
    </r>
    <r>
      <rPr>
        <sz val="10"/>
        <color rgb="FF5A6270"/>
        <rFont val="Arial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바코드프린터 네이버쇼핑 광고 입찰 관리 엑셀 ‘</t>
    </r>
    <r>
      <rPr>
        <sz val="10"/>
        <color rgb="FF5A6270"/>
        <rFont val="Arial"/>
        <family val="0"/>
        <charset val="1"/>
      </rPr>
      <t xml:space="preserve">02_</t>
    </r>
    <r>
      <rPr>
        <sz val="10"/>
        <color rgb="FF5A6270"/>
        <rFont val="WenQuanYi Zen Hei"/>
        <family val="2"/>
      </rPr>
      <t xml:space="preserve">입찰조사</t>
    </r>
    <r>
      <rPr>
        <sz val="10"/>
        <color rgb="FF5A6270"/>
        <rFont val="Arial"/>
        <family val="0"/>
        <charset val="1"/>
      </rPr>
      <t xml:space="preserve">_RAW’</t>
    </r>
  </si>
  <si>
    <t xml:space="preserve">테스트 기간</t>
  </si>
  <si>
    <r>
      <rPr>
        <sz val="10"/>
        <rFont val="Arial"/>
        <family val="0"/>
        <charset val="1"/>
      </rPr>
      <t xml:space="preserve">2026-09-28 ~ 2026-10-06 (</t>
    </r>
    <r>
      <rPr>
        <sz val="10"/>
        <rFont val="WenQuanYi Zen Hei"/>
        <family val="2"/>
      </rPr>
      <t xml:space="preserve">조사 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</si>
  <si>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t xml:space="preserve">우리 판매처</t>
  </si>
  <si>
    <t xml:space="preserve">전문몰</t>
  </si>
  <si>
    <t xml:space="preserve">우선 목표</t>
  </si>
  <si>
    <r>
      <rPr>
        <sz val="10"/>
        <rFont val="WenQuanYi Zen Hei"/>
        <family val="2"/>
      </rPr>
      <t xml:space="preserve">메인페이지 </t>
    </r>
    <r>
      <rPr>
        <sz val="10"/>
        <rFont val="Arial"/>
        <family val="0"/>
        <charset val="1"/>
      </rPr>
      <t xml:space="preserve">1~3</t>
    </r>
    <r>
      <rPr>
        <sz val="10"/>
        <rFont val="WenQuanYi Zen Hei"/>
        <family val="2"/>
      </rPr>
      <t xml:space="preserve">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가격비교탭보다 우선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</si>
  <si>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키워드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광고 상품</t>
    </r>
  </si>
  <si>
    <r>
      <rPr>
        <sz val="10"/>
        <rFont val="WenQuanYi Zen Hei"/>
        <family val="2"/>
      </rPr>
      <t xml:space="preserve">유포라벨 → 유포지 </t>
    </r>
    <r>
      <rPr>
        <sz val="10"/>
        <rFont val="Arial"/>
        <family val="0"/>
        <charset val="1"/>
      </rPr>
      <t xml:space="preserve">30*15 · </t>
    </r>
    <r>
      <rPr>
        <sz val="10"/>
        <rFont val="WenQuanYi Zen Hei"/>
        <family val="2"/>
      </rPr>
      <t xml:space="preserve">감열라벨 → 감열지 </t>
    </r>
    <r>
      <rPr>
        <sz val="10"/>
        <rFont val="Arial"/>
        <family val="0"/>
        <charset val="1"/>
      </rPr>
      <t xml:space="preserve">100*100 · </t>
    </r>
    <r>
      <rPr>
        <sz val="10"/>
        <rFont val="WenQuanYi Zen Hei"/>
        <family val="2"/>
      </rPr>
      <t xml:space="preserve">아트라벨 → 아트지 </t>
    </r>
    <r>
      <rPr>
        <sz val="10"/>
        <rFont val="Arial"/>
        <family val="0"/>
        <charset val="1"/>
      </rPr>
      <t xml:space="preserve">60*40</t>
    </r>
  </si>
  <si>
    <r>
      <rPr>
        <b val="true"/>
        <sz val="12"/>
        <color rgb="FFFFFFFF"/>
        <rFont val="WenQuanYi Zen Hei"/>
        <family val="2"/>
      </rPr>
      <t xml:space="preserve">핵심 정리 </t>
    </r>
    <r>
      <rPr>
        <b val="true"/>
        <sz val="12"/>
        <color rgb="FFFFFFFF"/>
        <rFont val="Arial"/>
        <family val="0"/>
        <charset val="1"/>
      </rPr>
      <t xml:space="preserve">(10/7 </t>
    </r>
    <r>
      <rPr>
        <b val="true"/>
        <sz val="12"/>
        <color rgb="FFFFFFFF"/>
        <rFont val="WenQuanYi Zen Hei"/>
        <family val="2"/>
      </rPr>
      <t xml:space="preserve">작성</t>
    </r>
    <r>
      <rPr>
        <b val="true"/>
        <sz val="12"/>
        <color rgb="FFFFFFFF"/>
        <rFont val="Arial"/>
        <family val="0"/>
        <charset val="1"/>
      </rPr>
      <t xml:space="preserve">, </t>
    </r>
    <r>
      <rPr>
        <b val="true"/>
        <sz val="12"/>
        <color rgb="FFFFFFFF"/>
        <rFont val="WenQuanYi Zen Hei"/>
        <family val="2"/>
      </rPr>
      <t xml:space="preserve">아래 기록 기준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</si>
  <si>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• 아트라벨</t>
    </r>
    <r>
      <rPr>
        <sz val="10"/>
        <rFont val="Arial"/>
        <family val="0"/>
        <charset val="1"/>
      </rPr>
      <t xml:space="preserve">: 2,300</t>
    </r>
    <r>
      <rPr>
        <sz val="10"/>
        <rFont val="WenQuanYi Zen Hei"/>
        <family val="2"/>
      </rPr>
      <t xml:space="preserve">원으로 메인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(10/6 </t>
    </r>
    <r>
      <rPr>
        <sz val="10"/>
        <rFont val="WenQuanYi Zen Hei"/>
        <family val="2"/>
      </rPr>
      <t xml:space="preserve">오전</t>
    </r>
    <r>
      <rPr>
        <sz val="10"/>
        <rFont val="Arial"/>
        <family val="0"/>
        <charset val="1"/>
      </rPr>
      <t xml:space="preserve">). 2,800</t>
    </r>
    <r>
      <rPr>
        <sz val="10"/>
        <rFont val="WenQuanYi Zen Hei"/>
        <family val="2"/>
      </rPr>
      <t xml:space="preserve">원도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(10/2 </t>
    </r>
    <r>
      <rPr>
        <sz val="10"/>
        <rFont val="WenQuanYi Zen Hei"/>
        <family val="2"/>
      </rPr>
      <t xml:space="preserve">오전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같은 </t>
    </r>
    <r>
      <rPr>
        <sz val="10"/>
        <rFont val="Arial"/>
        <family val="0"/>
        <charset val="1"/>
      </rPr>
      <t xml:space="preserve">2,300</t>
    </r>
    <r>
      <rPr>
        <sz val="10"/>
        <rFont val="WenQuanYi Zen Hei"/>
        <family val="2"/>
      </rPr>
      <t xml:space="preserve">원이 </t>
    </r>
    <r>
      <rPr>
        <sz val="10"/>
        <rFont val="Arial"/>
        <family val="0"/>
        <charset val="1"/>
      </rPr>
      <t xml:space="preserve">10/2 </t>
    </r>
    <r>
      <rPr>
        <sz val="10"/>
        <rFont val="WenQuanYi Zen Hei"/>
        <family val="2"/>
      </rPr>
      <t xml:space="preserve">오후에는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위 → </t>
    </r>
    <r>
      <rPr>
        <sz val="10"/>
        <rFont val="Arial"/>
        <family val="0"/>
        <charset val="1"/>
      </rPr>
      <t xml:space="preserve">2,300~2,800</t>
    </r>
    <r>
      <rPr>
        <sz val="10"/>
        <rFont val="WenQuanYi Zen Hei"/>
        <family val="2"/>
      </rPr>
      <t xml:space="preserve">원이면 메인 </t>
    </r>
    <r>
      <rPr>
        <sz val="10"/>
        <rFont val="Arial"/>
        <family val="0"/>
        <charset val="1"/>
      </rPr>
      <t xml:space="preserve">1~2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</si>
  <si>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유포라벨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메인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위는 </t>
    </r>
    <r>
      <rPr>
        <sz val="10"/>
        <rFont val="Arial"/>
        <family val="0"/>
        <charset val="1"/>
      </rPr>
      <t xml:space="preserve">3,500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(10/6 </t>
    </r>
    <r>
      <rPr>
        <sz val="10"/>
        <rFont val="WenQuanYi Zen Hei"/>
        <family val="2"/>
      </rPr>
      <t xml:space="preserve">오전</t>
    </r>
    <r>
      <rPr>
        <sz val="10"/>
        <rFont val="Arial"/>
        <family val="0"/>
        <charset val="1"/>
      </rPr>
      <t xml:space="preserve">)·4,000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(10/1). 2,800~3,100</t>
    </r>
    <r>
      <rPr>
        <sz val="10"/>
        <rFont val="WenQuanYi Zen Hei"/>
        <family val="2"/>
      </rPr>
      <t xml:space="preserve">원은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. 3,500</t>
    </r>
    <r>
      <rPr>
        <sz val="10"/>
        <rFont val="WenQuanYi Zen Hei"/>
        <family val="2"/>
      </rPr>
      <t xml:space="preserve">원도 </t>
    </r>
    <r>
      <rPr>
        <sz val="10"/>
        <rFont val="Arial"/>
        <family val="0"/>
        <charset val="1"/>
      </rPr>
      <t xml:space="preserve">10/2 </t>
    </r>
    <r>
      <rPr>
        <sz val="10"/>
        <rFont val="WenQuanYi Zen Hei"/>
        <family val="2"/>
      </rPr>
      <t xml:space="preserve">오후에는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위 → 메인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위를 노리면 </t>
    </r>
    <r>
      <rPr>
        <sz val="10"/>
        <rFont val="Arial"/>
        <family val="0"/>
        <charset val="1"/>
      </rPr>
      <t xml:space="preserve">3,500</t>
    </r>
    <r>
      <rPr>
        <sz val="10"/>
        <rFont val="WenQuanYi Zen Hei"/>
        <family val="2"/>
      </rPr>
      <t xml:space="preserve">원 이상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</si>
  <si>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감열라벨</t>
    </r>
    <r>
      <rPr>
        <sz val="10"/>
        <rFont val="Arial"/>
        <family val="0"/>
        <charset val="1"/>
      </rPr>
      <t xml:space="preserve">: 2,500~3,900</t>
    </r>
    <r>
      <rPr>
        <sz val="10"/>
        <rFont val="WenQuanYi Zen Hei"/>
        <family val="2"/>
      </rPr>
      <t xml:space="preserve">원으로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번 조사했지만 메인은 </t>
    </r>
    <r>
      <rPr>
        <sz val="10"/>
        <rFont val="Arial"/>
        <family val="0"/>
        <charset val="1"/>
      </rPr>
      <t xml:space="preserve">2~3</t>
    </r>
    <r>
      <rPr>
        <sz val="10"/>
        <rFont val="WenQuanYi Zen Hei"/>
        <family val="2"/>
      </rPr>
      <t xml:space="preserve">위만 나옴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위는 매번 디엘에스피</t>
    </r>
    <r>
      <rPr>
        <sz val="10"/>
        <rFont val="Arial"/>
        <family val="0"/>
        <charset val="1"/>
      </rPr>
      <t xml:space="preserve">(2,000</t>
    </r>
    <r>
      <rPr>
        <sz val="10"/>
        <rFont val="WenQuanYi Zen Hei"/>
        <family val="2"/>
      </rPr>
      <t xml:space="preserve">원 상품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우리 </t>
    </r>
    <r>
      <rPr>
        <sz val="10"/>
        <rFont val="Arial"/>
        <family val="0"/>
        <charset val="1"/>
      </rPr>
      <t xml:space="preserve">5,090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입찰가보다 판매가 차이가 큼</t>
    </r>
    <r>
      <rPr>
        <sz val="10"/>
        <rFont val="Arial"/>
        <family val="0"/>
        <charset val="1"/>
      </rPr>
      <t xml:space="preserve">. 2,500~2,800</t>
    </r>
    <r>
      <rPr>
        <sz val="10"/>
        <rFont val="WenQuanYi Zen Hei"/>
        <family val="2"/>
      </rPr>
      <t xml:space="preserve">원으로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위 유지가 효율적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</si>
  <si>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가격비교탭</t>
    </r>
    <r>
      <rPr>
        <sz val="10"/>
        <rFont val="Arial"/>
        <family val="0"/>
        <charset val="1"/>
      </rPr>
      <t xml:space="preserve">: 1</t>
    </r>
    <r>
      <rPr>
        <sz val="10"/>
        <rFont val="WenQuanYi Zen Hei"/>
        <family val="2"/>
      </rPr>
      <t xml:space="preserve">위는 아트라벨 </t>
    </r>
    <r>
      <rPr>
        <sz val="10"/>
        <rFont val="Arial"/>
        <family val="0"/>
        <charset val="1"/>
      </rPr>
      <t xml:space="preserve">3,000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(9/29), </t>
    </r>
    <r>
      <rPr>
        <sz val="10"/>
        <rFont val="WenQuanYi Zen Hei"/>
        <family val="2"/>
      </rPr>
      <t xml:space="preserve">감열라벨 </t>
    </r>
    <r>
      <rPr>
        <sz val="10"/>
        <rFont val="Arial"/>
        <family val="0"/>
        <charset val="1"/>
      </rPr>
      <t xml:space="preserve">2,500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(10/1) </t>
    </r>
    <r>
      <rPr>
        <sz val="10"/>
        <rFont val="WenQuanYi Zen Hei"/>
        <family val="2"/>
      </rPr>
      <t xml:space="preserve">한 번씩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유포라벨은 </t>
    </r>
    <r>
      <rPr>
        <sz val="10"/>
        <rFont val="Arial"/>
        <family val="0"/>
        <charset val="1"/>
      </rPr>
      <t xml:space="preserve">3,000~6,000</t>
    </r>
    <r>
      <rPr>
        <sz val="10"/>
        <rFont val="WenQuanYi Zen Hei"/>
        <family val="2"/>
      </rPr>
      <t xml:space="preserve">원을 넣어도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위가 최고 → 가격비교탭에 입찰가를 더 쓰는 효과는 작음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</si>
  <si>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• 같은 입찰가라도 시간대에 따라 순위가 </t>
    </r>
    <r>
      <rPr>
        <sz val="10"/>
        <rFont val="Arial"/>
        <family val="0"/>
        <charset val="1"/>
      </rPr>
      <t xml:space="preserve">1~2</t>
    </r>
    <r>
      <rPr>
        <sz val="10"/>
        <rFont val="WenQuanYi Zen Hei"/>
        <family val="2"/>
      </rPr>
      <t xml:space="preserve">단계 바뀝니다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조사 횟수가 적으니 권장 입찰가로 며칠 더 같은 시간대에 확인해 보세요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</si>
  <si>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FFFFFF"/>
        <rFont val="WenQuanYi Zen Hei"/>
        <family val="2"/>
      </rPr>
      <t xml:space="preserve">① 키워드별 목표 순위 최저 입찰가 </t>
    </r>
    <r>
      <rPr>
        <b val="true"/>
        <sz val="12"/>
        <color rgb="FFFFFFFF"/>
        <rFont val="Arial"/>
        <family val="0"/>
        <charset val="1"/>
      </rPr>
      <t xml:space="preserve">(③ </t>
    </r>
    <r>
      <rPr>
        <b val="true"/>
        <sz val="12"/>
        <color rgb="FFFFFFFF"/>
        <rFont val="WenQuanYi Zen Hei"/>
        <family val="2"/>
      </rPr>
      <t xml:space="preserve">기록에서 자동 계산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</si>
  <si>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sz val="9"/>
        <color rgb="FF5A6270"/>
        <rFont val="WenQuanYi Zen Hei"/>
        <family val="2"/>
      </rPr>
      <t xml:space="preserve">해당 순위 이내로 노출된 기록 중 가장 낮은 입찰가입니다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기록이 없으면 </t>
    </r>
    <r>
      <rPr>
        <sz val="9"/>
        <color rgb="FF5A6270"/>
        <rFont val="Arial"/>
        <family val="0"/>
        <charset val="1"/>
      </rPr>
      <t xml:space="preserve">"</t>
    </r>
    <r>
      <rPr>
        <sz val="9"/>
        <color rgb="FF5A6270"/>
        <rFont val="WenQuanYi Zen Hei"/>
        <family val="2"/>
      </rPr>
      <t xml:space="preserve">기록 없음</t>
    </r>
    <r>
      <rPr>
        <sz val="9"/>
        <color rgb="FF5A6270"/>
        <rFont val="Arial"/>
        <family val="0"/>
        <charset val="1"/>
      </rPr>
      <t xml:space="preserve">".</t>
    </r>
  </si>
  <si>
    <t xml:space="preserve">키워드</t>
  </si>
  <si>
    <r>
      <rPr>
        <b val="true"/>
        <sz val="10"/>
        <rFont val="WenQuanYi Zen Hei"/>
        <family val="2"/>
      </rPr>
      <t xml:space="preserve">메인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</t>
    </r>
  </si>
  <si>
    <r>
      <rPr>
        <b val="true"/>
        <sz val="10"/>
        <rFont val="WenQuanYi Zen Hei"/>
        <family val="2"/>
      </rPr>
      <t xml:space="preserve">메인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위 이내</t>
    </r>
  </si>
  <si>
    <r>
      <rPr>
        <b val="true"/>
        <sz val="10"/>
        <rFont val="WenQuanYi Zen Hei"/>
        <family val="2"/>
      </rPr>
      <t xml:space="preserve">메인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위 이내</t>
    </r>
  </si>
  <si>
    <r>
      <rPr>
        <b val="true"/>
        <sz val="10"/>
        <rFont val="WenQuanYi Zen Hei"/>
        <family val="2"/>
      </rPr>
      <t xml:space="preserve">가격비교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</t>
    </r>
  </si>
  <si>
    <r>
      <rPr>
        <b val="true"/>
        <sz val="10"/>
        <rFont val="WenQuanYi Zen Hei"/>
        <family val="2"/>
      </rPr>
      <t xml:space="preserve">가격비교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위 이내</t>
    </r>
  </si>
  <si>
    <r>
      <rPr>
        <b val="true"/>
        <sz val="10"/>
        <rFont val="WenQuanYi Zen Hei"/>
        <family val="2"/>
      </rPr>
      <t xml:space="preserve">가격비교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위 이내</t>
    </r>
  </si>
  <si>
    <t xml:space="preserve">조사 수</t>
  </si>
  <si>
    <t xml:space="preserve">메인 최고 순위</t>
  </si>
  <si>
    <t xml:space="preserve">메인 평균 순위</t>
  </si>
  <si>
    <t xml:space="preserve">가격비교 최고 순위</t>
  </si>
  <si>
    <r>
      <rPr>
        <b val="true"/>
        <sz val="10"/>
        <rFont val="WenQuanYi Zen Hei"/>
        <family val="2"/>
      </rPr>
      <t xml:space="preserve">메인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 업체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가장 많이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</si>
  <si>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권장 입찰가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메인 기준</t>
    </r>
    <r>
      <rPr>
        <b val="true"/>
        <sz val="10"/>
        <rFont val="Arial"/>
        <family val="0"/>
        <charset val="1"/>
      </rPr>
      <t xml:space="preserve">)</t>
    </r>
  </si>
  <si>
    <t xml:space="preserve">유포라벨</t>
  </si>
  <si>
    <t xml:space="preserve">디엘에스피</t>
  </si>
  <si>
    <r>
      <rPr>
        <b val="true"/>
        <sz val="10"/>
        <color rgb="FF0000FF"/>
        <rFont val="Arial"/>
        <family val="0"/>
        <charset val="1"/>
      </rPr>
      <t xml:space="preserve">3,500</t>
    </r>
    <r>
      <rPr>
        <b val="true"/>
        <sz val="10"/>
        <color rgb="FF0000FF"/>
        <rFont val="WenQuanYi Zen Hei"/>
        <family val="2"/>
      </rPr>
      <t xml:space="preserve">원 </t>
    </r>
    <r>
      <rPr>
        <b val="true"/>
        <sz val="10"/>
        <color rgb="FF0000FF"/>
        <rFont val="Arial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메인 </t>
    </r>
    <r>
      <rPr>
        <b val="true"/>
        <sz val="10"/>
        <color rgb="FF0000FF"/>
        <rFont val="Arial"/>
        <family val="0"/>
        <charset val="1"/>
      </rPr>
      <t xml:space="preserve">1</t>
    </r>
    <r>
      <rPr>
        <b val="true"/>
        <sz val="10"/>
        <color rgb="FF0000FF"/>
        <rFont val="WenQuanYi Zen Hei"/>
        <family val="2"/>
      </rPr>
      <t xml:space="preserve">위 목표</t>
    </r>
    <r>
      <rPr>
        <b val="true"/>
        <sz val="10"/>
        <color rgb="FF0000FF"/>
        <rFont val="Arial"/>
        <family val="0"/>
        <charset val="1"/>
      </rPr>
      <t xml:space="preserve">)</t>
    </r>
  </si>
  <si>
    <t xml:space="preserve">감열라벨</t>
  </si>
  <si>
    <r>
      <rPr>
        <b val="true"/>
        <sz val="10"/>
        <color rgb="FF0000FF"/>
        <rFont val="Arial"/>
        <family val="0"/>
        <charset val="1"/>
      </rPr>
      <t xml:space="preserve">2,500~2,800</t>
    </r>
    <r>
      <rPr>
        <b val="true"/>
        <sz val="10"/>
        <color rgb="FF0000FF"/>
        <rFont val="WenQuanYi Zen Hei"/>
        <family val="2"/>
      </rPr>
      <t xml:space="preserve">원 </t>
    </r>
    <r>
      <rPr>
        <b val="true"/>
        <sz val="10"/>
        <color rgb="FF0000FF"/>
        <rFont val="Arial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메인 </t>
    </r>
    <r>
      <rPr>
        <b val="true"/>
        <sz val="10"/>
        <color rgb="FF0000FF"/>
        <rFont val="Arial"/>
        <family val="0"/>
        <charset val="1"/>
      </rPr>
      <t xml:space="preserve">2</t>
    </r>
    <r>
      <rPr>
        <b val="true"/>
        <sz val="10"/>
        <color rgb="FF0000FF"/>
        <rFont val="WenQuanYi Zen Hei"/>
        <family val="2"/>
      </rPr>
      <t xml:space="preserve">위 유지</t>
    </r>
    <r>
      <rPr>
        <b val="true"/>
        <sz val="10"/>
        <color rgb="FF0000FF"/>
        <rFont val="Arial"/>
        <family val="0"/>
        <charset val="1"/>
      </rPr>
      <t xml:space="preserve">)</t>
    </r>
  </si>
  <si>
    <t xml:space="preserve">아트라벨</t>
  </si>
  <si>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우리</t>
    </r>
    <r>
      <rPr>
        <sz val="10"/>
        <color rgb="FF0000FF"/>
        <rFont val="Arial"/>
        <family val="0"/>
        <charset val="1"/>
      </rPr>
      <t xml:space="preserve">)</t>
    </r>
  </si>
  <si>
    <r>
      <rPr>
        <b val="true"/>
        <sz val="10"/>
        <color rgb="FF0000FF"/>
        <rFont val="Arial"/>
        <family val="0"/>
        <charset val="1"/>
      </rPr>
      <t xml:space="preserve">2,300~2,800</t>
    </r>
    <r>
      <rPr>
        <b val="true"/>
        <sz val="10"/>
        <color rgb="FF0000FF"/>
        <rFont val="WenQuanYi Zen Hei"/>
        <family val="2"/>
      </rPr>
      <t xml:space="preserve">원 </t>
    </r>
    <r>
      <rPr>
        <b val="true"/>
        <sz val="10"/>
        <color rgb="FF0000FF"/>
        <rFont val="Arial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메인 </t>
    </r>
    <r>
      <rPr>
        <b val="true"/>
        <sz val="10"/>
        <color rgb="FF0000FF"/>
        <rFont val="Arial"/>
        <family val="0"/>
        <charset val="1"/>
      </rPr>
      <t xml:space="preserve">1~2</t>
    </r>
    <r>
      <rPr>
        <b val="true"/>
        <sz val="10"/>
        <color rgb="FF0000FF"/>
        <rFont val="WenQuanYi Zen Hei"/>
        <family val="2"/>
      </rPr>
      <t xml:space="preserve">위</t>
    </r>
    <r>
      <rPr>
        <b val="true"/>
        <sz val="10"/>
        <color rgb="FF0000FF"/>
        <rFont val="Arial"/>
        <family val="0"/>
        <charset val="1"/>
      </rPr>
      <t xml:space="preserve">)</t>
    </r>
  </si>
  <si>
    <r>
      <rPr>
        <sz val="9"/>
        <color rgb="FF5A6270"/>
        <rFont val="WenQuanYi Zen Hei"/>
        <family val="2"/>
      </rPr>
      <t xml:space="preserve">권장 입찰가는 위 기록을 보고 정한 값</t>
    </r>
    <r>
      <rPr>
        <sz val="9"/>
        <color rgb="FF5A6270"/>
        <rFont val="Arial"/>
        <family val="0"/>
        <charset val="1"/>
      </rPr>
      <t xml:space="preserve">(10/7 </t>
    </r>
    <r>
      <rPr>
        <sz val="9"/>
        <color rgb="FF5A6270"/>
        <rFont val="WenQuanYi Zen Hei"/>
        <family val="2"/>
      </rPr>
      <t xml:space="preserve">작성</t>
    </r>
    <r>
      <rPr>
        <sz val="9"/>
        <color rgb="FF5A6270"/>
        <rFont val="Arial"/>
        <family val="0"/>
        <charset val="1"/>
      </rPr>
      <t xml:space="preserve">)</t>
    </r>
    <r>
      <rPr>
        <sz val="9"/>
        <color rgb="FF5A6270"/>
        <rFont val="WenQuanYi Zen Hei"/>
        <family val="2"/>
      </rPr>
      <t xml:space="preserve">입니다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같은 입찰가에서도 순위가 바뀌므로 </t>
    </r>
    <r>
      <rPr>
        <sz val="9"/>
        <color rgb="FF5A6270"/>
        <rFont val="Arial"/>
        <family val="0"/>
        <charset val="1"/>
      </rPr>
      <t xml:space="preserve">2~3</t>
    </r>
    <r>
      <rPr>
        <sz val="9"/>
        <color rgb="FF5A6270"/>
        <rFont val="WenQuanYi Zen Hei"/>
        <family val="2"/>
      </rPr>
      <t xml:space="preserve">번 같은 결과가 나온 값을 쓰세요</t>
    </r>
    <r>
      <rPr>
        <sz val="9"/>
        <color rgb="FF5A6270"/>
        <rFont val="Arial"/>
        <family val="0"/>
        <charset val="1"/>
      </rPr>
      <t xml:space="preserve">.</t>
    </r>
  </si>
  <si>
    <r>
      <rPr>
        <b val="true"/>
        <sz val="12"/>
        <color rgb="FFFFFFFF"/>
        <rFont val="WenQuanYi Zen Hei"/>
        <family val="2"/>
      </rPr>
      <t xml:space="preserve">② 주로 광고 중인 타업체 </t>
    </r>
    <r>
      <rPr>
        <b val="true"/>
        <sz val="12"/>
        <color rgb="FFFFFFFF"/>
        <rFont val="Arial"/>
        <family val="0"/>
        <charset val="1"/>
      </rPr>
      <t xml:space="preserve">(③ </t>
    </r>
    <r>
      <rPr>
        <b val="true"/>
        <sz val="12"/>
        <color rgb="FFFFFFFF"/>
        <rFont val="WenQuanYi Zen Hei"/>
        <family val="2"/>
      </rPr>
      <t xml:space="preserve">기록의 </t>
    </r>
    <r>
      <rPr>
        <b val="true"/>
        <sz val="12"/>
        <color rgb="FFFFFFFF"/>
        <rFont val="Arial"/>
        <family val="0"/>
        <charset val="1"/>
      </rPr>
      <t xml:space="preserve">1~3</t>
    </r>
    <r>
      <rPr>
        <b val="true"/>
        <sz val="12"/>
        <color rgb="FFFFFFFF"/>
        <rFont val="WenQuanYi Zen Hei"/>
        <family val="2"/>
      </rPr>
      <t xml:space="preserve">위 업체에서 자동 집계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</si>
  <si>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sz val="9"/>
        <color rgb="FF5A6270"/>
        <rFont val="WenQuanYi Zen Hei"/>
        <family val="2"/>
      </rPr>
      <t xml:space="preserve">메인 순위 업체는 </t>
    </r>
    <r>
      <rPr>
        <sz val="9"/>
        <color rgb="FF5A6270"/>
        <rFont val="Arial"/>
        <family val="0"/>
        <charset val="1"/>
      </rPr>
      <t xml:space="preserve">10/2</t>
    </r>
    <r>
      <rPr>
        <sz val="9"/>
        <color rgb="FF5A6270"/>
        <rFont val="WenQuanYi Zen Hei"/>
        <family val="2"/>
      </rPr>
      <t xml:space="preserve">부터 조사했습니다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그 전 기록의 업체는 가격비교탭 순위입니다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업체를 추가하려면 노란 칸에 이름을 적으세요</t>
    </r>
    <r>
      <rPr>
        <sz val="9"/>
        <color rgb="FF5A6270"/>
        <rFont val="Arial"/>
        <family val="0"/>
        <charset val="1"/>
      </rPr>
      <t xml:space="preserve">.</t>
    </r>
  </si>
  <si>
    <t xml:space="preserve">업체명</t>
  </si>
  <si>
    <t xml:space="preserve">유포라벨
메인</t>
  </si>
  <si>
    <t xml:space="preserve">유포라벨
가격비교</t>
  </si>
  <si>
    <t xml:space="preserve">감열라벨
메인</t>
  </si>
  <si>
    <t xml:space="preserve">감열라벨
가격비교</t>
  </si>
  <si>
    <t xml:space="preserve">아트라벨
메인</t>
  </si>
  <si>
    <t xml:space="preserve">아트라벨
가격비교</t>
  </si>
  <si>
    <t xml:space="preserve">합계</t>
  </si>
  <si>
    <r>
      <rPr>
        <b val="true"/>
        <sz val="10"/>
        <rFont val="WenQuanYi Zen Hei"/>
        <family val="2"/>
      </rPr>
      <t xml:space="preserve">메인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
횟수</t>
    </r>
  </si>
  <si>
    <r>
      <rPr>
        <b val="true"/>
        <sz val="10"/>
        <rFont val="WenQuanYi Zen Hei"/>
        <family val="2"/>
      </rPr>
      <t xml:space="preserve">확인된 판매가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메모</t>
    </r>
  </si>
  <si>
    <r>
      <rPr>
        <b val="true"/>
        <sz val="10"/>
        <rFont val="WenQuanYi Zen Hei"/>
        <family val="2"/>
      </rPr>
      <t xml:space="preserve">전문몰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우리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</si>
  <si>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감열 </t>
    </r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· </t>
    </r>
    <r>
      <rPr>
        <sz val="10"/>
        <color rgb="FF0000FF"/>
        <rFont val="WenQuanYi Zen Hei"/>
        <family val="2"/>
      </rPr>
      <t xml:space="preserve">유포 </t>
    </r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WenQuanYi Zen Hei"/>
        <family val="2"/>
      </rPr>
      <t xml:space="preserve">원</t>
    </r>
    <r>
      <rPr>
        <sz val="10"/>
        <color rgb="FF0000FF"/>
        <rFont val="Arial"/>
        <family val="0"/>
        <charset val="1"/>
      </rPr>
      <t xml:space="preserve">/5,500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(10/6)</t>
    </r>
  </si>
  <si>
    <t xml:space="preserve">포스틱라벨스토어</t>
  </si>
  <si>
    <r>
      <rPr>
        <sz val="10"/>
        <color rgb="FF0000FF"/>
        <rFont val="WenQuanYi Zen Hei"/>
        <family val="2"/>
      </rPr>
      <t xml:space="preserve">아트 </t>
    </r>
    <r>
      <rPr>
        <sz val="10"/>
        <color rgb="FF0000FF"/>
        <rFont val="Arial"/>
        <family val="0"/>
        <charset val="1"/>
      </rPr>
      <t xml:space="preserve">4,400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(10/2·10/6)</t>
    </r>
  </si>
  <si>
    <t xml:space="preserve">우주사무기</t>
  </si>
  <si>
    <r>
      <rPr>
        <sz val="10"/>
        <color rgb="FF0000FF"/>
        <rFont val="WenQuanYi Zen Hei"/>
        <family val="2"/>
      </rPr>
      <t xml:space="preserve">감열 </t>
    </r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(10/6)</t>
    </r>
  </si>
  <si>
    <t xml:space="preserve">아이플랜스토어</t>
  </si>
  <si>
    <r>
      <rPr>
        <sz val="10"/>
        <color rgb="FF0000FF"/>
        <rFont val="WenQuanYi Zen Hei"/>
        <family val="2"/>
      </rPr>
      <t xml:space="preserve">아트 </t>
    </r>
    <r>
      <rPr>
        <sz val="10"/>
        <color rgb="FF0000FF"/>
        <rFont val="Arial"/>
        <family val="0"/>
        <charset val="1"/>
      </rPr>
      <t xml:space="preserve">7,000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(10/6)</t>
    </r>
  </si>
  <si>
    <t xml:space="preserve">하이하이몰</t>
  </si>
  <si>
    <t xml:space="preserve">조타라벨</t>
  </si>
  <si>
    <r>
      <rPr>
        <b val="true"/>
        <sz val="12"/>
        <color rgb="FFFFFFFF"/>
        <rFont val="WenQuanYi Zen Hei"/>
        <family val="2"/>
      </rPr>
      <t xml:space="preserve">③ 입찰 조사 기록 </t>
    </r>
    <r>
      <rPr>
        <b val="true"/>
        <sz val="12"/>
        <color rgb="FFFFFFFF"/>
        <rFont val="Arial"/>
        <family val="0"/>
        <charset val="1"/>
      </rPr>
      <t xml:space="preserve">(9/28~10/6 · </t>
    </r>
    <r>
      <rPr>
        <b val="true"/>
        <sz val="12"/>
        <color rgb="FFFFFFFF"/>
        <rFont val="WenQuanYi Zen Hei"/>
        <family val="2"/>
      </rPr>
      <t xml:space="preserve">유포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WenQuanYi Zen Hei"/>
        <family val="2"/>
      </rPr>
      <t xml:space="preserve">감열</t>
    </r>
    <r>
      <rPr>
        <b val="true"/>
        <sz val="12"/>
        <color rgb="FFFFFFFF"/>
        <rFont val="Arial"/>
        <family val="0"/>
        <charset val="1"/>
      </rPr>
      <t xml:space="preserve">/</t>
    </r>
    <r>
      <rPr>
        <b val="true"/>
        <sz val="12"/>
        <color rgb="FFFFFFFF"/>
        <rFont val="WenQuanYi Zen Hei"/>
        <family val="2"/>
      </rPr>
      <t xml:space="preserve">아트라벨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</si>
  <si>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sz val="9"/>
        <color rgb="FF5A6270"/>
        <rFont val="WenQuanYi Zen Hei"/>
        <family val="2"/>
      </rPr>
      <t xml:space="preserve">파란 글씨 </t>
    </r>
    <r>
      <rPr>
        <sz val="9"/>
        <color rgb="FF5A6270"/>
        <rFont val="Arial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원본 조사 기록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순위가 숫자로 안 적힌 조사</t>
    </r>
    <r>
      <rPr>
        <sz val="9"/>
        <color rgb="FF5A6270"/>
        <rFont val="Arial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예</t>
    </r>
    <r>
      <rPr>
        <sz val="9"/>
        <color rgb="FF5A6270"/>
        <rFont val="Arial"/>
        <family val="0"/>
        <charset val="1"/>
      </rPr>
      <t xml:space="preserve">: “1</t>
    </r>
    <r>
      <rPr>
        <sz val="9"/>
        <color rgb="FF5A6270"/>
        <rFont val="WenQuanYi Zen Hei"/>
        <family val="2"/>
      </rPr>
      <t xml:space="preserve">페이지 중단”</t>
    </r>
    <r>
      <rPr>
        <sz val="9"/>
        <color rgb="FF5A6270"/>
        <rFont val="Arial"/>
        <family val="0"/>
        <charset val="1"/>
      </rPr>
      <t xml:space="preserve">)</t>
    </r>
    <r>
      <rPr>
        <sz val="9"/>
        <color rgb="FF5A6270"/>
        <rFont val="WenQuanYi Zen Hei"/>
        <family val="2"/>
      </rPr>
      <t xml:space="preserve">는 순위 칸을 비우고 메모에 원문을 남겼습니다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새 조사는 아래 노란 줄에 이어서 적으면 됩니다</t>
    </r>
    <r>
      <rPr>
        <sz val="9"/>
        <color rgb="FF5A6270"/>
        <rFont val="Arial"/>
        <family val="0"/>
        <charset val="1"/>
      </rPr>
      <t xml:space="preserve">.</t>
    </r>
  </si>
  <si>
    <t xml:space="preserve">날짜</t>
  </si>
  <si>
    <t xml:space="preserve">시각</t>
  </si>
  <si>
    <t xml:space="preserve">시간대</t>
  </si>
  <si>
    <t xml:space="preserve">광고 상품</t>
  </si>
  <si>
    <r>
      <rPr>
        <b val="true"/>
        <sz val="10"/>
        <rFont val="WenQuanYi Zen Hei"/>
        <family val="2"/>
      </rPr>
      <t xml:space="preserve">입찰가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</si>
  <si>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t xml:space="preserve">가격비교
순위</t>
  </si>
  <si>
    <t xml:space="preserve">메인
순위</t>
  </si>
  <si>
    <t xml:space="preserve">업체 순위
지면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</si>
  <si>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위 업체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</si>
  <si>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위 업체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</si>
  <si>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위 업체</t>
    </r>
  </si>
  <si>
    <t xml:space="preserve">메모</t>
  </si>
  <si>
    <t xml:space="preserve">13:42</t>
  </si>
  <si>
    <r>
      <rPr>
        <sz val="10"/>
        <color rgb="FF0000FF"/>
        <rFont val="WenQuanYi Zen Hei"/>
        <family val="2"/>
      </rPr>
      <t xml:space="preserve">점심</t>
    </r>
    <r>
      <rPr>
        <sz val="10"/>
        <color rgb="FF0000FF"/>
        <rFont val="Arial"/>
        <family val="0"/>
        <charset val="1"/>
      </rPr>
      <t xml:space="preserve">(12~14)</t>
    </r>
  </si>
  <si>
    <r>
      <rPr>
        <sz val="10"/>
        <color rgb="FF0000FF"/>
        <rFont val="WenQuanYi Zen Hei"/>
        <family val="2"/>
      </rPr>
      <t xml:space="preserve">중국라벨 유포지 </t>
    </r>
    <r>
      <rPr>
        <sz val="10"/>
        <color rgb="FF0000FF"/>
        <rFont val="Arial"/>
        <family val="0"/>
        <charset val="1"/>
      </rPr>
      <t xml:space="preserve">30*15</t>
    </r>
  </si>
  <si>
    <t xml:space="preserve">가격비교</t>
  </si>
  <si>
    <r>
      <rPr>
        <sz val="10"/>
        <color rgb="FF0000FF"/>
        <rFont val="WenQuanYi Zen Hei"/>
        <family val="2"/>
      </rPr>
      <t xml:space="preserve">가격비교</t>
    </r>
    <r>
      <rPr>
        <sz val="10"/>
        <color rgb="FF0000FF"/>
        <rFont val="Arial"/>
        <family val="0"/>
        <charset val="1"/>
      </rPr>
      <t xml:space="preserve">: 1</t>
    </r>
    <r>
      <rPr>
        <sz val="10"/>
        <color rgb="FF0000FF"/>
        <rFont val="WenQuanYi Zen Hei"/>
        <family val="2"/>
      </rPr>
      <t xml:space="preserve">페이지 중단</t>
    </r>
  </si>
  <si>
    <t xml:space="preserve">15:37</t>
  </si>
  <si>
    <r>
      <rPr>
        <sz val="10"/>
        <color rgb="FF0000FF"/>
        <rFont val="WenQuanYi Zen Hei"/>
        <family val="2"/>
      </rPr>
      <t xml:space="preserve">오후</t>
    </r>
    <r>
      <rPr>
        <sz val="10"/>
        <color rgb="FF0000FF"/>
        <rFont val="Arial"/>
        <family val="0"/>
        <charset val="1"/>
      </rPr>
      <t xml:space="preserve">(14~18)</t>
    </r>
  </si>
  <si>
    <t xml:space="preserve">15:50</t>
  </si>
  <si>
    <t xml:space="preserve">15:56</t>
  </si>
  <si>
    <t xml:space="preserve">10:40</t>
  </si>
  <si>
    <r>
      <rPr>
        <sz val="10"/>
        <color rgb="FF0000FF"/>
        <rFont val="WenQuanYi Zen Hei"/>
        <family val="2"/>
      </rPr>
      <t xml:space="preserve">오전</t>
    </r>
    <r>
      <rPr>
        <sz val="10"/>
        <color rgb="FF0000FF"/>
        <rFont val="Arial"/>
        <family val="0"/>
        <charset val="1"/>
      </rPr>
      <t xml:space="preserve">(09~13)</t>
    </r>
  </si>
  <si>
    <t xml:space="preserve">14:03</t>
  </si>
  <si>
    <t xml:space="preserve">14:04</t>
  </si>
  <si>
    <t xml:space="preserve">14:53</t>
  </si>
  <si>
    <t xml:space="preserve">17:01</t>
  </si>
  <si>
    <t xml:space="preserve">15:47</t>
  </si>
  <si>
    <t xml:space="preserve">15:43</t>
  </si>
  <si>
    <t xml:space="preserve">11:39</t>
  </si>
  <si>
    <t xml:space="preserve">메인</t>
  </si>
  <si>
    <t xml:space="preserve">13:05</t>
  </si>
  <si>
    <t xml:space="preserve">15:19</t>
  </si>
  <si>
    <t xml:space="preserve">10:59</t>
  </si>
  <si>
    <r>
      <rPr>
        <sz val="10"/>
        <color rgb="FF0000FF"/>
        <rFont val="WenQuanYi Zen Hei"/>
        <family val="2"/>
      </rPr>
      <t xml:space="preserve">오전</t>
    </r>
    <r>
      <rPr>
        <sz val="10"/>
        <color rgb="FF0000FF"/>
        <rFont val="Arial"/>
        <family val="0"/>
        <charset val="1"/>
      </rPr>
      <t xml:space="preserve">(09~12)</t>
    </r>
  </si>
  <si>
    <r>
      <rPr>
        <sz val="10"/>
        <color rgb="FF0000FF"/>
        <rFont val="WenQuanYi Zen Hei"/>
        <family val="2"/>
      </rPr>
      <t xml:space="preserve">업체 표기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전문몰</t>
    </r>
    <r>
      <rPr>
        <sz val="10"/>
        <color rgb="FF0000FF"/>
        <rFont val="Arial"/>
        <family val="0"/>
        <charset val="1"/>
      </rPr>
      <t xml:space="preserve">/ 5020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| </t>
    </r>
    <r>
      <rPr>
        <sz val="10"/>
        <color rgb="FF0000FF"/>
        <rFont val="WenQuanYi Zen Hei"/>
        <family val="2"/>
      </rPr>
      <t xml:space="preserve">디엘에스피</t>
    </r>
    <r>
      <rPr>
        <sz val="10"/>
        <color rgb="FF0000FF"/>
        <rFont val="Arial"/>
        <family val="0"/>
        <charset val="1"/>
      </rPr>
      <t xml:space="preserve">/2000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| </t>
    </r>
    <r>
      <rPr>
        <sz val="10"/>
        <color rgb="FF0000FF"/>
        <rFont val="WenQuanYi Zen Hei"/>
        <family val="2"/>
      </rPr>
      <t xml:space="preserve">디엘에스피</t>
    </r>
    <r>
      <rPr>
        <sz val="10"/>
        <color rgb="FF0000FF"/>
        <rFont val="Arial"/>
        <family val="0"/>
        <charset val="1"/>
      </rPr>
      <t xml:space="preserve">/5500</t>
    </r>
    <r>
      <rPr>
        <sz val="10"/>
        <color rgb="FF0000FF"/>
        <rFont val="WenQuanYi Zen Hei"/>
        <family val="2"/>
      </rPr>
      <t xml:space="preserve">원</t>
    </r>
  </si>
  <si>
    <r>
      <rPr>
        <sz val="10"/>
        <color rgb="FF0000FF"/>
        <rFont val="WenQuanYi Zen Hei"/>
        <family val="2"/>
      </rPr>
      <t xml:space="preserve">중국라벨 감열지 </t>
    </r>
    <r>
      <rPr>
        <sz val="10"/>
        <color rgb="FF0000FF"/>
        <rFont val="Arial"/>
        <family val="0"/>
        <charset val="1"/>
      </rPr>
      <t xml:space="preserve">100*100</t>
    </r>
  </si>
  <si>
    <t xml:space="preserve">16:43</t>
  </si>
  <si>
    <t xml:space="preserve">11:37</t>
  </si>
  <si>
    <t xml:space="preserve">13:03</t>
  </si>
  <si>
    <r>
      <rPr>
        <sz val="10"/>
        <color rgb="FF0000FF"/>
        <rFont val="WenQuanYi Zen Hei"/>
        <family val="2"/>
      </rPr>
      <t xml:space="preserve">업체 표기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디엘에스피</t>
    </r>
    <r>
      <rPr>
        <sz val="10"/>
        <color rgb="FF0000FF"/>
        <rFont val="Arial"/>
        <family val="0"/>
        <charset val="1"/>
      </rPr>
      <t xml:space="preserve">/2000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| </t>
    </r>
    <r>
      <rPr>
        <sz val="10"/>
        <color rgb="FF0000FF"/>
        <rFont val="WenQuanYi Zen Hei"/>
        <family val="2"/>
      </rPr>
      <t xml:space="preserve">전문몰</t>
    </r>
    <r>
      <rPr>
        <sz val="10"/>
        <color rgb="FF0000FF"/>
        <rFont val="Arial"/>
        <family val="0"/>
        <charset val="1"/>
      </rPr>
      <t xml:space="preserve">/ 5090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| </t>
    </r>
    <r>
      <rPr>
        <sz val="10"/>
        <color rgb="FF0000FF"/>
        <rFont val="WenQuanYi Zen Hei"/>
        <family val="2"/>
      </rPr>
      <t xml:space="preserve">우주사무기</t>
    </r>
    <r>
      <rPr>
        <sz val="10"/>
        <color rgb="FF0000FF"/>
        <rFont val="Arial"/>
        <family val="0"/>
        <charset val="1"/>
      </rPr>
      <t xml:space="preserve">/ 2000</t>
    </r>
    <r>
      <rPr>
        <sz val="10"/>
        <color rgb="FF0000FF"/>
        <rFont val="WenQuanYi Zen Hei"/>
        <family val="2"/>
      </rPr>
      <t xml:space="preserve">원</t>
    </r>
  </si>
  <si>
    <t xml:space="preserve">14:23</t>
  </si>
  <si>
    <r>
      <rPr>
        <sz val="10"/>
        <color rgb="FF0000FF"/>
        <rFont val="WenQuanYi Zen Hei"/>
        <family val="2"/>
      </rPr>
      <t xml:space="preserve">업체 표기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디엘에스피</t>
    </r>
    <r>
      <rPr>
        <sz val="10"/>
        <color rgb="FF0000FF"/>
        <rFont val="Arial"/>
        <family val="0"/>
        <charset val="1"/>
      </rPr>
      <t xml:space="preserve">/2000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| </t>
    </r>
    <r>
      <rPr>
        <sz val="10"/>
        <color rgb="FF0000FF"/>
        <rFont val="WenQuanYi Zen Hei"/>
        <family val="2"/>
      </rPr>
      <t xml:space="preserve">우주사무기</t>
    </r>
    <r>
      <rPr>
        <sz val="10"/>
        <color rgb="FF0000FF"/>
        <rFont val="Arial"/>
        <family val="0"/>
        <charset val="1"/>
      </rPr>
      <t xml:space="preserve">/ 2000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| </t>
    </r>
    <r>
      <rPr>
        <sz val="10"/>
        <color rgb="FF0000FF"/>
        <rFont val="WenQuanYi Zen Hei"/>
        <family val="2"/>
      </rPr>
      <t xml:space="preserve">전문몰</t>
    </r>
    <r>
      <rPr>
        <sz val="10"/>
        <color rgb="FF0000FF"/>
        <rFont val="Arial"/>
        <family val="0"/>
        <charset val="1"/>
      </rPr>
      <t xml:space="preserve">/ 5090</t>
    </r>
    <r>
      <rPr>
        <sz val="10"/>
        <color rgb="FF0000FF"/>
        <rFont val="WenQuanYi Zen Hei"/>
        <family val="2"/>
      </rPr>
      <t xml:space="preserve">원</t>
    </r>
  </si>
  <si>
    <t xml:space="preserve">16:56</t>
  </si>
  <si>
    <t xml:space="preserve">10:39</t>
  </si>
  <si>
    <r>
      <rPr>
        <sz val="10"/>
        <color rgb="FF0000FF"/>
        <rFont val="WenQuanYi Zen Hei"/>
        <family val="2"/>
      </rPr>
      <t xml:space="preserve">중국라벨 아트지 </t>
    </r>
    <r>
      <rPr>
        <sz val="10"/>
        <color rgb="FF0000FF"/>
        <rFont val="Arial"/>
        <family val="0"/>
        <charset val="1"/>
      </rPr>
      <t xml:space="preserve">60*40</t>
    </r>
  </si>
  <si>
    <t xml:space="preserve">11:35</t>
  </si>
  <si>
    <t xml:space="preserve">13:01</t>
  </si>
  <si>
    <t xml:space="preserve">15:18</t>
  </si>
  <si>
    <r>
      <rPr>
        <sz val="10"/>
        <color rgb="FF0000FF"/>
        <rFont val="WenQuanYi Zen Hei"/>
        <family val="2"/>
      </rPr>
      <t xml:space="preserve">업체 표기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전문몰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아트지 </t>
    </r>
    <r>
      <rPr>
        <sz val="10"/>
        <color rgb="FF0000FF"/>
        <rFont val="Arial"/>
        <family val="0"/>
        <charset val="1"/>
      </rPr>
      <t xml:space="preserve">4930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| </t>
    </r>
    <r>
      <rPr>
        <sz val="10"/>
        <color rgb="FF0000FF"/>
        <rFont val="WenQuanYi Zen Hei"/>
        <family val="2"/>
      </rPr>
      <t xml:space="preserve">포스틱라벨스토어</t>
    </r>
    <r>
      <rPr>
        <sz val="10"/>
        <color rgb="FF0000FF"/>
        <rFont val="Arial"/>
        <family val="0"/>
        <charset val="1"/>
      </rPr>
      <t xml:space="preserve">/ 4400</t>
    </r>
    <r>
      <rPr>
        <sz val="10"/>
        <color rgb="FF0000FF"/>
        <rFont val="WenQuanYi Zen Hei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| </t>
    </r>
    <r>
      <rPr>
        <sz val="10"/>
        <color rgb="FF0000FF"/>
        <rFont val="WenQuanYi Zen Hei"/>
        <family val="2"/>
      </rPr>
      <t xml:space="preserve">아이플랜스토어</t>
    </r>
    <r>
      <rPr>
        <sz val="10"/>
        <color rgb="FF0000FF"/>
        <rFont val="Arial"/>
        <family val="0"/>
        <charset val="1"/>
      </rPr>
      <t xml:space="preserve">/ 7000</t>
    </r>
    <r>
      <rPr>
        <sz val="10"/>
        <color rgb="FF0000FF"/>
        <rFont val="WenQuanYi Zen Hei"/>
        <family val="2"/>
      </rPr>
      <t xml:space="preserve">원</t>
    </r>
  </si>
  <si>
    <t xml:space="preserve">중국라벨 판매현황</t>
  </si>
  <si>
    <r>
      <rPr>
        <sz val="10"/>
        <color rgb="FF5A6270"/>
        <rFont val="WenQuanYi Zen Hei"/>
        <family val="2"/>
      </rPr>
      <t xml:space="preserve">재고 </t>
    </r>
    <r>
      <rPr>
        <sz val="10"/>
        <color rgb="FF5A6270"/>
        <rFont val="Arial"/>
        <family val="0"/>
        <charset val="1"/>
      </rPr>
      <t xml:space="preserve">· </t>
    </r>
    <r>
      <rPr>
        <sz val="10"/>
        <color rgb="FF5A6270"/>
        <rFont val="WenQuanYi Zen Hei"/>
        <family val="2"/>
      </rPr>
      <t xml:space="preserve">쇼핑검색 광고 효과 </t>
    </r>
    <r>
      <rPr>
        <sz val="10"/>
        <color rgb="FF5A6270"/>
        <rFont val="Arial"/>
        <family val="0"/>
        <charset val="1"/>
      </rPr>
      <t xml:space="preserve">· 9/22 </t>
    </r>
    <r>
      <rPr>
        <sz val="10"/>
        <color rgb="FF5A6270"/>
        <rFont val="WenQuanYi Zen Hei"/>
        <family val="2"/>
      </rPr>
      <t xml:space="preserve">가격 수정 효과  </t>
    </r>
    <r>
      <rPr>
        <sz val="10"/>
        <color rgb="FF5A6270"/>
        <rFont val="Arial"/>
        <family val="0"/>
        <charset val="1"/>
      </rPr>
      <t xml:space="preserve">|  </t>
    </r>
    <r>
      <rPr>
        <sz val="10"/>
        <color rgb="FF5A6270"/>
        <rFont val="WenQuanYi Zen Hei"/>
        <family val="2"/>
      </rPr>
      <t xml:space="preserve">출처</t>
    </r>
    <r>
      <rPr>
        <sz val="10"/>
        <color rgb="FF5A6270"/>
        <rFont val="Arial"/>
        <family val="0"/>
        <charset val="1"/>
      </rPr>
      <t xml:space="preserve">: </t>
    </r>
    <r>
      <rPr>
        <sz val="10"/>
        <color rgb="FF5A6270"/>
        <rFont val="WenQuanYi Zen Hei"/>
        <family val="2"/>
      </rPr>
      <t xml:space="preserve">재고 프로그램 실재고</t>
    </r>
    <r>
      <rPr>
        <sz val="10"/>
        <color rgb="FF5A6270"/>
        <rFont val="Arial"/>
        <family val="0"/>
        <charset val="1"/>
      </rPr>
      <t xml:space="preserve">(10/7) · </t>
    </r>
    <r>
      <rPr>
        <sz val="10"/>
        <color rgb="FF5A6270"/>
        <rFont val="WenQuanYi Zen Hei"/>
        <family val="2"/>
      </rPr>
      <t xml:space="preserve">라벨 마스터 판매현황</t>
    </r>
    <r>
      <rPr>
        <sz val="10"/>
        <color rgb="FF5A6270"/>
        <rFont val="Arial"/>
        <family val="0"/>
        <charset val="1"/>
      </rPr>
      <t xml:space="preserve">(10/6</t>
    </r>
    <r>
      <rPr>
        <sz val="10"/>
        <color rgb="FF5A6270"/>
        <rFont val="WenQuanYi Zen Hei"/>
        <family val="2"/>
      </rPr>
      <t xml:space="preserve">까지</t>
    </r>
    <r>
      <rPr>
        <sz val="10"/>
        <color rgb="FF5A6270"/>
        <rFont val="Arial"/>
        <family val="0"/>
        <charset val="1"/>
      </rPr>
      <t xml:space="preserve">)</t>
    </r>
  </si>
  <si>
    <r>
      <rPr>
        <b val="true"/>
        <sz val="12"/>
        <color rgb="FFFFFFFF"/>
        <rFont val="WenQuanYi Zen Hei"/>
        <family val="2"/>
      </rPr>
      <t xml:space="preserve">기준값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노란 칸을 바꾸면 아래 표가 다시 계산됩니다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</si>
  <si>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실재고 기준일</t>
  </si>
  <si>
    <r>
      <rPr>
        <sz val="9"/>
        <color rgb="FF5A6270"/>
        <rFont val="WenQuanYi Zen Hei"/>
        <family val="2"/>
      </rPr>
      <t xml:space="preserve">재고 프로그램 실재고 </t>
    </r>
    <r>
      <rPr>
        <sz val="9"/>
        <color rgb="FF5A6270"/>
        <rFont val="Arial"/>
        <family val="0"/>
        <charset val="1"/>
      </rPr>
      <t xml:space="preserve">(2026-10-07 </t>
    </r>
    <r>
      <rPr>
        <sz val="9"/>
        <color rgb="FF5A6270"/>
        <rFont val="WenQuanYi Zen Hei"/>
        <family val="2"/>
      </rPr>
      <t xml:space="preserve">파일</t>
    </r>
    <r>
      <rPr>
        <sz val="9"/>
        <color rgb="FF5A6270"/>
        <rFont val="Arial"/>
        <family val="0"/>
        <charset val="1"/>
      </rPr>
      <t xml:space="preserve">)</t>
    </r>
  </si>
  <si>
    <t xml:space="preserve">집계 마지막 날</t>
  </si>
  <si>
    <t xml:space="preserve">판매현황의 마지막 판매일</t>
  </si>
  <si>
    <t xml:space="preserve">광고 테스트 시작</t>
  </si>
  <si>
    <r>
      <rPr>
        <sz val="9"/>
        <color rgb="FF5A6270"/>
        <rFont val="WenQuanYi Zen Hei"/>
        <family val="2"/>
      </rPr>
      <t xml:space="preserve">요청 내용 기준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실제 시작일과 다르면 고쳐 주세요</t>
    </r>
  </si>
  <si>
    <t xml:space="preserve">광고 테스트 종료</t>
  </si>
  <si>
    <t xml:space="preserve">가격 수정일</t>
  </si>
  <si>
    <r>
      <rPr>
        <sz val="9"/>
        <color rgb="FF5A6270"/>
        <rFont val="WenQuanYi Zen Hei"/>
        <family val="2"/>
      </rPr>
      <t xml:space="preserve">아트지 </t>
    </r>
    <r>
      <rPr>
        <sz val="9"/>
        <color rgb="FF5A6270"/>
        <rFont val="Arial"/>
        <family val="0"/>
        <charset val="1"/>
      </rPr>
      <t xml:space="preserve">35*20, </t>
    </r>
    <r>
      <rPr>
        <sz val="9"/>
        <color rgb="FF5A6270"/>
        <rFont val="WenQuanYi Zen Hei"/>
        <family val="2"/>
      </rPr>
      <t xml:space="preserve">아트지 </t>
    </r>
    <r>
      <rPr>
        <sz val="9"/>
        <color rgb="FF5A6270"/>
        <rFont val="Arial"/>
        <family val="0"/>
        <charset val="1"/>
      </rPr>
      <t xml:space="preserve">100*100</t>
    </r>
  </si>
  <si>
    <r>
      <rPr>
        <b val="true"/>
        <sz val="10"/>
        <rFont val="WenQuanYi Zen Hei"/>
        <family val="2"/>
      </rPr>
      <t xml:space="preserve">부족 기준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롤 이하</t>
    </r>
    <r>
      <rPr>
        <b val="true"/>
        <sz val="10"/>
        <rFont val="Arial"/>
        <family val="0"/>
        <charset val="1"/>
      </rPr>
      <t xml:space="preserve">)</t>
    </r>
  </si>
  <si>
    <t xml:space="preserve">현재고가 이 값 이하이면 “부족”</t>
  </si>
  <si>
    <t xml:space="preserve">요약</t>
  </si>
  <si>
    <t xml:space="preserve">현재 재고 합계</t>
  </si>
  <si>
    <t xml:space="preserve">광고 중 전문몰 판매</t>
  </si>
  <si>
    <t xml:space="preserve">광고 효과 판단</t>
  </si>
  <si>
    <r>
      <rPr>
        <b val="true"/>
        <sz val="10"/>
        <rFont val="Arial"/>
        <family val="0"/>
        <charset val="1"/>
      </rPr>
      <t xml:space="preserve">35*20 </t>
    </r>
    <r>
      <rPr>
        <b val="true"/>
        <sz val="10"/>
        <rFont val="WenQuanYi Zen Hei"/>
        <family val="2"/>
      </rPr>
      <t xml:space="preserve">가격 수정 후 판매</t>
    </r>
  </si>
  <si>
    <r>
      <rPr>
        <b val="true"/>
        <sz val="10"/>
        <rFont val="Arial"/>
        <family val="0"/>
        <charset val="1"/>
      </rPr>
      <t xml:space="preserve">100*100 </t>
    </r>
    <r>
      <rPr>
        <b val="true"/>
        <sz val="10"/>
        <rFont val="WenQuanYi Zen Hei"/>
        <family val="2"/>
      </rPr>
      <t xml:space="preserve">가격 수정 후 판매</t>
    </r>
  </si>
  <si>
    <r>
      <rPr>
        <b val="true"/>
        <sz val="12"/>
        <color rgb="FFFFFFFF"/>
        <rFont val="Arial"/>
        <family val="0"/>
        <charset val="1"/>
      </rPr>
      <t xml:space="preserve">1. </t>
    </r>
    <r>
      <rPr>
        <b val="true"/>
        <sz val="12"/>
        <color rgb="FFFFFFFF"/>
        <rFont val="WenQuanYi Zen Hei"/>
        <family val="2"/>
      </rPr>
      <t xml:space="preserve">재고 현황</t>
    </r>
  </si>
  <si>
    <r>
      <rPr>
        <sz val="9"/>
        <color rgb="FF5A6270"/>
        <rFont val="WenQuanYi Zen Hei"/>
        <family val="2"/>
      </rPr>
      <t xml:space="preserve">실재고 </t>
    </r>
    <r>
      <rPr>
        <sz val="9"/>
        <color rgb="FF5A6270"/>
        <rFont val="Arial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재고 프로그램 </t>
    </r>
    <r>
      <rPr>
        <sz val="9"/>
        <color rgb="FF5A6270"/>
        <rFont val="Arial"/>
        <family val="0"/>
        <charset val="1"/>
      </rPr>
      <t xml:space="preserve">10/7 </t>
    </r>
    <r>
      <rPr>
        <sz val="9"/>
        <color rgb="FF5A6270"/>
        <rFont val="WenQuanYi Zen Hei"/>
        <family val="2"/>
      </rPr>
      <t xml:space="preserve">재고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전체 출고 </t>
    </r>
    <r>
      <rPr>
        <sz val="9"/>
        <color rgb="FF5A6270"/>
        <rFont val="Arial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총 입고 − 실재고 </t>
    </r>
    <r>
      <rPr>
        <sz val="9"/>
        <color rgb="FF5A6270"/>
        <rFont val="Arial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오픈마켓 판매 </t>
    </r>
    <r>
      <rPr>
        <sz val="9"/>
        <color rgb="FF5A6270"/>
        <rFont val="Arial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판매현황 합계 </t>
    </r>
    <r>
      <rPr>
        <sz val="9"/>
        <color rgb="FF5A6270"/>
        <rFont val="Arial"/>
        <family val="0"/>
        <charset val="1"/>
      </rPr>
      <t xml:space="preserve">· </t>
    </r>
    <r>
      <rPr>
        <sz val="9"/>
        <color rgb="FF5A6270"/>
        <rFont val="WenQuanYi Zen Hei"/>
        <family val="2"/>
      </rPr>
      <t xml:space="preserve">일반 판매 </t>
    </r>
    <r>
      <rPr>
        <sz val="9"/>
        <color rgb="FF5A6270"/>
        <rFont val="Arial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전체 출고 − 오픈마켓 판매 </t>
    </r>
    <r>
      <rPr>
        <sz val="9"/>
        <color rgb="FF5A6270"/>
        <rFont val="Arial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라벨 마스터 </t>
    </r>
    <r>
      <rPr>
        <sz val="9"/>
        <color rgb="FF5A6270"/>
        <rFont val="Arial"/>
        <family val="0"/>
        <charset val="1"/>
      </rPr>
      <t xml:space="preserve">V16</t>
    </r>
    <r>
      <rPr>
        <sz val="9"/>
        <color rgb="FF5A6270"/>
        <rFont val="WenQuanYi Zen Hei"/>
        <family val="2"/>
      </rPr>
      <t xml:space="preserve">과 같은 계산</t>
    </r>
    <r>
      <rPr>
        <sz val="9"/>
        <color rgb="FF5A6270"/>
        <rFont val="Arial"/>
        <family val="0"/>
        <charset val="1"/>
      </rPr>
      <t xml:space="preserve">)</t>
    </r>
  </si>
  <si>
    <t xml:space="preserve">재질</t>
  </si>
  <si>
    <t xml:space="preserve">규격</t>
  </si>
  <si>
    <t xml:space="preserve">총 입고</t>
  </si>
  <si>
    <r>
      <rPr>
        <b val="true"/>
        <sz val="10"/>
        <rFont val="WenQuanYi Zen Hei"/>
        <family val="2"/>
      </rPr>
      <t xml:space="preserve">전체 출고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입고−실재고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</si>
  <si>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오픈마켓 판매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판매현황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</si>
  <si>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실재고
</t>
    </r>
    <r>
      <rPr>
        <b val="true"/>
        <sz val="10"/>
        <rFont val="Arial"/>
        <family val="0"/>
        <charset val="1"/>
      </rPr>
      <t xml:space="preserve">(10/7)</t>
    </r>
  </si>
  <si>
    <t xml:space="preserve">상태</t>
  </si>
  <si>
    <r>
      <rPr>
        <b val="true"/>
        <sz val="10"/>
        <rFont val="WenQuanYi Zen Hei"/>
        <family val="2"/>
      </rPr>
      <t xml:space="preserve">최근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
오픈마켓 판매</t>
    </r>
  </si>
  <si>
    <r>
      <rPr>
        <b val="true"/>
        <sz val="10"/>
        <rFont val="WenQuanYi Zen Hei"/>
        <family val="2"/>
      </rPr>
      <t xml:space="preserve">소진 예상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</si>
  <si>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판매가
</t>
    </r>
    <r>
      <rPr>
        <b val="true"/>
        <sz val="10"/>
        <rFont val="Arial"/>
        <family val="0"/>
        <charset val="1"/>
      </rPr>
      <t xml:space="preserve">(VAT </t>
    </r>
    <r>
      <rPr>
        <b val="true"/>
        <sz val="10"/>
        <rFont val="WenQuanYi Zen Hei"/>
        <family val="2"/>
      </rPr>
      <t xml:space="preserve">포함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</si>
  <si>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일반 판매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출고−오픈마켓</t>
    </r>
    <r>
      <rPr>
        <b val="true"/>
        <sz val="10"/>
        <rFont val="Arial"/>
        <family val="0"/>
        <charset val="1"/>
      </rPr>
      <t xml:space="preserve">)</t>
    </r>
  </si>
  <si>
    <t xml:space="preserve">비고</t>
  </si>
  <si>
    <t xml:space="preserve">아트지</t>
  </si>
  <si>
    <t xml:space="preserve">35*20</t>
  </si>
  <si>
    <t xml:space="preserve">오픈마켓 판매 아님</t>
  </si>
  <si>
    <t xml:space="preserve">40*20</t>
  </si>
  <si>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롤</t>
    </r>
  </si>
  <si>
    <t xml:space="preserve">50*30</t>
  </si>
  <si>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롤</t>
    </r>
  </si>
  <si>
    <t xml:space="preserve">50*50</t>
  </si>
  <si>
    <r>
      <rPr>
        <sz val="10"/>
        <color rgb="FF0000FF"/>
        <rFont val="WenQuanYi Zen Hei"/>
        <family val="2"/>
      </rPr>
      <t xml:space="preserve">지마켓 </t>
    </r>
    <r>
      <rPr>
        <sz val="10"/>
        <color rgb="FF0000FF"/>
        <rFont val="Arial"/>
        <family val="0"/>
        <charset val="1"/>
      </rPr>
      <t xml:space="preserve">20</t>
    </r>
    <r>
      <rPr>
        <sz val="10"/>
        <color rgb="FF0000FF"/>
        <rFont val="WenQuanYi Zen Hei"/>
        <family val="2"/>
      </rPr>
      <t xml:space="preserve">롤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WenQuanYi Zen Hei"/>
        <family val="2"/>
      </rPr>
      <t xml:space="preserve">쿠팡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롤</t>
    </r>
  </si>
  <si>
    <t xml:space="preserve">60*40</t>
  </si>
  <si>
    <r>
      <rPr>
        <sz val="10"/>
        <color rgb="FF0000FF"/>
        <rFont val="WenQuanYi Zen Hei"/>
        <family val="2"/>
      </rPr>
      <t xml:space="preserve">쿠팡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롤</t>
    </r>
    <r>
      <rPr>
        <sz val="10"/>
        <color rgb="FF0000FF"/>
        <rFont val="Arial"/>
        <family val="0"/>
        <charset val="1"/>
      </rPr>
      <t xml:space="preserve">+</t>
    </r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롤</t>
    </r>
  </si>
  <si>
    <t xml:space="preserve">70*40</t>
  </si>
  <si>
    <t xml:space="preserve">80*60</t>
  </si>
  <si>
    <t xml:space="preserve">100*60</t>
  </si>
  <si>
    <r>
      <rPr>
        <sz val="10"/>
        <color rgb="FF0000FF"/>
        <rFont val="WenQuanYi Zen Hei"/>
        <family val="2"/>
      </rPr>
      <t xml:space="preserve">지마켓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롤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WenQuanYi Zen Hei"/>
        <family val="2"/>
      </rPr>
      <t xml:space="preserve">쿠팡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롤</t>
    </r>
    <r>
      <rPr>
        <sz val="10"/>
        <color rgb="FF0000FF"/>
        <rFont val="Arial"/>
        <family val="0"/>
        <charset val="1"/>
      </rPr>
      <t xml:space="preserve">+</t>
    </r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롤</t>
    </r>
  </si>
  <si>
    <t xml:space="preserve">100*70</t>
  </si>
  <si>
    <t xml:space="preserve">100*100</t>
  </si>
  <si>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11</t>
    </r>
    <r>
      <rPr>
        <sz val="10"/>
        <color rgb="FF0000FF"/>
        <rFont val="WenQuanYi Zen Hei"/>
        <family val="2"/>
      </rPr>
      <t xml:space="preserve">롤</t>
    </r>
  </si>
  <si>
    <t xml:space="preserve">유포지</t>
  </si>
  <si>
    <t xml:space="preserve">30*15</t>
  </si>
  <si>
    <r>
      <rPr>
        <sz val="10"/>
        <color rgb="FF0000FF"/>
        <rFont val="WenQuanYi Zen Hei"/>
        <family val="2"/>
      </rPr>
      <t xml:space="preserve">쿠팡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롤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WenQuanYi Zen Hei"/>
        <family val="2"/>
      </rPr>
      <t xml:space="preserve">롤</t>
    </r>
  </si>
  <si>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롤</t>
    </r>
  </si>
  <si>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롤</t>
    </r>
  </si>
  <si>
    <t xml:space="preserve">70*50</t>
  </si>
  <si>
    <r>
      <rPr>
        <sz val="10"/>
        <color rgb="FF0000FF"/>
        <rFont val="WenQuanYi Zen Hei"/>
        <family val="2"/>
      </rPr>
      <t xml:space="preserve">쿠팡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롤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롤</t>
    </r>
  </si>
  <si>
    <t xml:space="preserve">70*60</t>
  </si>
  <si>
    <t xml:space="preserve">100*35</t>
  </si>
  <si>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롤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WenQuanYi Zen Hei"/>
        <family val="2"/>
      </rPr>
      <t xml:space="preserve">쿠팡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롤</t>
    </r>
  </si>
  <si>
    <t xml:space="preserve">100*80</t>
  </si>
  <si>
    <r>
      <rPr>
        <sz val="10"/>
        <color rgb="FF0000FF"/>
        <rFont val="WenQuanYi Zen Hei"/>
        <family val="2"/>
      </rPr>
      <t xml:space="preserve">지마켓 </t>
    </r>
    <r>
      <rPr>
        <sz val="10"/>
        <color rgb="FF0000FF"/>
        <rFont val="Arial"/>
        <family val="0"/>
        <charset val="1"/>
      </rPr>
      <t xml:space="preserve">19</t>
    </r>
    <r>
      <rPr>
        <sz val="10"/>
        <color rgb="FF0000FF"/>
        <rFont val="WenQuanYi Zen Hei"/>
        <family val="2"/>
      </rPr>
      <t xml:space="preserve">롤</t>
    </r>
  </si>
  <si>
    <t xml:space="preserve">100*90</t>
  </si>
  <si>
    <r>
      <rPr>
        <sz val="10"/>
        <color rgb="FF0000FF"/>
        <rFont val="WenQuanYi Zen Hei"/>
        <family val="2"/>
      </rPr>
      <t xml:space="preserve">쿠팡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롤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롤</t>
    </r>
  </si>
  <si>
    <r>
      <rPr>
        <sz val="10"/>
        <color rgb="FF0000FF"/>
        <rFont val="WenQuanYi Zen Hei"/>
        <family val="2"/>
      </rPr>
      <t xml:space="preserve">전문몰 </t>
    </r>
    <r>
      <rPr>
        <sz val="10"/>
        <color rgb="FF0000FF"/>
        <rFont val="Arial"/>
        <family val="0"/>
        <charset val="1"/>
      </rPr>
      <t xml:space="preserve">14</t>
    </r>
    <r>
      <rPr>
        <sz val="10"/>
        <color rgb="FF0000FF"/>
        <rFont val="WenQuanYi Zen Hei"/>
        <family val="2"/>
      </rPr>
      <t xml:space="preserve">롤</t>
    </r>
  </si>
  <si>
    <t xml:space="preserve">100*150</t>
  </si>
  <si>
    <t xml:space="preserve">감열지</t>
  </si>
  <si>
    <t xml:space="preserve">80*70</t>
  </si>
  <si>
    <r>
      <rPr>
        <sz val="10"/>
        <color rgb="FF0000FF"/>
        <rFont val="WenQuanYi Zen Hei"/>
        <family val="2"/>
      </rPr>
      <t xml:space="preserve">쿠팡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롤</t>
    </r>
  </si>
  <si>
    <r>
      <rPr>
        <sz val="10"/>
        <color rgb="FF0000FF"/>
        <rFont val="WenQuanYi Zen Hei"/>
        <family val="2"/>
      </rPr>
      <t xml:space="preserve">지마켓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WenQuanYi Zen Hei"/>
        <family val="2"/>
      </rPr>
      <t xml:space="preserve">롤</t>
    </r>
  </si>
  <si>
    <r>
      <rPr>
        <sz val="9"/>
        <color rgb="FF5A6270"/>
        <rFont val="WenQuanYi Zen Hei"/>
        <family val="2"/>
      </rPr>
      <t xml:space="preserve">파란 글씨 </t>
    </r>
    <r>
      <rPr>
        <sz val="9"/>
        <color rgb="FF5A6270"/>
        <rFont val="Arial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입력값</t>
    </r>
    <r>
      <rPr>
        <sz val="9"/>
        <color rgb="FF5A6270"/>
        <rFont val="Arial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입고</t>
    </r>
    <r>
      <rPr>
        <sz val="9"/>
        <color rgb="FF5A6270"/>
        <rFont val="Arial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판매가</t>
    </r>
    <r>
      <rPr>
        <sz val="9"/>
        <color rgb="FF5A6270"/>
        <rFont val="Arial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비고는 라벨 마스터</t>
    </r>
    <r>
      <rPr>
        <sz val="9"/>
        <color rgb="FF5A6270"/>
        <rFont val="Arial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실재고는 재고 프로그램 </t>
    </r>
    <r>
      <rPr>
        <sz val="9"/>
        <color rgb="FF5A6270"/>
        <rFont val="Arial"/>
        <family val="0"/>
        <charset val="1"/>
      </rPr>
      <t xml:space="preserve">10/7). </t>
    </r>
    <r>
      <rPr>
        <sz val="9"/>
        <color rgb="FF5A6270"/>
        <rFont val="WenQuanYi Zen Hei"/>
        <family val="2"/>
      </rPr>
      <t xml:space="preserve">판매현황의 </t>
    </r>
    <r>
      <rPr>
        <sz val="9"/>
        <color rgb="FF5A6270"/>
        <rFont val="Arial"/>
        <family val="0"/>
        <charset val="1"/>
      </rPr>
      <t xml:space="preserve">9/3 “</t>
    </r>
    <r>
      <rPr>
        <sz val="9"/>
        <color rgb="FF5A6270"/>
        <rFont val="WenQuanYi Zen Hei"/>
        <family val="2"/>
      </rPr>
      <t xml:space="preserve">아트지 </t>
    </r>
    <r>
      <rPr>
        <sz val="9"/>
        <color rgb="FF5A6270"/>
        <rFont val="Arial"/>
        <family val="0"/>
        <charset val="1"/>
      </rPr>
      <t xml:space="preserve">80*40” 1</t>
    </r>
    <r>
      <rPr>
        <sz val="9"/>
        <color rgb="FF5A6270"/>
        <rFont val="WenQuanYi Zen Hei"/>
        <family val="2"/>
      </rPr>
      <t xml:space="preserve">건은 입력 실수라 아트지 </t>
    </r>
    <r>
      <rPr>
        <sz val="9"/>
        <color rgb="FF5A6270"/>
        <rFont val="Arial"/>
        <family val="0"/>
        <charset val="1"/>
      </rPr>
      <t xml:space="preserve">80*60</t>
    </r>
    <r>
      <rPr>
        <sz val="9"/>
        <color rgb="FF5A6270"/>
        <rFont val="WenQuanYi Zen Hei"/>
        <family val="2"/>
      </rPr>
      <t xml:space="preserve">으로 고쳤습니다</t>
    </r>
    <r>
      <rPr>
        <sz val="9"/>
        <color rgb="FF5A6270"/>
        <rFont val="Arial"/>
        <family val="0"/>
        <charset val="1"/>
      </rPr>
      <t xml:space="preserve">.</t>
    </r>
  </si>
  <si>
    <t xml:space="preserve">규격 수</t>
  </si>
  <si>
    <t xml:space="preserve">전체 출고</t>
  </si>
  <si>
    <t xml:space="preserve">오픈마켓 판매</t>
  </si>
  <si>
    <t xml:space="preserve">실재고</t>
  </si>
  <si>
    <t xml:space="preserve">품절</t>
  </si>
  <si>
    <t xml:space="preserve">부족</t>
  </si>
  <si>
    <r>
      <rPr>
        <b val="true"/>
        <sz val="10"/>
        <rFont val="WenQuanYi Zen Hei"/>
        <family val="2"/>
      </rPr>
      <t xml:space="preserve">최근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 판매</t>
    </r>
  </si>
  <si>
    <r>
      <rPr>
        <b val="true"/>
        <sz val="12"/>
        <color rgb="FFFFFFFF"/>
        <rFont val="Arial"/>
        <family val="0"/>
        <charset val="1"/>
      </rPr>
      <t xml:space="preserve">2. </t>
    </r>
    <r>
      <rPr>
        <b val="true"/>
        <sz val="12"/>
        <color rgb="FFFFFFFF"/>
        <rFont val="WenQuanYi Zen Hei"/>
        <family val="2"/>
      </rPr>
      <t xml:space="preserve">쇼핑검색 광고 효과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광고 판매처 </t>
    </r>
    <r>
      <rPr>
        <b val="true"/>
        <sz val="12"/>
        <color rgb="FFFFFFFF"/>
        <rFont val="Arial"/>
        <family val="0"/>
        <charset val="1"/>
      </rPr>
      <t xml:space="preserve">= </t>
    </r>
    <r>
      <rPr>
        <b val="true"/>
        <sz val="12"/>
        <color rgb="FFFFFFFF"/>
        <rFont val="WenQuanYi Zen Hei"/>
        <family val="2"/>
      </rPr>
      <t xml:space="preserve">전문몰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</si>
  <si>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sz val="9"/>
        <color rgb="FF5A6270"/>
        <rFont val="WenQuanYi Zen Hei"/>
        <family val="2"/>
      </rPr>
      <t xml:space="preserve">광고 테스트 기간과</t>
    </r>
    <r>
      <rPr>
        <sz val="9"/>
        <color rgb="FF5A6270"/>
        <rFont val="Arial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바로 앞의 같은 일수 기간을 비교합니다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평소 수준은 </t>
    </r>
    <r>
      <rPr>
        <sz val="9"/>
        <color rgb="FF5A6270"/>
        <rFont val="Arial"/>
        <family val="0"/>
        <charset val="1"/>
      </rPr>
      <t xml:space="preserve">8/1</t>
    </r>
    <r>
      <rPr>
        <sz val="9"/>
        <color rgb="FF5A6270"/>
        <rFont val="WenQuanYi Zen Hei"/>
        <family val="2"/>
      </rPr>
      <t xml:space="preserve">부터 광고 전날까지를 같은 일수로 환산한 값입니다</t>
    </r>
    <r>
      <rPr>
        <sz val="9"/>
        <color rgb="FF5A6270"/>
        <rFont val="Arial"/>
        <family val="0"/>
        <charset val="1"/>
      </rPr>
      <t xml:space="preserve">.</t>
    </r>
  </si>
  <si>
    <t xml:space="preserve">광고 전 비교기간</t>
  </si>
  <si>
    <t xml:space="preserve">광고 테스트 기간</t>
  </si>
  <si>
    <t xml:space="preserve">평소 수준 산출 기간</t>
  </si>
  <si>
    <t xml:space="preserve">구분</t>
  </si>
  <si>
    <t xml:space="preserve">광고 전
건수</t>
  </si>
  <si>
    <t xml:space="preserve">광고 전
롤</t>
  </si>
  <si>
    <t xml:space="preserve">광고 중
건수</t>
  </si>
  <si>
    <t xml:space="preserve">광고 중
롤</t>
  </si>
  <si>
    <t xml:space="preserve">증감
건수</t>
  </si>
  <si>
    <t xml:space="preserve">증감
롤</t>
  </si>
  <si>
    <t xml:space="preserve">평소 수준
건수</t>
  </si>
  <si>
    <t xml:space="preserve">평소 수준
롤</t>
  </si>
  <si>
    <t xml:space="preserve">평소 대비
건수</t>
  </si>
  <si>
    <t xml:space="preserve">평소 대비
롤</t>
  </si>
  <si>
    <r>
      <rPr>
        <b val="true"/>
        <sz val="10"/>
        <rFont val="WenQuanYi Zen Hei"/>
        <family val="2"/>
      </rPr>
      <t xml:space="preserve">전문몰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우리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광고</t>
    </r>
    <r>
      <rPr>
        <b val="true"/>
        <sz val="10"/>
        <rFont val="Arial"/>
        <family val="0"/>
        <charset val="1"/>
      </rPr>
      <t xml:space="preserve">)</t>
    </r>
  </si>
  <si>
    <t xml:space="preserve">그 외 판매처</t>
  </si>
  <si>
    <t xml:space="preserve">전체</t>
  </si>
  <si>
    <r>
      <rPr>
        <sz val="10"/>
        <rFont val="WenQuanYi Zen Hei"/>
        <family val="2"/>
      </rPr>
      <t xml:space="preserve">전문몰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아트지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아트라벨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</si>
  <si>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전문몰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유포지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유포라벨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</si>
  <si>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전문몰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감열지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감열라벨</t>
    </r>
    <r>
      <rPr>
        <sz val="10"/>
        <rFont val="Arial"/>
        <family val="0"/>
        <charset val="1"/>
      </rPr>
      <t xml:space="preserve">)</t>
    </r>
  </si>
  <si>
    <t xml:space="preserve">광고 테스트 기간 전문몰 판매 내역</t>
  </si>
  <si>
    <t xml:space="preserve">판매일자</t>
  </si>
  <si>
    <t xml:space="preserve">판매처</t>
  </si>
  <si>
    <r>
      <rPr>
        <b val="true"/>
        <sz val="10"/>
        <rFont val="WenQuanYi Zen Hei"/>
        <family val="2"/>
      </rPr>
      <t xml:space="preserve">수량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롤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</si>
  <si>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A6270"/>
        <rFont val="WenQuanYi Zen Hei"/>
        <family val="2"/>
      </rPr>
      <t xml:space="preserve">초록 글씨 </t>
    </r>
    <r>
      <rPr>
        <sz val="9"/>
        <color rgb="FF5A6270"/>
        <rFont val="Arial"/>
        <family val="0"/>
        <charset val="1"/>
      </rPr>
      <t xml:space="preserve">= </t>
    </r>
    <r>
      <rPr>
        <sz val="9"/>
        <color rgb="FF5A6270"/>
        <rFont val="WenQuanYi Zen Hei"/>
        <family val="2"/>
      </rPr>
      <t xml:space="preserve">원본</t>
    </r>
    <r>
      <rPr>
        <sz val="9"/>
        <color rgb="FF5A6270"/>
        <rFont val="Arial"/>
        <family val="0"/>
        <charset val="1"/>
      </rPr>
      <t xml:space="preserve">_</t>
    </r>
    <r>
      <rPr>
        <sz val="9"/>
        <color rgb="FF5A6270"/>
        <rFont val="WenQuanYi Zen Hei"/>
        <family val="2"/>
      </rPr>
      <t xml:space="preserve">판매현황 시트에서 옮긴 값 </t>
    </r>
    <r>
      <rPr>
        <sz val="9"/>
        <color rgb="FF5A6270"/>
        <rFont val="Arial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작성일 기준 고정 목록</t>
    </r>
    <r>
      <rPr>
        <sz val="9"/>
        <color rgb="FF5A6270"/>
        <rFont val="Arial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</si>
  <si>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광고한 상품별 판매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키워드 ↔ 광고 상품</t>
    </r>
    <r>
      <rPr>
        <b val="true"/>
        <sz val="10"/>
        <rFont val="Arial"/>
        <family val="0"/>
        <charset val="1"/>
      </rPr>
      <t xml:space="preserve">)</t>
    </r>
  </si>
  <si>
    <t xml:space="preserve">광고 전
전문몰 건수</t>
  </si>
  <si>
    <t xml:space="preserve">광고 전
전문몰 롤</t>
  </si>
  <si>
    <t xml:space="preserve">광고 중
전문몰 건수</t>
  </si>
  <si>
    <t xml:space="preserve">광고 중
전문몰 롤</t>
  </si>
  <si>
    <t xml:space="preserve">광고 중
전체 건수</t>
  </si>
  <si>
    <t xml:space="preserve">광고 중
전체 롤</t>
  </si>
  <si>
    <t xml:space="preserve">메인
최고 순위</t>
  </si>
  <si>
    <t xml:space="preserve">현재고</t>
  </si>
  <si>
    <t xml:space="preserve">판단</t>
  </si>
  <si>
    <r>
      <rPr>
        <sz val="9"/>
        <color rgb="FF5A6270"/>
        <rFont val="WenQuanYi Zen Hei"/>
        <family val="2"/>
      </rPr>
      <t xml:space="preserve">메인 최고 순위는 ‘</t>
    </r>
    <r>
      <rPr>
        <sz val="9"/>
        <color rgb="FF5A6270"/>
        <rFont val="Arial"/>
        <family val="0"/>
        <charset val="1"/>
      </rPr>
      <t xml:space="preserve">1.</t>
    </r>
    <r>
      <rPr>
        <sz val="9"/>
        <color rgb="FF5A6270"/>
        <rFont val="WenQuanYi Zen Hei"/>
        <family val="2"/>
      </rPr>
      <t xml:space="preserve">쇼핑검색 테스트’ 시트에서 가져옵니다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광고 기간에 감열지 </t>
    </r>
    <r>
      <rPr>
        <sz val="9"/>
        <color rgb="FF5A6270"/>
        <rFont val="Arial"/>
        <family val="0"/>
        <charset val="1"/>
      </rPr>
      <t xml:space="preserve">100*100</t>
    </r>
    <r>
      <rPr>
        <sz val="9"/>
        <color rgb="FF5A6270"/>
        <rFont val="WenQuanYi Zen Hei"/>
        <family val="2"/>
      </rPr>
      <t xml:space="preserve">은 지마켓</t>
    </r>
    <r>
      <rPr>
        <sz val="9"/>
        <color rgb="FF5A6270"/>
        <rFont val="Arial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코스모스몰</t>
    </r>
    <r>
      <rPr>
        <sz val="9"/>
        <color rgb="FF5A6270"/>
        <rFont val="Arial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아트지 </t>
    </r>
    <r>
      <rPr>
        <sz val="9"/>
        <color rgb="FF5A6270"/>
        <rFont val="Arial"/>
        <family val="0"/>
        <charset val="1"/>
      </rPr>
      <t xml:space="preserve">60*40</t>
    </r>
    <r>
      <rPr>
        <sz val="9"/>
        <color rgb="FF5A6270"/>
        <rFont val="WenQuanYi Zen Hei"/>
        <family val="2"/>
      </rPr>
      <t xml:space="preserve">은 쿠팡에서만 팔렸고 전문몰 판매는 없었습니다</t>
    </r>
    <r>
      <rPr>
        <sz val="9"/>
        <color rgb="FF5A6270"/>
        <rFont val="Arial"/>
        <family val="0"/>
        <charset val="1"/>
      </rPr>
      <t xml:space="preserve">.</t>
    </r>
  </si>
  <si>
    <r>
      <rPr>
        <b val="true"/>
        <sz val="12"/>
        <color rgb="FFFFFFFF"/>
        <rFont val="Arial"/>
        <family val="0"/>
        <charset val="1"/>
      </rPr>
      <t xml:space="preserve">3. 9/22 </t>
    </r>
    <r>
      <rPr>
        <b val="true"/>
        <sz val="12"/>
        <color rgb="FFFFFFFF"/>
        <rFont val="WenQuanYi Zen Hei"/>
        <family val="2"/>
      </rPr>
      <t xml:space="preserve">가격 수정 효과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아트지 </t>
    </r>
    <r>
      <rPr>
        <b val="true"/>
        <sz val="12"/>
        <color rgb="FFFFFFFF"/>
        <rFont val="Arial"/>
        <family val="0"/>
        <charset val="1"/>
      </rPr>
      <t xml:space="preserve">35*20, </t>
    </r>
    <r>
      <rPr>
        <b val="true"/>
        <sz val="12"/>
        <color rgb="FFFFFFFF"/>
        <rFont val="WenQuanYi Zen Hei"/>
        <family val="2"/>
      </rPr>
      <t xml:space="preserve">아트지 </t>
    </r>
    <r>
      <rPr>
        <b val="true"/>
        <sz val="12"/>
        <color rgb="FFFFFFFF"/>
        <rFont val="Arial"/>
        <family val="0"/>
        <charset val="1"/>
      </rPr>
      <t xml:space="preserve">100*100)</t>
    </r>
  </si>
  <si>
    <r>
      <rPr>
        <sz val="9"/>
        <color rgb="FF5A6270"/>
        <rFont val="WenQuanYi Zen Hei"/>
        <family val="2"/>
      </rPr>
      <t xml:space="preserve">가격 수정일 전</t>
    </r>
    <r>
      <rPr>
        <sz val="9"/>
        <color rgb="FF5A6270"/>
        <rFont val="Arial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후 같은 일수를 비교합니다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수정 후 가격은 엑셀에 없어 노란 칸에 적어 주세요</t>
    </r>
    <r>
      <rPr>
        <sz val="9"/>
        <color rgb="FF5A6270"/>
        <rFont val="Arial"/>
        <family val="0"/>
        <charset val="1"/>
      </rPr>
      <t xml:space="preserve">. </t>
    </r>
    <r>
      <rPr>
        <sz val="9"/>
        <color rgb="FF5A6270"/>
        <rFont val="WenQuanYi Zen Hei"/>
        <family val="2"/>
      </rPr>
      <t xml:space="preserve">수정 전 가격은 마스터</t>
    </r>
    <r>
      <rPr>
        <sz val="9"/>
        <color rgb="FF5A6270"/>
        <rFont val="Arial"/>
        <family val="0"/>
        <charset val="1"/>
      </rPr>
      <t xml:space="preserve">(9/21 </t>
    </r>
    <r>
      <rPr>
        <sz val="9"/>
        <color rgb="FF5A6270"/>
        <rFont val="WenQuanYi Zen Hei"/>
        <family val="2"/>
      </rPr>
      <t xml:space="preserve">기준</t>
    </r>
    <r>
      <rPr>
        <sz val="9"/>
        <color rgb="FF5A6270"/>
        <rFont val="Arial"/>
        <family val="0"/>
        <charset val="1"/>
      </rPr>
      <t xml:space="preserve">) </t>
    </r>
    <r>
      <rPr>
        <sz val="9"/>
        <color rgb="FF5A6270"/>
        <rFont val="WenQuanYi Zen Hei"/>
        <family val="2"/>
      </rPr>
      <t xml:space="preserve">등록가입니다</t>
    </r>
    <r>
      <rPr>
        <sz val="9"/>
        <color rgb="FF5A6270"/>
        <rFont val="Arial"/>
        <family val="0"/>
        <charset val="1"/>
      </rPr>
      <t xml:space="preserve">.</t>
    </r>
  </si>
  <si>
    <t xml:space="preserve">수정 전 기간</t>
  </si>
  <si>
    <t xml:space="preserve">수정 후 기간</t>
  </si>
  <si>
    <r>
      <rPr>
        <b val="true"/>
        <sz val="10"/>
        <rFont val="WenQuanYi Zen Hei"/>
        <family val="2"/>
      </rPr>
      <t xml:space="preserve">수정 전 가격
</t>
    </r>
    <r>
      <rPr>
        <b val="true"/>
        <sz val="10"/>
        <rFont val="Arial"/>
        <family val="0"/>
        <charset val="1"/>
      </rPr>
      <t xml:space="preserve">(VAT </t>
    </r>
    <r>
      <rPr>
        <b val="true"/>
        <sz val="10"/>
        <rFont val="WenQuanYi Zen Hei"/>
        <family val="2"/>
      </rPr>
      <t xml:space="preserve">포함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</si>
  <si>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수정 후 가격
</t>
    </r>
    <r>
      <rPr>
        <b val="true"/>
        <sz val="10"/>
        <rFont val="Arial"/>
        <family val="0"/>
        <charset val="1"/>
      </rPr>
      <t xml:space="preserve">(VAT </t>
    </r>
    <r>
      <rPr>
        <b val="true"/>
        <sz val="10"/>
        <rFont val="WenQuanYi Zen Hei"/>
        <family val="2"/>
      </rPr>
      <t xml:space="preserve">포함</t>
    </r>
    <r>
      <rPr>
        <b val="true"/>
        <sz val="10"/>
        <rFont val="Arial"/>
        <family val="0"/>
        <charset val="1"/>
      </rPr>
      <t xml:space="preserve">)</t>
    </r>
  </si>
  <si>
    <t xml:space="preserve">가격 변화</t>
  </si>
  <si>
    <t xml:space="preserve">수정 전
건수</t>
  </si>
  <si>
    <t xml:space="preserve">수정 전
롤</t>
  </si>
  <si>
    <t xml:space="preserve">수정 후
건수</t>
  </si>
  <si>
    <t xml:space="preserve">수정 후
롤</t>
  </si>
  <si>
    <r>
      <rPr>
        <sz val="9"/>
        <color rgb="FF5A6270"/>
        <rFont val="WenQuanYi Zen Hei"/>
        <family val="2"/>
      </rPr>
      <t xml:space="preserve">참고</t>
    </r>
    <r>
      <rPr>
        <sz val="9"/>
        <color rgb="FF5A6270"/>
        <rFont val="Arial"/>
        <family val="0"/>
        <charset val="1"/>
      </rPr>
      <t xml:space="preserve">: </t>
    </r>
    <r>
      <rPr>
        <sz val="9"/>
        <color rgb="FF5A6270"/>
        <rFont val="WenQuanYi Zen Hei"/>
        <family val="2"/>
      </rPr>
      <t xml:space="preserve">마스터 기준 </t>
    </r>
    <r>
      <rPr>
        <sz val="9"/>
        <color rgb="FF5A6270"/>
        <rFont val="Arial"/>
        <family val="0"/>
        <charset val="1"/>
      </rPr>
      <t xml:space="preserve">35*20</t>
    </r>
    <r>
      <rPr>
        <sz val="9"/>
        <color rgb="FF5A6270"/>
        <rFont val="WenQuanYi Zen Hei"/>
        <family val="2"/>
      </rPr>
      <t xml:space="preserve">은 전체 판매 </t>
    </r>
    <r>
      <rPr>
        <sz val="9"/>
        <color rgb="FF5A6270"/>
        <rFont val="Arial"/>
        <family val="0"/>
        <charset val="1"/>
      </rPr>
      <t xml:space="preserve">16</t>
    </r>
    <r>
      <rPr>
        <sz val="9"/>
        <color rgb="FF5A6270"/>
        <rFont val="WenQuanYi Zen Hei"/>
        <family val="2"/>
      </rPr>
      <t xml:space="preserve">롤이지만 판매현황</t>
    </r>
    <r>
      <rPr>
        <sz val="9"/>
        <color rgb="FF5A6270"/>
        <rFont val="Arial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오픈마켓</t>
    </r>
    <r>
      <rPr>
        <sz val="9"/>
        <color rgb="FF5A6270"/>
        <rFont val="Arial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전문몰</t>
    </r>
    <r>
      <rPr>
        <sz val="9"/>
        <color rgb="FF5A6270"/>
        <rFont val="Arial"/>
        <family val="0"/>
        <charset val="1"/>
      </rPr>
      <t xml:space="preserve">)</t>
    </r>
    <r>
      <rPr>
        <sz val="9"/>
        <color rgb="FF5A6270"/>
        <rFont val="WenQuanYi Zen Hei"/>
        <family val="2"/>
      </rPr>
      <t xml:space="preserve">에는 기록이 없습니다</t>
    </r>
    <r>
      <rPr>
        <sz val="9"/>
        <color rgb="FF5A6270"/>
        <rFont val="Arial"/>
        <family val="0"/>
        <charset val="1"/>
      </rPr>
      <t xml:space="preserve">. 100*100</t>
    </r>
    <r>
      <rPr>
        <sz val="9"/>
        <color rgb="FF5A6270"/>
        <rFont val="WenQuanYi Zen Hei"/>
        <family val="2"/>
      </rPr>
      <t xml:space="preserve">은 </t>
    </r>
    <r>
      <rPr>
        <sz val="9"/>
        <color rgb="FF5A6270"/>
        <rFont val="Arial"/>
        <family val="0"/>
        <charset val="1"/>
      </rPr>
      <t xml:space="preserve">6/18 </t>
    </r>
    <r>
      <rPr>
        <sz val="9"/>
        <color rgb="FF5A6270"/>
        <rFont val="WenQuanYi Zen Hei"/>
        <family val="2"/>
      </rPr>
      <t xml:space="preserve">전문몰 </t>
    </r>
    <r>
      <rPr>
        <sz val="9"/>
        <color rgb="FF5A6270"/>
        <rFont val="Arial"/>
        <family val="0"/>
        <charset val="1"/>
      </rPr>
      <t xml:space="preserve">10</t>
    </r>
    <r>
      <rPr>
        <sz val="9"/>
        <color rgb="FF5A6270"/>
        <rFont val="WenQuanYi Zen Hei"/>
        <family val="2"/>
      </rPr>
      <t xml:space="preserve">롤</t>
    </r>
    <r>
      <rPr>
        <sz val="9"/>
        <color rgb="FF5A6270"/>
        <rFont val="Arial"/>
        <family val="0"/>
        <charset val="1"/>
      </rPr>
      <t xml:space="preserve">, 9/7 </t>
    </r>
    <r>
      <rPr>
        <sz val="9"/>
        <color rgb="FF5A6270"/>
        <rFont val="WenQuanYi Zen Hei"/>
        <family val="2"/>
      </rPr>
      <t xml:space="preserve">전문몰 </t>
    </r>
    <r>
      <rPr>
        <sz val="9"/>
        <color rgb="FF5A6270"/>
        <rFont val="Arial"/>
        <family val="0"/>
        <charset val="1"/>
      </rPr>
      <t xml:space="preserve">1</t>
    </r>
    <r>
      <rPr>
        <sz val="9"/>
        <color rgb="FF5A6270"/>
        <rFont val="WenQuanYi Zen Hei"/>
        <family val="2"/>
      </rPr>
      <t xml:space="preserve">롤이 마지막 기록입니다</t>
    </r>
    <r>
      <rPr>
        <sz val="9"/>
        <color rgb="FF5A627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</si>
  <si>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판매수량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</si>
  <si>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판매가격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</si>
  <si>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품절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광고안함</t>
    </r>
  </si>
  <si>
    <t xml:space="preserve">지마켓</t>
  </si>
  <si>
    <t xml:space="preserve">왁스레진 함께 출고</t>
  </si>
  <si>
    <r>
      <rPr>
        <sz val="10"/>
        <color rgb="FF0000FF"/>
        <rFont val="WenQuanYi Zen Hei"/>
        <family val="2"/>
      </rPr>
      <t xml:space="preserve">오픈몰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WenQuanYi Zen Hei"/>
        <family val="2"/>
      </rPr>
      <t xml:space="preserve">재고 없어서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퀵</t>
    </r>
  </si>
  <si>
    <t xml:space="preserve">레진과 함께 출고</t>
  </si>
  <si>
    <t xml:space="preserve">쿠팡</t>
  </si>
  <si>
    <r>
      <rPr>
        <sz val="10"/>
        <color rgb="FF0000FF"/>
        <rFont val="WenQuanYi Zen Hei"/>
        <family val="2"/>
      </rPr>
      <t xml:space="preserve">전문몰 총 </t>
    </r>
    <r>
      <rPr>
        <sz val="10"/>
        <color rgb="FF0000FF"/>
        <rFont val="Arial"/>
        <family val="0"/>
        <charset val="1"/>
      </rPr>
      <t xml:space="preserve">99</t>
    </r>
    <r>
      <rPr>
        <sz val="10"/>
        <color rgb="FF0000FF"/>
        <rFont val="WenQuanYi Zen Hei"/>
        <family val="2"/>
      </rPr>
      <t xml:space="preserve">롤</t>
    </r>
  </si>
  <si>
    <r>
      <rPr>
        <sz val="10"/>
        <color rgb="FF0000FF"/>
        <rFont val="WenQuanYi Zen Hei"/>
        <family val="2"/>
      </rPr>
      <t xml:space="preserve">지마켓 총 </t>
    </r>
    <r>
      <rPr>
        <sz val="10"/>
        <color rgb="FF0000FF"/>
        <rFont val="Arial"/>
        <family val="0"/>
        <charset val="1"/>
      </rPr>
      <t xml:space="preserve">63</t>
    </r>
    <r>
      <rPr>
        <sz val="10"/>
        <color rgb="FF0000FF"/>
        <rFont val="WenQuanYi Zen Hei"/>
        <family val="2"/>
      </rPr>
      <t xml:space="preserve">롤</t>
    </r>
  </si>
  <si>
    <r>
      <rPr>
        <sz val="10"/>
        <color rgb="FF0000FF"/>
        <rFont val="WenQuanYi Zen Hei"/>
        <family val="2"/>
      </rPr>
      <t xml:space="preserve">쿠팡 총 </t>
    </r>
    <r>
      <rPr>
        <sz val="10"/>
        <color rgb="FF0000FF"/>
        <rFont val="Arial"/>
        <family val="0"/>
        <charset val="1"/>
      </rPr>
      <t xml:space="preserve">14</t>
    </r>
    <r>
      <rPr>
        <sz val="10"/>
        <color rgb="FF0000FF"/>
        <rFont val="WenQuanYi Zen Hei"/>
        <family val="2"/>
      </rPr>
      <t xml:space="preserve">롤</t>
    </r>
  </si>
  <si>
    <t xml:space="preserve">코스모스몰</t>
  </si>
  <si>
    <r>
      <rPr>
        <sz val="9"/>
        <color rgb="FF5A6270"/>
        <rFont val="WenQuanYi Zen Hei"/>
        <family val="2"/>
      </rPr>
      <t xml:space="preserve">출처</t>
    </r>
    <r>
      <rPr>
        <sz val="9"/>
        <color rgb="FF5A6270"/>
        <rFont val="Arial"/>
        <family val="0"/>
        <charset val="1"/>
      </rPr>
      <t xml:space="preserve">: </t>
    </r>
    <r>
      <rPr>
        <sz val="9"/>
        <color rgb="FF5A6270"/>
        <rFont val="WenQuanYi Zen Hei"/>
        <family val="2"/>
      </rPr>
      <t xml:space="preserve">라벨 마스터 </t>
    </r>
    <r>
      <rPr>
        <sz val="9"/>
        <color rgb="FF5A6270"/>
        <rFont val="Arial"/>
        <family val="0"/>
        <charset val="1"/>
      </rPr>
      <t xml:space="preserve">V14.xlsx ‘</t>
    </r>
    <r>
      <rPr>
        <sz val="9"/>
        <color rgb="FF5A6270"/>
        <rFont val="WenQuanYi Zen Hei"/>
        <family val="2"/>
      </rPr>
      <t xml:space="preserve">판매현황’ 시트 </t>
    </r>
    <r>
      <rPr>
        <sz val="9"/>
        <color rgb="FF5A6270"/>
        <rFont val="Arial"/>
        <family val="0"/>
        <charset val="1"/>
      </rPr>
      <t xml:space="preserve">(</t>
    </r>
    <r>
      <rPr>
        <sz val="9"/>
        <color rgb="FF5A6270"/>
        <rFont val="WenQuanYi Zen Hei"/>
        <family val="2"/>
      </rPr>
      <t xml:space="preserve">판매일자</t>
    </r>
    <r>
      <rPr>
        <sz val="9"/>
        <color rgb="FF5A6270"/>
        <rFont val="Arial"/>
        <family val="0"/>
        <charset val="1"/>
      </rPr>
      <t xml:space="preserve">·</t>
    </r>
    <r>
      <rPr>
        <sz val="9"/>
        <color rgb="FF5A6270"/>
        <rFont val="WenQuanYi Zen Hei"/>
        <family val="2"/>
      </rPr>
      <t xml:space="preserve">수량이 있는 </t>
    </r>
    <r>
      <rPr>
        <sz val="9"/>
        <color rgb="FF5A6270"/>
        <rFont val="Arial"/>
        <family val="0"/>
        <charset val="1"/>
      </rPr>
      <t xml:space="preserve">49</t>
    </r>
    <r>
      <rPr>
        <sz val="9"/>
        <color rgb="FF5A6270"/>
        <rFont val="WenQuanYi Zen Hei"/>
        <family val="2"/>
      </rPr>
      <t xml:space="preserve">행</t>
    </r>
    <r>
      <rPr>
        <sz val="9"/>
        <color rgb="FF5A6270"/>
        <rFont val="Arial"/>
        <family val="0"/>
        <charset val="1"/>
      </rPr>
      <t xml:space="preserve">, </t>
    </r>
    <r>
      <rPr>
        <sz val="9"/>
        <color rgb="FF5A6270"/>
        <rFont val="WenQuanYi Zen Hei"/>
        <family val="2"/>
      </rPr>
      <t xml:space="preserve">날짜순 정렬</t>
    </r>
    <r>
      <rPr>
        <sz val="9"/>
        <color rgb="FF5A6270"/>
        <rFont val="Arial"/>
        <family val="0"/>
        <charset val="1"/>
      </rPr>
      <t xml:space="preserve">). </t>
    </r>
    <r>
      <rPr>
        <sz val="9"/>
        <color rgb="FF5A6270"/>
        <rFont val="WenQuanYi Zen Hei"/>
        <family val="2"/>
      </rPr>
      <t xml:space="preserve">새 판매는 맨 아래 행에 이어서 적으면 보고서 수식에 반영됩니다</t>
    </r>
    <r>
      <rPr>
        <sz val="9"/>
        <color rgb="FF5A6270"/>
        <rFont val="Arial"/>
        <family val="0"/>
        <charset val="1"/>
      </rPr>
      <t xml:space="preserve">(500</t>
    </r>
    <r>
      <rPr>
        <sz val="9"/>
        <color rgb="FF5A6270"/>
        <rFont val="WenQuanYi Zen Hei"/>
        <family val="2"/>
      </rPr>
      <t xml:space="preserve">행까지</t>
    </r>
    <r>
      <rPr>
        <sz val="9"/>
        <color rgb="FF5A6270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</si>
</sst>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\원;\-#,##0\원;\-"/>
    <numFmt numFmtId="166" formatCode="#,##0\건;\-#,##0\건;&quot;0건&quot;"/>
    <numFmt numFmtId="167" formatCode="0.0\위"/>
    <numFmt numFmtId="168" formatCode="#,##0;\-#,##0;\-"/>
    <numFmt numFmtId="169" formatCode="yyyy\-mm\-dd"/>
    <numFmt numFmtId="170" formatCode="0\위"/>
    <numFmt numFmtId="171" formatCode="#,##0\롤"/>
    <numFmt numFmtId="172" formatCode="0.0"/>
    <numFmt numFmtId="173" formatCode="0\일"/>
    <numFmt numFmtId="174" formatCode="\+#,##0;\-#,##0;0"/>
    <numFmt numFmtId="175" formatCode="\+0%;\-0%;0%"/>
    <numFmt numFmtId="176" formatCode="\+0.0%;\-0.0%;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WenQuanYi Zen Hei"/>
      <family val="2"/>
    </font>
    <font>
      <sz val="10"/>
      <color rgb="FF5A6270"/>
      <name val="WenQuanYi Zen Hei"/>
      <family val="2"/>
    </font>
    <font>
      <sz val="10"/>
      <color rgb="FF5A6270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2"/>
      <color rgb="FFFFFFFF"/>
      <name val="WenQuanYi Zen Hei"/>
      <family val="2"/>
    </font>
    <font>
      <b val="true"/>
      <sz val="12"/>
      <color rgb="FFFFFFFF"/>
      <name val="Arial"/>
      <family val="0"/>
      <charset val="1"/>
    </font>
    <font>
      <sz val="9"/>
      <color rgb="FF5A6270"/>
      <name val="WenQuanYi Zen Hei"/>
      <family val="2"/>
    </font>
    <font>
      <sz val="9"/>
      <color rgb="FF5A6270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0000FF"/>
      <name val="WenQuanYi Zen Hei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800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F2F3F5"/>
        <bgColor rgb="FFFCF0D6"/>
      </patternFill>
    </fill>
    <fill>
      <patternFill patternType="solid">
        <fgColor rgb="FF1F2A44"/>
        <bgColor rgb="FF003366"/>
      </patternFill>
    </fill>
    <fill>
      <patternFill patternType="solid">
        <fgColor rgb="FFFFF4C2"/>
        <bgColor rgb="FFFCF0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n">
        <color rgb="FFD5D9E0"/>
      </left>
      <right/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  <fill>
        <patternFill>
          <bgColor rgb="FFFBE4E4"/>
        </patternFill>
      </fill>
    </dxf>
    <dxf>
      <font>
        <name val="Arial"/>
        <charset val="1"/>
        <family val="0"/>
        <b val="1"/>
        <color rgb="FF9A6200"/>
      </font>
      <fill>
        <patternFill>
          <bgColor rgb="FFFCF0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200"/>
      <rgbColor rgb="FF800080"/>
      <rgbColor rgb="FF008080"/>
      <rgbColor rgb="FFC0C0C0"/>
      <rgbColor rgb="FF808080"/>
      <rgbColor rgb="FF9999FF"/>
      <rgbColor rgb="FF993366"/>
      <rgbColor rgb="FFFFF4C2"/>
      <rgbColor rgb="FFF2F3F5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F0D6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A62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9" min="7" style="0" width="10"/>
    <col collapsed="false" customWidth="true" hidden="false" outlineLevel="0" max="12" min="10" style="0" width="15"/>
    <col collapsed="false" customWidth="true" hidden="false" outlineLevel="0" max="13" min="13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3" t="s">
        <v>4</v>
      </c>
      <c r="B5" s="3"/>
      <c r="C5" s="5" t="s">
        <v>5</v>
      </c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3" t="s">
        <v>6</v>
      </c>
      <c r="B6" s="3"/>
      <c r="C6" s="5" t="s">
        <v>7</v>
      </c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3" t="s">
        <v>8</v>
      </c>
      <c r="B7" s="3"/>
      <c r="C7" s="5" t="s">
        <v>9</v>
      </c>
      <c r="D7" s="5"/>
      <c r="E7" s="5"/>
      <c r="F7" s="5"/>
      <c r="G7" s="5"/>
      <c r="H7" s="5"/>
      <c r="I7" s="5"/>
    </row>
    <row r="9" customFormat="false" ht="16.4" hidden="false" customHeight="false" outlineLevel="0" collapsed="false">
      <c r="A9" s="6" t="s">
        <v>10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customFormat="false" ht="15" hidden="false" customHeight="false" outlineLevel="0" collapsed="false">
      <c r="A10" s="8" t="s">
        <v>11</v>
      </c>
    </row>
    <row r="11" customFormat="false" ht="15" hidden="false" customHeight="false" outlineLevel="0" collapsed="false">
      <c r="A11" s="8" t="s">
        <v>12</v>
      </c>
    </row>
    <row r="12" customFormat="false" ht="15" hidden="false" customHeight="false" outlineLevel="0" collapsed="false">
      <c r="A12" s="8" t="s">
        <v>13</v>
      </c>
    </row>
    <row r="13" customFormat="false" ht="15" hidden="false" customHeight="false" outlineLevel="0" collapsed="false">
      <c r="A13" s="8" t="s">
        <v>14</v>
      </c>
    </row>
    <row r="14" customFormat="false" ht="15" hidden="false" customHeight="false" outlineLevel="0" collapsed="false">
      <c r="A14" s="8" t="s">
        <v>15</v>
      </c>
    </row>
    <row r="16" customFormat="false" ht="16.4" hidden="false" customHeight="false" outlineLevel="0" collapsed="false">
      <c r="A16" s="6" t="s">
        <v>16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5" hidden="false" customHeight="false" outlineLevel="0" collapsed="false">
      <c r="A17" s="9" t="s">
        <v>17</v>
      </c>
    </row>
    <row r="18" customFormat="false" ht="31.5" hidden="false" customHeight="true" outlineLevel="0" collapsed="false">
      <c r="A18" s="10" t="s">
        <v>18</v>
      </c>
      <c r="B18" s="10" t="s">
        <v>19</v>
      </c>
      <c r="C18" s="10" t="s">
        <v>20</v>
      </c>
      <c r="D18" s="10" t="s">
        <v>21</v>
      </c>
      <c r="E18" s="10" t="s">
        <v>22</v>
      </c>
      <c r="F18" s="10" t="s">
        <v>23</v>
      </c>
      <c r="G18" s="10" t="s">
        <v>24</v>
      </c>
      <c r="H18" s="10" t="s">
        <v>25</v>
      </c>
      <c r="I18" s="10" t="s">
        <v>26</v>
      </c>
      <c r="J18" s="10" t="s">
        <v>27</v>
      </c>
      <c r="K18" s="10" t="s">
        <v>28</v>
      </c>
      <c r="L18" s="10" t="s">
        <v>29</v>
      </c>
      <c r="M18" s="10" t="s">
        <v>30</v>
      </c>
    </row>
    <row r="19" customFormat="false" ht="15" hidden="false" customHeight="false" outlineLevel="0" collapsed="false">
      <c r="A19" s="11" t="s">
        <v>31</v>
      </c>
      <c r="B19" s="12" t="n">
        <f aca="false">IF(COUNTIFS($D$39:$D$91,$A19,$H$39:$H$91,"&lt;=1",$H$39:$H$91,"&gt;0",$F$39:$F$91,"&gt;0")=0,"기록 없음",_xlfn.MINIFS($F$39:$F$91,$D$39:$D$91,$A19,$H$39:$H$91,"&lt;=1",$H$39:$H$91,"&gt;0",$F$39:$F$91,"&gt;0"))</f>
        <v>3500</v>
      </c>
      <c r="C19" s="12" t="n">
        <f aca="false">IF(COUNTIFS($D$39:$D$91,$A19,$H$39:$H$91,"&lt;=2",$H$39:$H$91,"&gt;0",$F$39:$F$91,"&gt;0")=0,"기록 없음",_xlfn.MINIFS($F$39:$F$91,$D$39:$D$91,$A19,$H$39:$H$91,"&lt;=2",$H$39:$H$91,"&gt;0",$F$39:$F$91,"&gt;0"))</f>
        <v>2800</v>
      </c>
      <c r="D19" s="12" t="n">
        <f aca="false">IF(COUNTIFS($D$39:$D$91,$A19,$H$39:$H$91,"&lt;=3",$H$39:$H$91,"&gt;0",$F$39:$F$91,"&gt;0")=0,"기록 없음",_xlfn.MINIFS($F$39:$F$91,$D$39:$D$91,$A19,$H$39:$H$91,"&lt;=3",$H$39:$H$91,"&gt;0",$F$39:$F$91,"&gt;0"))</f>
        <v>2800</v>
      </c>
      <c r="E19" s="13" t="str">
        <f aca="false">IF(COUNTIFS($D$39:$D$91,$A19,$G$39:$G$91,"&lt;=1",$G$39:$G$91,"&gt;0",$F$39:$F$91,"&gt;0")=0,"기록 없음",_xlfn.MINIFS($F$39:$F$91,$D$39:$D$91,$A19,$G$39:$G$91,"&lt;=1",$G$39:$G$91,"&gt;0",$F$39:$F$91,"&gt;0"))</f>
        <v>기록 없음</v>
      </c>
      <c r="F19" s="13" t="n">
        <f aca="false">IF(COUNTIFS($D$39:$D$91,$A19,$G$39:$G$91,"&lt;=2",$G$39:$G$91,"&gt;0",$F$39:$F$91,"&gt;0")=0,"기록 없음",_xlfn.MINIFS($F$39:$F$91,$D$39:$D$91,$A19,$G$39:$G$91,"&lt;=2",$G$39:$G$91,"&gt;0",$F$39:$F$91,"&gt;0"))</f>
        <v>3000</v>
      </c>
      <c r="G19" s="13" t="n">
        <f aca="false">IF(COUNTIFS($D$39:$D$91,$A19,$G$39:$G$91,"&lt;=3",$G$39:$G$91,"&gt;0",$F$39:$F$91,"&gt;0")=0,"기록 없음",_xlfn.MINIFS($F$39:$F$91,$D$39:$D$91,$A19,$G$39:$G$91,"&lt;=3",$G$39:$G$91,"&gt;0",$F$39:$F$91,"&gt;0"))</f>
        <v>3000</v>
      </c>
      <c r="H19" s="14" t="n">
        <f aca="false">COUNTIF($D$39:$D$91,$A19)</f>
        <v>16</v>
      </c>
      <c r="I19" s="15" t="str">
        <f aca="false">IF(COUNTIFS($D$39:$D$91,$A19,$H$39:$H$91,"&gt;0")=0,"노출 없음",_xlfn.MINIFS($H$39:$H$91,$D$39:$D$91,$A19,$H$39:$H$91,"&gt;0")&amp;"위")</f>
        <v>1위</v>
      </c>
      <c r="J19" s="16" t="n">
        <f aca="false">IF(COUNTIFS($D$39:$D$91,$A19,$H$39:$H$91,"&gt;0")=0,"-",AVERAGEIFS($H$39:$H$91,$D$39:$D$91,$A19,$H$39:$H$91,"&gt;0"))</f>
        <v>1.8</v>
      </c>
      <c r="K19" s="15" t="str">
        <f aca="false">IF(COUNTIFS($D$39:$D$91,$A19,$G$39:$G$91,"&gt;0")=0,"노출 없음",_xlfn.MINIFS($G$39:$G$91,$D$39:$D$91,$A19,$G$39:$G$91,"&gt;0")&amp;"위")</f>
        <v>2위</v>
      </c>
      <c r="L19" s="17" t="s">
        <v>32</v>
      </c>
      <c r="M19" s="18" t="s">
        <v>33</v>
      </c>
    </row>
    <row r="20" customFormat="false" ht="15" hidden="false" customHeight="false" outlineLevel="0" collapsed="false">
      <c r="A20" s="11" t="s">
        <v>34</v>
      </c>
      <c r="B20" s="12" t="str">
        <f aca="false">IF(COUNTIFS($D$39:$D$91,$A20,$H$39:$H$91,"&lt;=1",$H$39:$H$91,"&gt;0",$F$39:$F$91,"&gt;0")=0,"기록 없음",_xlfn.MINIFS($F$39:$F$91,$D$39:$D$91,$A20,$H$39:$H$91,"&lt;=1",$H$39:$H$91,"&gt;0",$F$39:$F$91,"&gt;0"))</f>
        <v>기록 없음</v>
      </c>
      <c r="C20" s="12" t="n">
        <f aca="false">IF(COUNTIFS($D$39:$D$91,$A20,$H$39:$H$91,"&lt;=2",$H$39:$H$91,"&gt;0",$F$39:$F$91,"&gt;0")=0,"기록 없음",_xlfn.MINIFS($F$39:$F$91,$D$39:$D$91,$A20,$H$39:$H$91,"&lt;=2",$H$39:$H$91,"&gt;0",$F$39:$F$91,"&gt;0"))</f>
        <v>2500</v>
      </c>
      <c r="D20" s="12" t="n">
        <f aca="false">IF(COUNTIFS($D$39:$D$91,$A20,$H$39:$H$91,"&lt;=3",$H$39:$H$91,"&gt;0",$F$39:$F$91,"&gt;0")=0,"기록 없음",_xlfn.MINIFS($F$39:$F$91,$D$39:$D$91,$A20,$H$39:$H$91,"&lt;=3",$H$39:$H$91,"&gt;0",$F$39:$F$91,"&gt;0"))</f>
        <v>2500</v>
      </c>
      <c r="E20" s="13" t="n">
        <f aca="false">IF(COUNTIFS($D$39:$D$91,$A20,$G$39:$G$91,"&lt;=1",$G$39:$G$91,"&gt;0",$F$39:$F$91,"&gt;0")=0,"기록 없음",_xlfn.MINIFS($F$39:$F$91,$D$39:$D$91,$A20,$G$39:$G$91,"&lt;=1",$G$39:$G$91,"&gt;0",$F$39:$F$91,"&gt;0"))</f>
        <v>2500</v>
      </c>
      <c r="F20" s="13" t="n">
        <f aca="false">IF(COUNTIFS($D$39:$D$91,$A20,$G$39:$G$91,"&lt;=2",$G$39:$G$91,"&gt;0",$F$39:$F$91,"&gt;0")=0,"기록 없음",_xlfn.MINIFS($F$39:$F$91,$D$39:$D$91,$A20,$G$39:$G$91,"&lt;=2",$G$39:$G$91,"&gt;0",$F$39:$F$91,"&gt;0"))</f>
        <v>2500</v>
      </c>
      <c r="G20" s="13" t="n">
        <f aca="false">IF(COUNTIFS($D$39:$D$91,$A20,$G$39:$G$91,"&lt;=3",$G$39:$G$91,"&gt;0",$F$39:$F$91,"&gt;0")=0,"기록 없음",_xlfn.MINIFS($F$39:$F$91,$D$39:$D$91,$A20,$G$39:$G$91,"&lt;=3",$G$39:$G$91,"&gt;0",$F$39:$F$91,"&gt;0"))</f>
        <v>2500</v>
      </c>
      <c r="H20" s="14" t="n">
        <f aca="false">COUNTIF($D$39:$D$91,$A20)</f>
        <v>9</v>
      </c>
      <c r="I20" s="15" t="str">
        <f aca="false">IF(COUNTIFS($D$39:$D$91,$A20,$H$39:$H$91,"&gt;0")=0,"노출 없음",_xlfn.MINIFS($H$39:$H$91,$D$39:$D$91,$A20,$H$39:$H$91,"&gt;0")&amp;"위")</f>
        <v>2위</v>
      </c>
      <c r="J20" s="16" t="n">
        <f aca="false">IF(COUNTIFS($D$39:$D$91,$A20,$H$39:$H$91,"&gt;0")=0,"-",AVERAGEIFS($H$39:$H$91,$D$39:$D$91,$A20,$H$39:$H$91,"&gt;0"))</f>
        <v>2.28571428571429</v>
      </c>
      <c r="K20" s="15" t="str">
        <f aca="false">IF(COUNTIFS($D$39:$D$91,$A20,$G$39:$G$91,"&gt;0")=0,"노출 없음",_xlfn.MINIFS($G$39:$G$91,$D$39:$D$91,$A20,$G$39:$G$91,"&gt;0")&amp;"위")</f>
        <v>1위</v>
      </c>
      <c r="L20" s="17" t="s">
        <v>32</v>
      </c>
      <c r="M20" s="18" t="s">
        <v>35</v>
      </c>
    </row>
    <row r="21" customFormat="false" ht="15" hidden="false" customHeight="false" outlineLevel="0" collapsed="false">
      <c r="A21" s="11" t="s">
        <v>36</v>
      </c>
      <c r="B21" s="12" t="n">
        <f aca="false">IF(COUNTIFS($D$39:$D$91,$A21,$H$39:$H$91,"&lt;=1",$H$39:$H$91,"&gt;0",$F$39:$F$91,"&gt;0")=0,"기록 없음",_xlfn.MINIFS($F$39:$F$91,$D$39:$D$91,$A21,$H$39:$H$91,"&lt;=1",$H$39:$H$91,"&gt;0",$F$39:$F$91,"&gt;0"))</f>
        <v>2300</v>
      </c>
      <c r="C21" s="12" t="n">
        <f aca="false">IF(COUNTIFS($D$39:$D$91,$A21,$H$39:$H$91,"&lt;=2",$H$39:$H$91,"&gt;0",$F$39:$F$91,"&gt;0")=0,"기록 없음",_xlfn.MINIFS($F$39:$F$91,$D$39:$D$91,$A21,$H$39:$H$91,"&lt;=2",$H$39:$H$91,"&gt;0",$F$39:$F$91,"&gt;0"))</f>
        <v>2300</v>
      </c>
      <c r="D21" s="12" t="n">
        <f aca="false">IF(COUNTIFS($D$39:$D$91,$A21,$H$39:$H$91,"&lt;=3",$H$39:$H$91,"&gt;0",$F$39:$F$91,"&gt;0")=0,"기록 없음",_xlfn.MINIFS($F$39:$F$91,$D$39:$D$91,$A21,$H$39:$H$91,"&lt;=3",$H$39:$H$91,"&gt;0",$F$39:$F$91,"&gt;0"))</f>
        <v>2300</v>
      </c>
      <c r="E21" s="13" t="n">
        <f aca="false">IF(COUNTIFS($D$39:$D$91,$A21,$G$39:$G$91,"&lt;=1",$G$39:$G$91,"&gt;0",$F$39:$F$91,"&gt;0")=0,"기록 없음",_xlfn.MINIFS($F$39:$F$91,$D$39:$D$91,$A21,$G$39:$G$91,"&lt;=1",$G$39:$G$91,"&gt;0",$F$39:$F$91,"&gt;0"))</f>
        <v>3000</v>
      </c>
      <c r="F21" s="13" t="n">
        <f aca="false">IF(COUNTIFS($D$39:$D$91,$A21,$G$39:$G$91,"&lt;=2",$G$39:$G$91,"&gt;0",$F$39:$F$91,"&gt;0")=0,"기록 없음",_xlfn.MINIFS($F$39:$F$91,$D$39:$D$91,$A21,$G$39:$G$91,"&lt;=2",$G$39:$G$91,"&gt;0",$F$39:$F$91,"&gt;0"))</f>
        <v>2000</v>
      </c>
      <c r="G21" s="13" t="n">
        <f aca="false">IF(COUNTIFS($D$39:$D$91,$A21,$G$39:$G$91,"&lt;=3",$G$39:$G$91,"&gt;0",$F$39:$F$91,"&gt;0")=0,"기록 없음",_xlfn.MINIFS($F$39:$F$91,$D$39:$D$91,$A21,$G$39:$G$91,"&lt;=3",$G$39:$G$91,"&gt;0",$F$39:$F$91,"&gt;0"))</f>
        <v>2000</v>
      </c>
      <c r="H21" s="14" t="n">
        <f aca="false">COUNTIF($D$39:$D$91,$A21)</f>
        <v>8</v>
      </c>
      <c r="I21" s="15" t="str">
        <f aca="false">IF(COUNTIFS($D$39:$D$91,$A21,$H$39:$H$91,"&gt;0")=0,"노출 없음",_xlfn.MINIFS($H$39:$H$91,$D$39:$D$91,$A21,$H$39:$H$91,"&gt;0")&amp;"위")</f>
        <v>1위</v>
      </c>
      <c r="J21" s="16" t="n">
        <f aca="false">IF(COUNTIFS($D$39:$D$91,$A21,$H$39:$H$91,"&gt;0")=0,"-",AVERAGEIFS($H$39:$H$91,$D$39:$D$91,$A21,$H$39:$H$91,"&gt;0"))</f>
        <v>1.4</v>
      </c>
      <c r="K21" s="15" t="str">
        <f aca="false">IF(COUNTIFS($D$39:$D$91,$A21,$G$39:$G$91,"&gt;0")=0,"노출 없음",_xlfn.MINIFS($G$39:$G$91,$D$39:$D$91,$A21,$G$39:$G$91,"&gt;0")&amp;"위")</f>
        <v>1위</v>
      </c>
      <c r="L21" s="17" t="s">
        <v>37</v>
      </c>
      <c r="M21" s="18" t="s">
        <v>38</v>
      </c>
    </row>
    <row r="22" customFormat="false" ht="15" hidden="false" customHeight="false" outlineLevel="0" collapsed="false">
      <c r="A22" s="9" t="s">
        <v>39</v>
      </c>
    </row>
    <row r="23" customFormat="false" ht="16.4" hidden="false" customHeight="false" outlineLevel="0" collapsed="false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customFormat="false" ht="15" hidden="false" customHeight="false" outlineLevel="0" collapsed="false">
      <c r="A24" s="9" t="s">
        <v>41</v>
      </c>
    </row>
    <row r="25" customFormat="false" ht="31.5" hidden="false" customHeight="true" outlineLevel="0" collapsed="false">
      <c r="A25" s="10" t="s">
        <v>42</v>
      </c>
      <c r="B25" s="10" t="s">
        <v>43</v>
      </c>
      <c r="C25" s="10" t="s">
        <v>44</v>
      </c>
      <c r="D25" s="10" t="s">
        <v>45</v>
      </c>
      <c r="E25" s="10" t="s">
        <v>46</v>
      </c>
      <c r="F25" s="10" t="s">
        <v>47</v>
      </c>
      <c r="G25" s="10" t="s">
        <v>48</v>
      </c>
      <c r="H25" s="10" t="s">
        <v>49</v>
      </c>
      <c r="I25" s="10" t="s">
        <v>50</v>
      </c>
      <c r="J25" s="10" t="s">
        <v>51</v>
      </c>
    </row>
    <row r="26" customFormat="false" ht="15" hidden="false" customHeight="false" outlineLevel="0" collapsed="false">
      <c r="A26" s="11" t="s">
        <v>52</v>
      </c>
      <c r="B26" s="19" t="n">
        <f aca="false">IF($A26="","",COUNTIFS($D$39:$D$91,"유포라벨",$I$39:$I$91,"메인",$J$39:$J$91,"전문몰")+COUNTIFS($D$39:$D$91,"유포라벨",$I$39:$I$91,"메인",$K$39:$K$91,"전문몰")+COUNTIFS($D$39:$D$91,"유포라벨",$I$39:$I$91,"메인",$L$39:$L$91,"전문몰"))</f>
        <v>4</v>
      </c>
      <c r="C26" s="19" t="n">
        <f aca="false">IF($A26="","",COUNTIFS($D$39:$D$91,"유포라벨",$I$39:$I$91,"가격비교",$J$39:$J$91,"전문몰")+COUNTIFS($D$39:$D$91,"유포라벨",$I$39:$I$91,"가격비교",$K$39:$K$91,"전문몰")+COUNTIFS($D$39:$D$91,"유포라벨",$I$39:$I$91,"가격비교",$L$39:$L$91,"전문몰"))</f>
        <v>1</v>
      </c>
      <c r="D26" s="19" t="n">
        <f aca="false">IF($A26="","",COUNTIFS($D$39:$D$91,"감열라벨",$I$39:$I$91,"메인",$J$39:$J$91,"전문몰")+COUNTIFS($D$39:$D$91,"감열라벨",$I$39:$I$91,"메인",$K$39:$K$91,"전문몰")+COUNTIFS($D$39:$D$91,"감열라벨",$I$39:$I$91,"메인",$L$39:$L$91,"전문몰"))</f>
        <v>5</v>
      </c>
      <c r="E26" s="19" t="n">
        <f aca="false">IF($A26="","",COUNTIFS($D$39:$D$91,"감열라벨",$I$39:$I$91,"가격비교",$J$39:$J$91,"전문몰")+COUNTIFS($D$39:$D$91,"감열라벨",$I$39:$I$91,"가격비교",$K$39:$K$91,"전문몰")+COUNTIFS($D$39:$D$91,"감열라벨",$I$39:$I$91,"가격비교",$L$39:$L$91,"전문몰"))</f>
        <v>0</v>
      </c>
      <c r="F26" s="19" t="n">
        <f aca="false">IF($A26="","",COUNTIFS($D$39:$D$91,"아트라벨",$I$39:$I$91,"메인",$J$39:$J$91,"전문몰")+COUNTIFS($D$39:$D$91,"아트라벨",$I$39:$I$91,"메인",$K$39:$K$91,"전문몰")+COUNTIFS($D$39:$D$91,"아트라벨",$I$39:$I$91,"메인",$L$39:$L$91,"전문몰"))</f>
        <v>4</v>
      </c>
      <c r="G26" s="19" t="n">
        <f aca="false">IF($A26="","",COUNTIFS($D$39:$D$91,"아트라벨",$I$39:$I$91,"가격비교",$J$39:$J$91,"전문몰")+COUNTIFS($D$39:$D$91,"아트라벨",$I$39:$I$91,"가격비교",$K$39:$K$91,"전문몰")+COUNTIFS($D$39:$D$91,"아트라벨",$I$39:$I$91,"가격비교",$L$39:$L$91,"전문몰"))</f>
        <v>0</v>
      </c>
      <c r="H26" s="20" t="n">
        <f aca="false">IF($A26="","",B26+C26+D26+E26+F26+G26)</f>
        <v>14</v>
      </c>
      <c r="I26" s="19" t="n">
        <f aca="false">IF($A26="","",COUNTIFS($I$39:$I$91,"메인",$J$39:$J$91,"전문몰"))</f>
        <v>3</v>
      </c>
      <c r="J26" s="21"/>
      <c r="K26" s="21"/>
      <c r="L26" s="21"/>
      <c r="M26" s="21"/>
    </row>
    <row r="27" customFormat="false" ht="15" hidden="false" customHeight="false" outlineLevel="0" collapsed="false">
      <c r="A27" s="22" t="s">
        <v>32</v>
      </c>
      <c r="B27" s="19" t="n">
        <f aca="false">IF($A27="","",COUNTIFS($D$39:$D$91,"유포라벨",$I$39:$I$91,"메인",$J$39:$J$91,"디엘에스피")+COUNTIFS($D$39:$D$91,"유포라벨",$I$39:$I$91,"메인",$K$39:$K$91,"디엘에스피")+COUNTIFS($D$39:$D$91,"유포라벨",$I$39:$I$91,"메인",$L$39:$L$91,"디엘에스피"))</f>
        <v>6</v>
      </c>
      <c r="C27" s="19" t="n">
        <f aca="false">IF($A27="","",COUNTIFS($D$39:$D$91,"유포라벨",$I$39:$I$91,"가격비교",$J$39:$J$91,"디엘에스피")+COUNTIFS($D$39:$D$91,"유포라벨",$I$39:$I$91,"가격비교",$K$39:$K$91,"디엘에스피")+COUNTIFS($D$39:$D$91,"유포라벨",$I$39:$I$91,"가격비교",$L$39:$L$91,"디엘에스피"))</f>
        <v>3</v>
      </c>
      <c r="D27" s="19" t="n">
        <f aca="false">IF($A27="","",COUNTIFS($D$39:$D$91,"감열라벨",$I$39:$I$91,"메인",$J$39:$J$91,"디엘에스피")+COUNTIFS($D$39:$D$91,"감열라벨",$I$39:$I$91,"메인",$K$39:$K$91,"디엘에스피")+COUNTIFS($D$39:$D$91,"감열라벨",$I$39:$I$91,"메인",$L$39:$L$91,"디엘에스피"))</f>
        <v>6</v>
      </c>
      <c r="E27" s="19" t="n">
        <f aca="false">IF($A27="","",COUNTIFS($D$39:$D$91,"감열라벨",$I$39:$I$91,"가격비교",$J$39:$J$91,"디엘에스피")+COUNTIFS($D$39:$D$91,"감열라벨",$I$39:$I$91,"가격비교",$K$39:$K$91,"디엘에스피")+COUNTIFS($D$39:$D$91,"감열라벨",$I$39:$I$91,"가격비교",$L$39:$L$91,"디엘에스피"))</f>
        <v>0</v>
      </c>
      <c r="F27" s="19" t="n">
        <f aca="false">IF($A27="","",COUNTIFS($D$39:$D$91,"아트라벨",$I$39:$I$91,"메인",$J$39:$J$91,"디엘에스피")+COUNTIFS($D$39:$D$91,"아트라벨",$I$39:$I$91,"메인",$K$39:$K$91,"디엘에스피")+COUNTIFS($D$39:$D$91,"아트라벨",$I$39:$I$91,"메인",$L$39:$L$91,"디엘에스피"))</f>
        <v>1</v>
      </c>
      <c r="G27" s="19" t="n">
        <f aca="false">IF($A27="","",COUNTIFS($D$39:$D$91,"아트라벨",$I$39:$I$91,"가격비교",$J$39:$J$91,"디엘에스피")+COUNTIFS($D$39:$D$91,"아트라벨",$I$39:$I$91,"가격비교",$K$39:$K$91,"디엘에스피")+COUNTIFS($D$39:$D$91,"아트라벨",$I$39:$I$91,"가격비교",$L$39:$L$91,"디엘에스피"))</f>
        <v>0</v>
      </c>
      <c r="H27" s="20" t="n">
        <f aca="false">IF($A27="","",B27+C27+D27+E27+F27+G27)</f>
        <v>16</v>
      </c>
      <c r="I27" s="19" t="n">
        <f aca="false">IF($A27="","",COUNTIFS($I$39:$I$91,"메인",$J$39:$J$91,"디엘에스피"))</f>
        <v>10</v>
      </c>
      <c r="J27" s="23" t="s">
        <v>53</v>
      </c>
      <c r="K27" s="23"/>
      <c r="L27" s="23"/>
      <c r="M27" s="23"/>
    </row>
    <row r="28" customFormat="false" ht="15" hidden="false" customHeight="false" outlineLevel="0" collapsed="false">
      <c r="A28" s="22" t="s">
        <v>54</v>
      </c>
      <c r="B28" s="19" t="n">
        <f aca="false">IF($A28="","",COUNTIFS($D$39:$D$91,"유포라벨",$I$39:$I$91,"메인",$J$39:$J$91,"포스틱라벨스토어")+COUNTIFS($D$39:$D$91,"유포라벨",$I$39:$I$91,"메인",$K$39:$K$91,"포스틱라벨스토어")+COUNTIFS($D$39:$D$91,"유포라벨",$I$39:$I$91,"메인",$L$39:$L$91,"포스틱라벨스토어"))</f>
        <v>2</v>
      </c>
      <c r="C28" s="19" t="n">
        <f aca="false">IF($A28="","",COUNTIFS($D$39:$D$91,"유포라벨",$I$39:$I$91,"가격비교",$J$39:$J$91,"포스틱라벨스토어")+COUNTIFS($D$39:$D$91,"유포라벨",$I$39:$I$91,"가격비교",$K$39:$K$91,"포스틱라벨스토어")+COUNTIFS($D$39:$D$91,"유포라벨",$I$39:$I$91,"가격비교",$L$39:$L$91,"포스틱라벨스토어"))</f>
        <v>2</v>
      </c>
      <c r="D28" s="19" t="n">
        <f aca="false">IF($A28="","",COUNTIFS($D$39:$D$91,"감열라벨",$I$39:$I$91,"메인",$J$39:$J$91,"포스틱라벨스토어")+COUNTIFS($D$39:$D$91,"감열라벨",$I$39:$I$91,"메인",$K$39:$K$91,"포스틱라벨스토어")+COUNTIFS($D$39:$D$91,"감열라벨",$I$39:$I$91,"메인",$L$39:$L$91,"포스틱라벨스토어"))</f>
        <v>0</v>
      </c>
      <c r="E28" s="19" t="n">
        <f aca="false">IF($A28="","",COUNTIFS($D$39:$D$91,"감열라벨",$I$39:$I$91,"가격비교",$J$39:$J$91,"포스틱라벨스토어")+COUNTIFS($D$39:$D$91,"감열라벨",$I$39:$I$91,"가격비교",$K$39:$K$91,"포스틱라벨스토어")+COUNTIFS($D$39:$D$91,"감열라벨",$I$39:$I$91,"가격비교",$L$39:$L$91,"포스틱라벨스토어"))</f>
        <v>0</v>
      </c>
      <c r="F28" s="19" t="n">
        <f aca="false">IF($A28="","",COUNTIFS($D$39:$D$91,"아트라벨",$I$39:$I$91,"메인",$J$39:$J$91,"포스틱라벨스토어")+COUNTIFS($D$39:$D$91,"아트라벨",$I$39:$I$91,"메인",$K$39:$K$91,"포스틱라벨스토어")+COUNTIFS($D$39:$D$91,"아트라벨",$I$39:$I$91,"메인",$L$39:$L$91,"포스틱라벨스토어"))</f>
        <v>3</v>
      </c>
      <c r="G28" s="19" t="n">
        <f aca="false">IF($A28="","",COUNTIFS($D$39:$D$91,"아트라벨",$I$39:$I$91,"가격비교",$J$39:$J$91,"포스틱라벨스토어")+COUNTIFS($D$39:$D$91,"아트라벨",$I$39:$I$91,"가격비교",$K$39:$K$91,"포스틱라벨스토어")+COUNTIFS($D$39:$D$91,"아트라벨",$I$39:$I$91,"가격비교",$L$39:$L$91,"포스틱라벨스토어"))</f>
        <v>0</v>
      </c>
      <c r="H28" s="20" t="n">
        <f aca="false">IF($A28="","",B28+C28+D28+E28+F28+G28)</f>
        <v>7</v>
      </c>
      <c r="I28" s="19" t="n">
        <f aca="false">IF($A28="","",COUNTIFS($I$39:$I$91,"메인",$J$39:$J$91,"포스틱라벨스토어"))</f>
        <v>1</v>
      </c>
      <c r="J28" s="23" t="s">
        <v>55</v>
      </c>
      <c r="K28" s="23"/>
      <c r="L28" s="23"/>
      <c r="M28" s="23"/>
    </row>
    <row r="29" customFormat="false" ht="15" hidden="false" customHeight="false" outlineLevel="0" collapsed="false">
      <c r="A29" s="22" t="s">
        <v>56</v>
      </c>
      <c r="B29" s="19" t="n">
        <f aca="false">IF($A29="","",COUNTIFS($D$39:$D$91,"유포라벨",$I$39:$I$91,"메인",$J$39:$J$91,"우주사무기")+COUNTIFS($D$39:$D$91,"유포라벨",$I$39:$I$91,"메인",$K$39:$K$91,"우주사무기")+COUNTIFS($D$39:$D$91,"유포라벨",$I$39:$I$91,"메인",$L$39:$L$91,"우주사무기"))</f>
        <v>0</v>
      </c>
      <c r="C29" s="19" t="n">
        <f aca="false">IF($A29="","",COUNTIFS($D$39:$D$91,"유포라벨",$I$39:$I$91,"가격비교",$J$39:$J$91,"우주사무기")+COUNTIFS($D$39:$D$91,"유포라벨",$I$39:$I$91,"가격비교",$K$39:$K$91,"우주사무기")+COUNTIFS($D$39:$D$91,"유포라벨",$I$39:$I$91,"가격비교",$L$39:$L$91,"우주사무기"))</f>
        <v>0</v>
      </c>
      <c r="D29" s="19" t="n">
        <f aca="false">IF($A29="","",COUNTIFS($D$39:$D$91,"감열라벨",$I$39:$I$91,"메인",$J$39:$J$91,"우주사무기")+COUNTIFS($D$39:$D$91,"감열라벨",$I$39:$I$91,"메인",$K$39:$K$91,"우주사무기")+COUNTIFS($D$39:$D$91,"감열라벨",$I$39:$I$91,"메인",$L$39:$L$91,"우주사무기"))</f>
        <v>6</v>
      </c>
      <c r="E29" s="19" t="n">
        <f aca="false">IF($A29="","",COUNTIFS($D$39:$D$91,"감열라벨",$I$39:$I$91,"가격비교",$J$39:$J$91,"우주사무기")+COUNTIFS($D$39:$D$91,"감열라벨",$I$39:$I$91,"가격비교",$K$39:$K$91,"우주사무기")+COUNTIFS($D$39:$D$91,"감열라벨",$I$39:$I$91,"가격비교",$L$39:$L$91,"우주사무기"))</f>
        <v>0</v>
      </c>
      <c r="F29" s="19" t="n">
        <f aca="false">IF($A29="","",COUNTIFS($D$39:$D$91,"아트라벨",$I$39:$I$91,"메인",$J$39:$J$91,"우주사무기")+COUNTIFS($D$39:$D$91,"아트라벨",$I$39:$I$91,"메인",$K$39:$K$91,"우주사무기")+COUNTIFS($D$39:$D$91,"아트라벨",$I$39:$I$91,"메인",$L$39:$L$91,"우주사무기"))</f>
        <v>0</v>
      </c>
      <c r="G29" s="19" t="n">
        <f aca="false">IF($A29="","",COUNTIFS($D$39:$D$91,"아트라벨",$I$39:$I$91,"가격비교",$J$39:$J$91,"우주사무기")+COUNTIFS($D$39:$D$91,"아트라벨",$I$39:$I$91,"가격비교",$K$39:$K$91,"우주사무기")+COUNTIFS($D$39:$D$91,"아트라벨",$I$39:$I$91,"가격비교",$L$39:$L$91,"우주사무기"))</f>
        <v>0</v>
      </c>
      <c r="H29" s="20" t="n">
        <f aca="false">IF($A29="","",B29+C29+D29+E29+F29+G29)</f>
        <v>6</v>
      </c>
      <c r="I29" s="19" t="n">
        <f aca="false">IF($A29="","",COUNTIFS($I$39:$I$91,"메인",$J$39:$J$91,"우주사무기"))</f>
        <v>0</v>
      </c>
      <c r="J29" s="23" t="s">
        <v>57</v>
      </c>
      <c r="K29" s="23"/>
      <c r="L29" s="23"/>
      <c r="M29" s="23"/>
    </row>
    <row r="30" customFormat="false" ht="15" hidden="false" customHeight="false" outlineLevel="0" collapsed="false">
      <c r="A30" s="22" t="s">
        <v>58</v>
      </c>
      <c r="B30" s="19" t="n">
        <f aca="false">IF($A30="","",COUNTIFS($D$39:$D$91,"유포라벨",$I$39:$I$91,"메인",$J$39:$J$91,"아이플랜스토어")+COUNTIFS($D$39:$D$91,"유포라벨",$I$39:$I$91,"메인",$K$39:$K$91,"아이플랜스토어")+COUNTIFS($D$39:$D$91,"유포라벨",$I$39:$I$91,"메인",$L$39:$L$91,"아이플랜스토어"))</f>
        <v>0</v>
      </c>
      <c r="C30" s="19" t="n">
        <f aca="false">IF($A30="","",COUNTIFS($D$39:$D$91,"유포라벨",$I$39:$I$91,"가격비교",$J$39:$J$91,"아이플랜스토어")+COUNTIFS($D$39:$D$91,"유포라벨",$I$39:$I$91,"가격비교",$K$39:$K$91,"아이플랜스토어")+COUNTIFS($D$39:$D$91,"유포라벨",$I$39:$I$91,"가격비교",$L$39:$L$91,"아이플랜스토어"))</f>
        <v>0</v>
      </c>
      <c r="D30" s="19" t="n">
        <f aca="false">IF($A30="","",COUNTIFS($D$39:$D$91,"감열라벨",$I$39:$I$91,"메인",$J$39:$J$91,"아이플랜스토어")+COUNTIFS($D$39:$D$91,"감열라벨",$I$39:$I$91,"메인",$K$39:$K$91,"아이플랜스토어")+COUNTIFS($D$39:$D$91,"감열라벨",$I$39:$I$91,"메인",$L$39:$L$91,"아이플랜스토어"))</f>
        <v>0</v>
      </c>
      <c r="E30" s="19" t="n">
        <f aca="false">IF($A30="","",COUNTIFS($D$39:$D$91,"감열라벨",$I$39:$I$91,"가격비교",$J$39:$J$91,"아이플랜스토어")+COUNTIFS($D$39:$D$91,"감열라벨",$I$39:$I$91,"가격비교",$K$39:$K$91,"아이플랜스토어")+COUNTIFS($D$39:$D$91,"감열라벨",$I$39:$I$91,"가격비교",$L$39:$L$91,"아이플랜스토어"))</f>
        <v>0</v>
      </c>
      <c r="F30" s="19" t="n">
        <f aca="false">IF($A30="","",COUNTIFS($D$39:$D$91,"아트라벨",$I$39:$I$91,"메인",$J$39:$J$91,"아이플랜스토어")+COUNTIFS($D$39:$D$91,"아트라벨",$I$39:$I$91,"메인",$K$39:$K$91,"아이플랜스토어")+COUNTIFS($D$39:$D$91,"아트라벨",$I$39:$I$91,"메인",$L$39:$L$91,"아이플랜스토어"))</f>
        <v>2</v>
      </c>
      <c r="G30" s="19" t="n">
        <f aca="false">IF($A30="","",COUNTIFS($D$39:$D$91,"아트라벨",$I$39:$I$91,"가격비교",$J$39:$J$91,"아이플랜스토어")+COUNTIFS($D$39:$D$91,"아트라벨",$I$39:$I$91,"가격비교",$K$39:$K$91,"아이플랜스토어")+COUNTIFS($D$39:$D$91,"아트라벨",$I$39:$I$91,"가격비교",$L$39:$L$91,"아이플랜스토어"))</f>
        <v>0</v>
      </c>
      <c r="H30" s="20" t="n">
        <f aca="false">IF($A30="","",B30+C30+D30+E30+F30+G30)</f>
        <v>2</v>
      </c>
      <c r="I30" s="19" t="n">
        <f aca="false">IF($A30="","",COUNTIFS($I$39:$I$91,"메인",$J$39:$J$91,"아이플랜스토어"))</f>
        <v>0</v>
      </c>
      <c r="J30" s="23" t="s">
        <v>59</v>
      </c>
      <c r="K30" s="23"/>
      <c r="L30" s="23"/>
      <c r="M30" s="23"/>
    </row>
    <row r="31" customFormat="false" ht="15" hidden="false" customHeight="false" outlineLevel="0" collapsed="false">
      <c r="A31" s="22" t="s">
        <v>60</v>
      </c>
      <c r="B31" s="19" t="n">
        <f aca="false">IF($A31="","",COUNTIFS($D$39:$D$91,"유포라벨",$I$39:$I$91,"메인",$J$39:$J$91,"하이하이몰")+COUNTIFS($D$39:$D$91,"유포라벨",$I$39:$I$91,"메인",$K$39:$K$91,"하이하이몰")+COUNTIFS($D$39:$D$91,"유포라벨",$I$39:$I$91,"메인",$L$39:$L$91,"하이하이몰"))</f>
        <v>0</v>
      </c>
      <c r="C31" s="19" t="n">
        <f aca="false">IF($A31="","",COUNTIFS($D$39:$D$91,"유포라벨",$I$39:$I$91,"가격비교",$J$39:$J$91,"하이하이몰")+COUNTIFS($D$39:$D$91,"유포라벨",$I$39:$I$91,"가격비교",$K$39:$K$91,"하이하이몰")+COUNTIFS($D$39:$D$91,"유포라벨",$I$39:$I$91,"가격비교",$L$39:$L$91,"하이하이몰"))</f>
        <v>0</v>
      </c>
      <c r="D31" s="19" t="n">
        <f aca="false">IF($A31="","",COUNTIFS($D$39:$D$91,"감열라벨",$I$39:$I$91,"메인",$J$39:$J$91,"하이하이몰")+COUNTIFS($D$39:$D$91,"감열라벨",$I$39:$I$91,"메인",$K$39:$K$91,"하이하이몰")+COUNTIFS($D$39:$D$91,"감열라벨",$I$39:$I$91,"메인",$L$39:$L$91,"하이하이몰"))</f>
        <v>0</v>
      </c>
      <c r="E31" s="19" t="n">
        <f aca="false">IF($A31="","",COUNTIFS($D$39:$D$91,"감열라벨",$I$39:$I$91,"가격비교",$J$39:$J$91,"하이하이몰")+COUNTIFS($D$39:$D$91,"감열라벨",$I$39:$I$91,"가격비교",$K$39:$K$91,"하이하이몰")+COUNTIFS($D$39:$D$91,"감열라벨",$I$39:$I$91,"가격비교",$L$39:$L$91,"하이하이몰"))</f>
        <v>0</v>
      </c>
      <c r="F31" s="19" t="n">
        <f aca="false">IF($A31="","",COUNTIFS($D$39:$D$91,"아트라벨",$I$39:$I$91,"메인",$J$39:$J$91,"하이하이몰")+COUNTIFS($D$39:$D$91,"아트라벨",$I$39:$I$91,"메인",$K$39:$K$91,"하이하이몰")+COUNTIFS($D$39:$D$91,"아트라벨",$I$39:$I$91,"메인",$L$39:$L$91,"하이하이몰"))</f>
        <v>2</v>
      </c>
      <c r="G31" s="19" t="n">
        <f aca="false">IF($A31="","",COUNTIFS($D$39:$D$91,"아트라벨",$I$39:$I$91,"가격비교",$J$39:$J$91,"하이하이몰")+COUNTIFS($D$39:$D$91,"아트라벨",$I$39:$I$91,"가격비교",$K$39:$K$91,"하이하이몰")+COUNTIFS($D$39:$D$91,"아트라벨",$I$39:$I$91,"가격비교",$L$39:$L$91,"하이하이몰"))</f>
        <v>0</v>
      </c>
      <c r="H31" s="20" t="n">
        <f aca="false">IF($A31="","",B31+C31+D31+E31+F31+G31)</f>
        <v>2</v>
      </c>
      <c r="I31" s="19" t="n">
        <f aca="false">IF($A31="","",COUNTIFS($I$39:$I$91,"메인",$J$39:$J$91,"하이하이몰"))</f>
        <v>0</v>
      </c>
      <c r="J31" s="23"/>
      <c r="K31" s="23"/>
      <c r="L31" s="23"/>
      <c r="M31" s="23"/>
    </row>
    <row r="32" customFormat="false" ht="15" hidden="false" customHeight="false" outlineLevel="0" collapsed="false">
      <c r="A32" s="22" t="s">
        <v>61</v>
      </c>
      <c r="B32" s="19" t="n">
        <f aca="false">IF($A32="","",COUNTIFS($D$39:$D$91,"유포라벨",$I$39:$I$91,"메인",$J$39:$J$91,"조타라벨")+COUNTIFS($D$39:$D$91,"유포라벨",$I$39:$I$91,"메인",$K$39:$K$91,"조타라벨")+COUNTIFS($D$39:$D$91,"유포라벨",$I$39:$I$91,"메인",$L$39:$L$91,"조타라벨"))</f>
        <v>0</v>
      </c>
      <c r="C32" s="19" t="n">
        <f aca="false">IF($A32="","",COUNTIFS($D$39:$D$91,"유포라벨",$I$39:$I$91,"가격비교",$J$39:$J$91,"조타라벨")+COUNTIFS($D$39:$D$91,"유포라벨",$I$39:$I$91,"가격비교",$K$39:$K$91,"조타라벨")+COUNTIFS($D$39:$D$91,"유포라벨",$I$39:$I$91,"가격비교",$L$39:$L$91,"조타라벨"))</f>
        <v>0</v>
      </c>
      <c r="D32" s="19" t="n">
        <f aca="false">IF($A32="","",COUNTIFS($D$39:$D$91,"감열라벨",$I$39:$I$91,"메인",$J$39:$J$91,"조타라벨")+COUNTIFS($D$39:$D$91,"감열라벨",$I$39:$I$91,"메인",$K$39:$K$91,"조타라벨")+COUNTIFS($D$39:$D$91,"감열라벨",$I$39:$I$91,"메인",$L$39:$L$91,"조타라벨"))</f>
        <v>1</v>
      </c>
      <c r="E32" s="19" t="n">
        <f aca="false">IF($A32="","",COUNTIFS($D$39:$D$91,"감열라벨",$I$39:$I$91,"가격비교",$J$39:$J$91,"조타라벨")+COUNTIFS($D$39:$D$91,"감열라벨",$I$39:$I$91,"가격비교",$K$39:$K$91,"조타라벨")+COUNTIFS($D$39:$D$91,"감열라벨",$I$39:$I$91,"가격비교",$L$39:$L$91,"조타라벨"))</f>
        <v>0</v>
      </c>
      <c r="F32" s="19" t="n">
        <f aca="false">IF($A32="","",COUNTIFS($D$39:$D$91,"아트라벨",$I$39:$I$91,"메인",$J$39:$J$91,"조타라벨")+COUNTIFS($D$39:$D$91,"아트라벨",$I$39:$I$91,"메인",$K$39:$K$91,"조타라벨")+COUNTIFS($D$39:$D$91,"아트라벨",$I$39:$I$91,"메인",$L$39:$L$91,"조타라벨"))</f>
        <v>0</v>
      </c>
      <c r="G32" s="19" t="n">
        <f aca="false">IF($A32="","",COUNTIFS($D$39:$D$91,"아트라벨",$I$39:$I$91,"가격비교",$J$39:$J$91,"조타라벨")+COUNTIFS($D$39:$D$91,"아트라벨",$I$39:$I$91,"가격비교",$K$39:$K$91,"조타라벨")+COUNTIFS($D$39:$D$91,"아트라벨",$I$39:$I$91,"가격비교",$L$39:$L$91,"조타라벨"))</f>
        <v>0</v>
      </c>
      <c r="H32" s="20" t="n">
        <f aca="false">IF($A32="","",B32+C32+D32+E32+F32+G32)</f>
        <v>1</v>
      </c>
      <c r="I32" s="19" t="n">
        <f aca="false">IF($A32="","",COUNTIFS($I$39:$I$91,"메인",$J$39:$J$91,"조타라벨"))</f>
        <v>0</v>
      </c>
      <c r="J32" s="23"/>
      <c r="K32" s="23"/>
      <c r="L32" s="23"/>
      <c r="M32" s="23"/>
    </row>
    <row r="33" customFormat="false" ht="15" hidden="false" customHeight="false" outlineLevel="0" collapsed="false">
      <c r="A33" s="24"/>
      <c r="B33" s="19" t="str">
        <f aca="false">IF($A33="","",COUNTIFS($D$39:$D$91,"유포라벨",$I$39:$I$91,"메인",$J$39:$J$91,$A33)+COUNTIFS($D$39:$D$91,"유포라벨",$I$39:$I$91,"메인",$K$39:$K$91,$A33)+COUNTIFS($D$39:$D$91,"유포라벨",$I$39:$I$91,"메인",$L$39:$L$91,$A33))</f>
        <v/>
      </c>
      <c r="C33" s="19" t="str">
        <f aca="false">IF($A33="","",COUNTIFS($D$39:$D$91,"유포라벨",$I$39:$I$91,"가격비교",$J$39:$J$91,$A33)+COUNTIFS($D$39:$D$91,"유포라벨",$I$39:$I$91,"가격비교",$K$39:$K$91,$A33)+COUNTIFS($D$39:$D$91,"유포라벨",$I$39:$I$91,"가격비교",$L$39:$L$91,$A33))</f>
        <v/>
      </c>
      <c r="D33" s="19" t="str">
        <f aca="false">IF($A33="","",COUNTIFS($D$39:$D$91,"감열라벨",$I$39:$I$91,"메인",$J$39:$J$91,$A33)+COUNTIFS($D$39:$D$91,"감열라벨",$I$39:$I$91,"메인",$K$39:$K$91,$A33)+COUNTIFS($D$39:$D$91,"감열라벨",$I$39:$I$91,"메인",$L$39:$L$91,$A33))</f>
        <v/>
      </c>
      <c r="E33" s="19" t="str">
        <f aca="false">IF($A33="","",COUNTIFS($D$39:$D$91,"감열라벨",$I$39:$I$91,"가격비교",$J$39:$J$91,$A33)+COUNTIFS($D$39:$D$91,"감열라벨",$I$39:$I$91,"가격비교",$K$39:$K$91,$A33)+COUNTIFS($D$39:$D$91,"감열라벨",$I$39:$I$91,"가격비교",$L$39:$L$91,$A33))</f>
        <v/>
      </c>
      <c r="F33" s="19" t="str">
        <f aca="false">IF($A33="","",COUNTIFS($D$39:$D$91,"아트라벨",$I$39:$I$91,"메인",$J$39:$J$91,$A33)+COUNTIFS($D$39:$D$91,"아트라벨",$I$39:$I$91,"메인",$K$39:$K$91,$A33)+COUNTIFS($D$39:$D$91,"아트라벨",$I$39:$I$91,"메인",$L$39:$L$91,$A33))</f>
        <v/>
      </c>
      <c r="G33" s="19" t="str">
        <f aca="false">IF($A33="","",COUNTIFS($D$39:$D$91,"아트라벨",$I$39:$I$91,"가격비교",$J$39:$J$91,$A33)+COUNTIFS($D$39:$D$91,"아트라벨",$I$39:$I$91,"가격비교",$K$39:$K$91,$A33)+COUNTIFS($D$39:$D$91,"아트라벨",$I$39:$I$91,"가격비교",$L$39:$L$91,$A33))</f>
        <v/>
      </c>
      <c r="H33" s="20" t="str">
        <f aca="false">IF($A33="","",B33+C33+D33+E33+F33+G33)</f>
        <v/>
      </c>
      <c r="I33" s="19" t="str">
        <f aca="false">IF($A33="","",COUNTIFS($I$39:$I$91,"메인",$J$39:$J$91,$A33))</f>
        <v/>
      </c>
      <c r="J33" s="24"/>
      <c r="K33" s="24"/>
      <c r="L33" s="24"/>
      <c r="M33" s="24"/>
    </row>
    <row r="34" customFormat="false" ht="15" hidden="false" customHeight="false" outlineLevel="0" collapsed="false">
      <c r="A34" s="24"/>
      <c r="B34" s="19" t="str">
        <f aca="false">IF($A34="","",COUNTIFS($D$39:$D$91,"유포라벨",$I$39:$I$91,"메인",$J$39:$J$91,$A34)+COUNTIFS($D$39:$D$91,"유포라벨",$I$39:$I$91,"메인",$K$39:$K$91,$A34)+COUNTIFS($D$39:$D$91,"유포라벨",$I$39:$I$91,"메인",$L$39:$L$91,$A34))</f>
        <v/>
      </c>
      <c r="C34" s="19" t="str">
        <f aca="false">IF($A34="","",COUNTIFS($D$39:$D$91,"유포라벨",$I$39:$I$91,"가격비교",$J$39:$J$91,$A34)+COUNTIFS($D$39:$D$91,"유포라벨",$I$39:$I$91,"가격비교",$K$39:$K$91,$A34)+COUNTIFS($D$39:$D$91,"유포라벨",$I$39:$I$91,"가격비교",$L$39:$L$91,$A34))</f>
        <v/>
      </c>
      <c r="D34" s="19" t="str">
        <f aca="false">IF($A34="","",COUNTIFS($D$39:$D$91,"감열라벨",$I$39:$I$91,"메인",$J$39:$J$91,$A34)+COUNTIFS($D$39:$D$91,"감열라벨",$I$39:$I$91,"메인",$K$39:$K$91,$A34)+COUNTIFS($D$39:$D$91,"감열라벨",$I$39:$I$91,"메인",$L$39:$L$91,$A34))</f>
        <v/>
      </c>
      <c r="E34" s="19" t="str">
        <f aca="false">IF($A34="","",COUNTIFS($D$39:$D$91,"감열라벨",$I$39:$I$91,"가격비교",$J$39:$J$91,$A34)+COUNTIFS($D$39:$D$91,"감열라벨",$I$39:$I$91,"가격비교",$K$39:$K$91,$A34)+COUNTIFS($D$39:$D$91,"감열라벨",$I$39:$I$91,"가격비교",$L$39:$L$91,$A34))</f>
        <v/>
      </c>
      <c r="F34" s="19" t="str">
        <f aca="false">IF($A34="","",COUNTIFS($D$39:$D$91,"아트라벨",$I$39:$I$91,"메인",$J$39:$J$91,$A34)+COUNTIFS($D$39:$D$91,"아트라벨",$I$39:$I$91,"메인",$K$39:$K$91,$A34)+COUNTIFS($D$39:$D$91,"아트라벨",$I$39:$I$91,"메인",$L$39:$L$91,$A34))</f>
        <v/>
      </c>
      <c r="G34" s="19" t="str">
        <f aca="false">IF($A34="","",COUNTIFS($D$39:$D$91,"아트라벨",$I$39:$I$91,"가격비교",$J$39:$J$91,$A34)+COUNTIFS($D$39:$D$91,"아트라벨",$I$39:$I$91,"가격비교",$K$39:$K$91,$A34)+COUNTIFS($D$39:$D$91,"아트라벨",$I$39:$I$91,"가격비교",$L$39:$L$91,$A34))</f>
        <v/>
      </c>
      <c r="H34" s="20" t="str">
        <f aca="false">IF($A34="","",B34+C34+D34+E34+F34+G34)</f>
        <v/>
      </c>
      <c r="I34" s="19" t="str">
        <f aca="false">IF($A34="","",COUNTIFS($I$39:$I$91,"메인",$J$39:$J$91,$A34))</f>
        <v/>
      </c>
      <c r="J34" s="24"/>
      <c r="K34" s="24"/>
      <c r="L34" s="24"/>
      <c r="M34" s="24"/>
    </row>
    <row r="36" customFormat="false" ht="16.4" hidden="false" customHeight="false" outlineLevel="0" collapsed="false">
      <c r="A36" s="6" t="s">
        <v>62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customFormat="false" ht="15" hidden="false" customHeight="false" outlineLevel="0" collapsed="false">
      <c r="A37" s="9" t="s">
        <v>63</v>
      </c>
    </row>
    <row r="38" customFormat="false" ht="31.5" hidden="false" customHeight="true" outlineLevel="0" collapsed="false">
      <c r="A38" s="10" t="s">
        <v>64</v>
      </c>
      <c r="B38" s="10" t="s">
        <v>65</v>
      </c>
      <c r="C38" s="10" t="s">
        <v>66</v>
      </c>
      <c r="D38" s="10" t="s">
        <v>18</v>
      </c>
      <c r="E38" s="10" t="s">
        <v>67</v>
      </c>
      <c r="F38" s="10" t="s">
        <v>68</v>
      </c>
      <c r="G38" s="10" t="s">
        <v>69</v>
      </c>
      <c r="H38" s="10" t="s">
        <v>70</v>
      </c>
      <c r="I38" s="10" t="s">
        <v>71</v>
      </c>
      <c r="J38" s="25" t="s">
        <v>72</v>
      </c>
      <c r="K38" s="25" t="s">
        <v>73</v>
      </c>
      <c r="L38" s="25" t="s">
        <v>74</v>
      </c>
      <c r="M38" s="10" t="s">
        <v>75</v>
      </c>
    </row>
    <row r="39" customFormat="false" ht="15" hidden="false" customHeight="false" outlineLevel="0" collapsed="false">
      <c r="A39" s="26" t="n">
        <v>46293</v>
      </c>
      <c r="B39" s="21" t="s">
        <v>76</v>
      </c>
      <c r="C39" s="23" t="s">
        <v>77</v>
      </c>
      <c r="D39" s="23" t="s">
        <v>31</v>
      </c>
      <c r="E39" s="23" t="s">
        <v>78</v>
      </c>
      <c r="F39" s="27" t="n">
        <v>1500</v>
      </c>
      <c r="G39" s="28"/>
      <c r="H39" s="28"/>
      <c r="I39" s="23" t="s">
        <v>79</v>
      </c>
      <c r="J39" s="23" t="s">
        <v>32</v>
      </c>
      <c r="K39" s="23" t="s">
        <v>32</v>
      </c>
      <c r="L39" s="23" t="s">
        <v>54</v>
      </c>
      <c r="M39" s="23" t="s">
        <v>80</v>
      </c>
    </row>
    <row r="40" customFormat="false" ht="15" hidden="false" customHeight="false" outlineLevel="0" collapsed="false">
      <c r="A40" s="26" t="n">
        <v>46293</v>
      </c>
      <c r="B40" s="21" t="s">
        <v>81</v>
      </c>
      <c r="C40" s="23" t="s">
        <v>82</v>
      </c>
      <c r="D40" s="23" t="s">
        <v>31</v>
      </c>
      <c r="E40" s="23" t="s">
        <v>78</v>
      </c>
      <c r="F40" s="27" t="n">
        <v>2000</v>
      </c>
      <c r="G40" s="28"/>
      <c r="H40" s="28"/>
      <c r="I40" s="23"/>
      <c r="J40" s="23"/>
      <c r="K40" s="23"/>
      <c r="L40" s="23"/>
      <c r="M40" s="23" t="s">
        <v>80</v>
      </c>
    </row>
    <row r="41" customFormat="false" ht="15" hidden="false" customHeight="false" outlineLevel="0" collapsed="false">
      <c r="A41" s="26" t="n">
        <v>46293</v>
      </c>
      <c r="B41" s="21" t="s">
        <v>83</v>
      </c>
      <c r="C41" s="23" t="s">
        <v>82</v>
      </c>
      <c r="D41" s="23" t="s">
        <v>31</v>
      </c>
      <c r="E41" s="23" t="s">
        <v>78</v>
      </c>
      <c r="F41" s="27" t="n">
        <v>2500</v>
      </c>
      <c r="G41" s="28"/>
      <c r="H41" s="28"/>
      <c r="I41" s="23"/>
      <c r="J41" s="23"/>
      <c r="K41" s="23"/>
      <c r="L41" s="23"/>
      <c r="M41" s="23" t="s">
        <v>80</v>
      </c>
    </row>
    <row r="42" customFormat="false" ht="15" hidden="false" customHeight="false" outlineLevel="0" collapsed="false">
      <c r="A42" s="26" t="n">
        <v>46293</v>
      </c>
      <c r="B42" s="21" t="s">
        <v>84</v>
      </c>
      <c r="C42" s="23" t="s">
        <v>82</v>
      </c>
      <c r="D42" s="23" t="s">
        <v>31</v>
      </c>
      <c r="E42" s="23" t="s">
        <v>78</v>
      </c>
      <c r="F42" s="27" t="n">
        <v>3000</v>
      </c>
      <c r="G42" s="28" t="n">
        <v>2</v>
      </c>
      <c r="H42" s="28"/>
      <c r="I42" s="23" t="s">
        <v>79</v>
      </c>
      <c r="J42" s="23" t="s">
        <v>32</v>
      </c>
      <c r="K42" s="23" t="s">
        <v>5</v>
      </c>
      <c r="L42" s="23" t="s">
        <v>54</v>
      </c>
      <c r="M42" s="23"/>
    </row>
    <row r="43" customFormat="false" ht="15" hidden="false" customHeight="false" outlineLevel="0" collapsed="false">
      <c r="A43" s="26" t="n">
        <v>46293</v>
      </c>
      <c r="B43" s="23"/>
      <c r="C43" s="23" t="s">
        <v>82</v>
      </c>
      <c r="D43" s="23" t="s">
        <v>31</v>
      </c>
      <c r="E43" s="23" t="s">
        <v>78</v>
      </c>
      <c r="F43" s="27" t="n">
        <v>3500</v>
      </c>
      <c r="G43" s="28" t="n">
        <v>2</v>
      </c>
      <c r="H43" s="28"/>
      <c r="I43" s="23"/>
      <c r="J43" s="23"/>
      <c r="K43" s="23"/>
      <c r="L43" s="23"/>
      <c r="M43" s="23"/>
    </row>
    <row r="44" customFormat="false" ht="15" hidden="false" customHeight="false" outlineLevel="0" collapsed="false">
      <c r="A44" s="26" t="n">
        <v>46294</v>
      </c>
      <c r="B44" s="21" t="s">
        <v>85</v>
      </c>
      <c r="C44" s="23" t="s">
        <v>86</v>
      </c>
      <c r="D44" s="23" t="s">
        <v>31</v>
      </c>
      <c r="E44" s="23" t="s">
        <v>78</v>
      </c>
      <c r="F44" s="27" t="n">
        <v>3500</v>
      </c>
      <c r="G44" s="28" t="n">
        <v>2</v>
      </c>
      <c r="H44" s="28"/>
      <c r="I44" s="23"/>
      <c r="J44" s="23"/>
      <c r="K44" s="23"/>
      <c r="L44" s="23"/>
      <c r="M44" s="23"/>
    </row>
    <row r="45" customFormat="false" ht="15" hidden="false" customHeight="false" outlineLevel="0" collapsed="false">
      <c r="A45" s="26" t="n">
        <v>46294</v>
      </c>
      <c r="B45" s="21" t="s">
        <v>87</v>
      </c>
      <c r="C45" s="23" t="s">
        <v>77</v>
      </c>
      <c r="D45" s="23" t="s">
        <v>31</v>
      </c>
      <c r="E45" s="23" t="s">
        <v>78</v>
      </c>
      <c r="F45" s="27" t="n">
        <v>5000</v>
      </c>
      <c r="G45" s="28" t="n">
        <v>2</v>
      </c>
      <c r="H45" s="28"/>
      <c r="I45" s="23"/>
      <c r="J45" s="23"/>
      <c r="K45" s="23"/>
      <c r="L45" s="23"/>
      <c r="M45" s="23"/>
    </row>
    <row r="46" customFormat="false" ht="15" hidden="false" customHeight="false" outlineLevel="0" collapsed="false">
      <c r="A46" s="26" t="n">
        <v>46294</v>
      </c>
      <c r="B46" s="21" t="s">
        <v>88</v>
      </c>
      <c r="C46" s="23" t="s">
        <v>82</v>
      </c>
      <c r="D46" s="23" t="s">
        <v>31</v>
      </c>
      <c r="E46" s="23" t="s">
        <v>78</v>
      </c>
      <c r="F46" s="27" t="n">
        <v>5500</v>
      </c>
      <c r="G46" s="28" t="n">
        <v>2</v>
      </c>
      <c r="H46" s="28"/>
      <c r="I46" s="23"/>
      <c r="J46" s="23"/>
      <c r="K46" s="23"/>
      <c r="L46" s="23"/>
      <c r="M46" s="23"/>
    </row>
    <row r="47" customFormat="false" ht="15" hidden="false" customHeight="false" outlineLevel="0" collapsed="false">
      <c r="A47" s="26" t="n">
        <v>46294</v>
      </c>
      <c r="B47" s="21" t="s">
        <v>89</v>
      </c>
      <c r="C47" s="23" t="s">
        <v>82</v>
      </c>
      <c r="D47" s="23" t="s">
        <v>31</v>
      </c>
      <c r="E47" s="23" t="s">
        <v>78</v>
      </c>
      <c r="F47" s="27" t="n">
        <v>5500</v>
      </c>
      <c r="G47" s="28" t="n">
        <v>2</v>
      </c>
      <c r="H47" s="28"/>
      <c r="I47" s="23"/>
      <c r="J47" s="23"/>
      <c r="K47" s="23"/>
      <c r="L47" s="23"/>
      <c r="M47" s="23"/>
    </row>
    <row r="48" customFormat="false" ht="15" hidden="false" customHeight="false" outlineLevel="0" collapsed="false">
      <c r="A48" s="26" t="n">
        <v>46294</v>
      </c>
      <c r="B48" s="21" t="s">
        <v>90</v>
      </c>
      <c r="C48" s="23" t="s">
        <v>82</v>
      </c>
      <c r="D48" s="23" t="s">
        <v>31</v>
      </c>
      <c r="E48" s="23" t="s">
        <v>78</v>
      </c>
      <c r="F48" s="27" t="n">
        <v>6000</v>
      </c>
      <c r="G48" s="28" t="n">
        <v>2</v>
      </c>
      <c r="H48" s="28"/>
      <c r="I48" s="23"/>
      <c r="J48" s="23"/>
      <c r="K48" s="23"/>
      <c r="L48" s="23"/>
      <c r="M48" s="23"/>
    </row>
    <row r="49" customFormat="false" ht="15" hidden="false" customHeight="false" outlineLevel="0" collapsed="false">
      <c r="A49" s="26" t="n">
        <v>46295</v>
      </c>
      <c r="B49" s="21" t="s">
        <v>91</v>
      </c>
      <c r="C49" s="23" t="s">
        <v>82</v>
      </c>
      <c r="D49" s="23" t="s">
        <v>31</v>
      </c>
      <c r="E49" s="23" t="s">
        <v>78</v>
      </c>
      <c r="F49" s="27" t="n">
        <v>3000</v>
      </c>
      <c r="G49" s="28" t="n">
        <v>4</v>
      </c>
      <c r="H49" s="28"/>
      <c r="I49" s="23"/>
      <c r="J49" s="23"/>
      <c r="K49" s="23"/>
      <c r="L49" s="23"/>
      <c r="M49" s="23"/>
    </row>
    <row r="50" customFormat="false" ht="15" hidden="false" customHeight="false" outlineLevel="0" collapsed="false">
      <c r="A50" s="26" t="n">
        <v>46296</v>
      </c>
      <c r="B50" s="21" t="s">
        <v>92</v>
      </c>
      <c r="C50" s="23" t="s">
        <v>82</v>
      </c>
      <c r="D50" s="23" t="s">
        <v>31</v>
      </c>
      <c r="E50" s="23" t="s">
        <v>78</v>
      </c>
      <c r="F50" s="27" t="n">
        <v>4000</v>
      </c>
      <c r="G50" s="28" t="n">
        <v>2</v>
      </c>
      <c r="H50" s="28" t="n">
        <v>1</v>
      </c>
      <c r="I50" s="23"/>
      <c r="J50" s="23"/>
      <c r="K50" s="23"/>
      <c r="L50" s="23"/>
      <c r="M50" s="23"/>
    </row>
    <row r="51" customFormat="false" ht="15" hidden="false" customHeight="false" outlineLevel="0" collapsed="false">
      <c r="A51" s="26" t="n">
        <v>46297</v>
      </c>
      <c r="B51" s="21" t="s">
        <v>93</v>
      </c>
      <c r="C51" s="23" t="s">
        <v>77</v>
      </c>
      <c r="D51" s="23" t="s">
        <v>31</v>
      </c>
      <c r="E51" s="23" t="s">
        <v>78</v>
      </c>
      <c r="F51" s="27" t="n">
        <v>2800</v>
      </c>
      <c r="G51" s="28" t="n">
        <v>4</v>
      </c>
      <c r="H51" s="28" t="n">
        <v>2</v>
      </c>
      <c r="I51" s="23" t="s">
        <v>94</v>
      </c>
      <c r="J51" s="23" t="s">
        <v>32</v>
      </c>
      <c r="K51" s="23" t="s">
        <v>5</v>
      </c>
      <c r="L51" s="23" t="s">
        <v>32</v>
      </c>
      <c r="M51" s="23"/>
    </row>
    <row r="52" customFormat="false" ht="15" hidden="false" customHeight="false" outlineLevel="0" collapsed="false">
      <c r="A52" s="26" t="n">
        <v>46297</v>
      </c>
      <c r="B52" s="21" t="s">
        <v>95</v>
      </c>
      <c r="C52" s="23" t="s">
        <v>77</v>
      </c>
      <c r="D52" s="23" t="s">
        <v>31</v>
      </c>
      <c r="E52" s="23" t="s">
        <v>78</v>
      </c>
      <c r="F52" s="27" t="n">
        <v>3100</v>
      </c>
      <c r="G52" s="28" t="n">
        <v>4</v>
      </c>
      <c r="H52" s="28" t="n">
        <v>2</v>
      </c>
      <c r="I52" s="23" t="s">
        <v>94</v>
      </c>
      <c r="J52" s="23" t="s">
        <v>32</v>
      </c>
      <c r="K52" s="23" t="s">
        <v>5</v>
      </c>
      <c r="L52" s="23" t="s">
        <v>54</v>
      </c>
      <c r="M52" s="23"/>
    </row>
    <row r="53" customFormat="false" ht="15" hidden="false" customHeight="false" outlineLevel="0" collapsed="false">
      <c r="A53" s="26" t="n">
        <v>46297</v>
      </c>
      <c r="B53" s="21" t="s">
        <v>96</v>
      </c>
      <c r="C53" s="23" t="s">
        <v>82</v>
      </c>
      <c r="D53" s="23" t="s">
        <v>31</v>
      </c>
      <c r="E53" s="23" t="s">
        <v>78</v>
      </c>
      <c r="F53" s="27" t="n">
        <v>3500</v>
      </c>
      <c r="G53" s="28" t="n">
        <v>2</v>
      </c>
      <c r="H53" s="28" t="n">
        <v>3</v>
      </c>
      <c r="I53" s="23" t="s">
        <v>94</v>
      </c>
      <c r="J53" s="23" t="s">
        <v>32</v>
      </c>
      <c r="K53" s="23" t="s">
        <v>5</v>
      </c>
      <c r="L53" s="23" t="s">
        <v>54</v>
      </c>
      <c r="M53" s="23"/>
    </row>
    <row r="54" customFormat="false" ht="15" hidden="false" customHeight="false" outlineLevel="0" collapsed="false">
      <c r="A54" s="26" t="n">
        <v>46301</v>
      </c>
      <c r="B54" s="21" t="s">
        <v>97</v>
      </c>
      <c r="C54" s="23" t="s">
        <v>98</v>
      </c>
      <c r="D54" s="23" t="s">
        <v>31</v>
      </c>
      <c r="E54" s="23" t="s">
        <v>78</v>
      </c>
      <c r="F54" s="27" t="n">
        <v>3500</v>
      </c>
      <c r="G54" s="28" t="n">
        <v>4</v>
      </c>
      <c r="H54" s="28" t="n">
        <v>1</v>
      </c>
      <c r="I54" s="23" t="s">
        <v>94</v>
      </c>
      <c r="J54" s="23" t="s">
        <v>5</v>
      </c>
      <c r="K54" s="23" t="s">
        <v>32</v>
      </c>
      <c r="L54" s="23" t="s">
        <v>32</v>
      </c>
      <c r="M54" s="23" t="s">
        <v>99</v>
      </c>
    </row>
    <row r="55" customFormat="false" ht="15" hidden="false" customHeight="false" outlineLevel="0" collapsed="false">
      <c r="A55" s="26" t="n">
        <v>46295</v>
      </c>
      <c r="B55" s="21" t="s">
        <v>91</v>
      </c>
      <c r="C55" s="23" t="s">
        <v>82</v>
      </c>
      <c r="D55" s="23" t="s">
        <v>34</v>
      </c>
      <c r="E55" s="23" t="s">
        <v>100</v>
      </c>
      <c r="F55" s="27" t="n">
        <v>2000</v>
      </c>
      <c r="G55" s="28"/>
      <c r="H55" s="28"/>
      <c r="I55" s="23"/>
      <c r="J55" s="23"/>
      <c r="K55" s="23"/>
      <c r="L55" s="23"/>
      <c r="M55" s="23" t="s">
        <v>80</v>
      </c>
    </row>
    <row r="56" customFormat="false" ht="15" hidden="false" customHeight="false" outlineLevel="0" collapsed="false">
      <c r="A56" s="26" t="n">
        <v>46296</v>
      </c>
      <c r="B56" s="21" t="s">
        <v>92</v>
      </c>
      <c r="C56" s="23" t="s">
        <v>82</v>
      </c>
      <c r="D56" s="23" t="s">
        <v>34</v>
      </c>
      <c r="E56" s="23" t="s">
        <v>100</v>
      </c>
      <c r="F56" s="27" t="n">
        <v>2000</v>
      </c>
      <c r="G56" s="28"/>
      <c r="H56" s="28"/>
      <c r="I56" s="23"/>
      <c r="J56" s="23"/>
      <c r="K56" s="23"/>
      <c r="L56" s="23"/>
      <c r="M56" s="23" t="s">
        <v>80</v>
      </c>
    </row>
    <row r="57" customFormat="false" ht="15" hidden="false" customHeight="false" outlineLevel="0" collapsed="false">
      <c r="A57" s="26" t="n">
        <v>46296</v>
      </c>
      <c r="B57" s="21" t="s">
        <v>101</v>
      </c>
      <c r="C57" s="23" t="s">
        <v>82</v>
      </c>
      <c r="D57" s="23" t="s">
        <v>34</v>
      </c>
      <c r="E57" s="23" t="s">
        <v>100</v>
      </c>
      <c r="F57" s="27" t="n">
        <v>2500</v>
      </c>
      <c r="G57" s="28" t="n">
        <v>1</v>
      </c>
      <c r="H57" s="28" t="n">
        <v>2</v>
      </c>
      <c r="I57" s="23"/>
      <c r="J57" s="23"/>
      <c r="K57" s="23"/>
      <c r="L57" s="23"/>
      <c r="M57" s="23"/>
    </row>
    <row r="58" customFormat="false" ht="15" hidden="false" customHeight="false" outlineLevel="0" collapsed="false">
      <c r="A58" s="26" t="n">
        <v>46297</v>
      </c>
      <c r="B58" s="21" t="s">
        <v>102</v>
      </c>
      <c r="C58" s="23" t="s">
        <v>77</v>
      </c>
      <c r="D58" s="23" t="s">
        <v>34</v>
      </c>
      <c r="E58" s="23" t="s">
        <v>100</v>
      </c>
      <c r="F58" s="27" t="n">
        <v>2800</v>
      </c>
      <c r="G58" s="28" t="n">
        <v>5</v>
      </c>
      <c r="H58" s="28" t="n">
        <v>2</v>
      </c>
      <c r="I58" s="23" t="s">
        <v>94</v>
      </c>
      <c r="J58" s="23" t="s">
        <v>32</v>
      </c>
      <c r="K58" s="23" t="s">
        <v>5</v>
      </c>
      <c r="L58" s="23" t="s">
        <v>61</v>
      </c>
      <c r="M58" s="23"/>
    </row>
    <row r="59" customFormat="false" ht="15" hidden="false" customHeight="false" outlineLevel="0" collapsed="false">
      <c r="A59" s="26" t="n">
        <v>46297</v>
      </c>
      <c r="B59" s="21" t="s">
        <v>103</v>
      </c>
      <c r="C59" s="23" t="s">
        <v>77</v>
      </c>
      <c r="D59" s="23" t="s">
        <v>34</v>
      </c>
      <c r="E59" s="23" t="s">
        <v>100</v>
      </c>
      <c r="F59" s="27" t="n">
        <v>3100</v>
      </c>
      <c r="G59" s="28" t="n">
        <v>4</v>
      </c>
      <c r="H59" s="28" t="n">
        <v>3</v>
      </c>
      <c r="I59" s="23" t="s">
        <v>94</v>
      </c>
      <c r="J59" s="23" t="s">
        <v>32</v>
      </c>
      <c r="K59" s="23" t="s">
        <v>56</v>
      </c>
      <c r="L59" s="23" t="s">
        <v>5</v>
      </c>
      <c r="M59" s="23"/>
    </row>
    <row r="60" customFormat="false" ht="15" hidden="false" customHeight="false" outlineLevel="0" collapsed="false">
      <c r="A60" s="26" t="n">
        <v>46297</v>
      </c>
      <c r="B60" s="21" t="s">
        <v>96</v>
      </c>
      <c r="C60" s="23" t="s">
        <v>82</v>
      </c>
      <c r="D60" s="23" t="s">
        <v>34</v>
      </c>
      <c r="E60" s="23" t="s">
        <v>100</v>
      </c>
      <c r="F60" s="27" t="n">
        <v>3500</v>
      </c>
      <c r="G60" s="28" t="n">
        <v>2</v>
      </c>
      <c r="H60" s="28" t="n">
        <v>2</v>
      </c>
      <c r="I60" s="23" t="s">
        <v>94</v>
      </c>
      <c r="J60" s="23" t="s">
        <v>32</v>
      </c>
      <c r="K60" s="23" t="s">
        <v>56</v>
      </c>
      <c r="L60" s="23" t="s">
        <v>56</v>
      </c>
      <c r="M60" s="23"/>
    </row>
    <row r="61" customFormat="false" ht="15" hidden="false" customHeight="false" outlineLevel="0" collapsed="false">
      <c r="A61" s="26" t="n">
        <v>46301</v>
      </c>
      <c r="B61" s="21" t="s">
        <v>97</v>
      </c>
      <c r="C61" s="23" t="s">
        <v>98</v>
      </c>
      <c r="D61" s="23" t="s">
        <v>34</v>
      </c>
      <c r="E61" s="23" t="s">
        <v>100</v>
      </c>
      <c r="F61" s="27" t="n">
        <v>3500</v>
      </c>
      <c r="G61" s="28" t="n">
        <v>2</v>
      </c>
      <c r="H61" s="28" t="n">
        <v>2</v>
      </c>
      <c r="I61" s="23" t="s">
        <v>94</v>
      </c>
      <c r="J61" s="23" t="s">
        <v>32</v>
      </c>
      <c r="K61" s="23" t="s">
        <v>5</v>
      </c>
      <c r="L61" s="23" t="s">
        <v>56</v>
      </c>
      <c r="M61" s="23" t="s">
        <v>104</v>
      </c>
    </row>
    <row r="62" customFormat="false" ht="15" hidden="false" customHeight="false" outlineLevel="0" collapsed="false">
      <c r="A62" s="26" t="n">
        <v>46301</v>
      </c>
      <c r="B62" s="21" t="s">
        <v>105</v>
      </c>
      <c r="C62" s="23" t="s">
        <v>82</v>
      </c>
      <c r="D62" s="23" t="s">
        <v>34</v>
      </c>
      <c r="E62" s="23" t="s">
        <v>100</v>
      </c>
      <c r="F62" s="27" t="n">
        <v>3700</v>
      </c>
      <c r="G62" s="28" t="n">
        <v>2</v>
      </c>
      <c r="H62" s="28" t="n">
        <v>3</v>
      </c>
      <c r="I62" s="23" t="s">
        <v>94</v>
      </c>
      <c r="J62" s="23" t="s">
        <v>32</v>
      </c>
      <c r="K62" s="23" t="s">
        <v>56</v>
      </c>
      <c r="L62" s="23" t="s">
        <v>5</v>
      </c>
      <c r="M62" s="23" t="s">
        <v>106</v>
      </c>
    </row>
    <row r="63" customFormat="false" ht="15" hidden="false" customHeight="false" outlineLevel="0" collapsed="false">
      <c r="A63" s="26" t="n">
        <v>46301</v>
      </c>
      <c r="B63" s="21" t="s">
        <v>107</v>
      </c>
      <c r="C63" s="23" t="s">
        <v>82</v>
      </c>
      <c r="D63" s="23" t="s">
        <v>34</v>
      </c>
      <c r="E63" s="23" t="s">
        <v>100</v>
      </c>
      <c r="F63" s="27" t="n">
        <v>3900</v>
      </c>
      <c r="G63" s="28" t="n">
        <v>2</v>
      </c>
      <c r="H63" s="28" t="n">
        <v>2</v>
      </c>
      <c r="I63" s="23" t="s">
        <v>94</v>
      </c>
      <c r="J63" s="23" t="s">
        <v>32</v>
      </c>
      <c r="K63" s="23" t="s">
        <v>5</v>
      </c>
      <c r="L63" s="23" t="s">
        <v>56</v>
      </c>
      <c r="M63" s="23" t="s">
        <v>104</v>
      </c>
    </row>
    <row r="64" customFormat="false" ht="15" hidden="false" customHeight="false" outlineLevel="0" collapsed="false">
      <c r="A64" s="26" t="n">
        <v>46294</v>
      </c>
      <c r="B64" s="21" t="s">
        <v>108</v>
      </c>
      <c r="C64" s="23" t="s">
        <v>98</v>
      </c>
      <c r="D64" s="23" t="s">
        <v>36</v>
      </c>
      <c r="E64" s="23" t="s">
        <v>109</v>
      </c>
      <c r="F64" s="27" t="n">
        <v>2000</v>
      </c>
      <c r="G64" s="28" t="n">
        <v>2</v>
      </c>
      <c r="H64" s="28"/>
      <c r="I64" s="23"/>
      <c r="J64" s="23"/>
      <c r="K64" s="23"/>
      <c r="L64" s="23"/>
      <c r="M64" s="23"/>
    </row>
    <row r="65" customFormat="false" ht="15" hidden="false" customHeight="false" outlineLevel="0" collapsed="false">
      <c r="A65" s="26" t="n">
        <v>46294</v>
      </c>
      <c r="B65" s="21" t="s">
        <v>87</v>
      </c>
      <c r="C65" s="23" t="s">
        <v>77</v>
      </c>
      <c r="D65" s="23" t="s">
        <v>36</v>
      </c>
      <c r="E65" s="23" t="s">
        <v>109</v>
      </c>
      <c r="F65" s="27" t="n">
        <v>3000</v>
      </c>
      <c r="G65" s="28" t="n">
        <v>1</v>
      </c>
      <c r="H65" s="28"/>
      <c r="I65" s="23"/>
      <c r="J65" s="23"/>
      <c r="K65" s="23"/>
      <c r="L65" s="23"/>
      <c r="M65" s="23"/>
    </row>
    <row r="66" customFormat="false" ht="15" hidden="false" customHeight="false" outlineLevel="0" collapsed="false">
      <c r="A66" s="26" t="n">
        <v>46295</v>
      </c>
      <c r="B66" s="21" t="s">
        <v>91</v>
      </c>
      <c r="C66" s="23" t="s">
        <v>82</v>
      </c>
      <c r="D66" s="23" t="s">
        <v>36</v>
      </c>
      <c r="E66" s="23" t="s">
        <v>109</v>
      </c>
      <c r="F66" s="27" t="n">
        <v>3000</v>
      </c>
      <c r="G66" s="28" t="n">
        <v>3</v>
      </c>
      <c r="H66" s="28"/>
      <c r="I66" s="23"/>
      <c r="J66" s="23"/>
      <c r="K66" s="23"/>
      <c r="L66" s="23"/>
      <c r="M66" s="23"/>
    </row>
    <row r="67" customFormat="false" ht="15" hidden="false" customHeight="false" outlineLevel="0" collapsed="false">
      <c r="A67" s="26" t="n">
        <v>46296</v>
      </c>
      <c r="B67" s="21" t="s">
        <v>92</v>
      </c>
      <c r="C67" s="23" t="s">
        <v>82</v>
      </c>
      <c r="D67" s="23" t="s">
        <v>36</v>
      </c>
      <c r="E67" s="23" t="s">
        <v>109</v>
      </c>
      <c r="F67" s="27" t="n">
        <v>3000</v>
      </c>
      <c r="G67" s="28" t="n">
        <v>2</v>
      </c>
      <c r="H67" s="28" t="n">
        <v>1</v>
      </c>
      <c r="I67" s="23"/>
      <c r="J67" s="23"/>
      <c r="K67" s="23"/>
      <c r="L67" s="23"/>
      <c r="M67" s="23"/>
    </row>
    <row r="68" customFormat="false" ht="15" hidden="false" customHeight="false" outlineLevel="0" collapsed="false">
      <c r="A68" s="26" t="n">
        <v>46297</v>
      </c>
      <c r="B68" s="21" t="s">
        <v>110</v>
      </c>
      <c r="C68" s="23" t="s">
        <v>77</v>
      </c>
      <c r="D68" s="23" t="s">
        <v>36</v>
      </c>
      <c r="E68" s="23" t="s">
        <v>109</v>
      </c>
      <c r="F68" s="27" t="n">
        <v>2800</v>
      </c>
      <c r="G68" s="28" t="n">
        <v>2</v>
      </c>
      <c r="H68" s="28" t="n">
        <v>1</v>
      </c>
      <c r="I68" s="23" t="s">
        <v>94</v>
      </c>
      <c r="J68" s="23" t="s">
        <v>5</v>
      </c>
      <c r="K68" s="23" t="s">
        <v>54</v>
      </c>
      <c r="L68" s="23" t="s">
        <v>58</v>
      </c>
      <c r="M68" s="23"/>
    </row>
    <row r="69" customFormat="false" ht="15" hidden="false" customHeight="false" outlineLevel="0" collapsed="false">
      <c r="A69" s="26" t="n">
        <v>46297</v>
      </c>
      <c r="B69" s="21" t="s">
        <v>111</v>
      </c>
      <c r="C69" s="23" t="s">
        <v>77</v>
      </c>
      <c r="D69" s="23" t="s">
        <v>36</v>
      </c>
      <c r="E69" s="23" t="s">
        <v>109</v>
      </c>
      <c r="F69" s="27" t="n">
        <v>2600</v>
      </c>
      <c r="G69" s="28" t="n">
        <v>2</v>
      </c>
      <c r="H69" s="28" t="n">
        <v>2</v>
      </c>
      <c r="I69" s="23" t="s">
        <v>94</v>
      </c>
      <c r="J69" s="23" t="s">
        <v>32</v>
      </c>
      <c r="K69" s="23" t="s">
        <v>5</v>
      </c>
      <c r="L69" s="23" t="s">
        <v>60</v>
      </c>
      <c r="M69" s="23"/>
    </row>
    <row r="70" customFormat="false" ht="15" hidden="false" customHeight="false" outlineLevel="0" collapsed="false">
      <c r="A70" s="26" t="n">
        <v>46297</v>
      </c>
      <c r="B70" s="21" t="s">
        <v>112</v>
      </c>
      <c r="C70" s="23" t="s">
        <v>82</v>
      </c>
      <c r="D70" s="23" t="s">
        <v>36</v>
      </c>
      <c r="E70" s="23" t="s">
        <v>109</v>
      </c>
      <c r="F70" s="27" t="n">
        <v>2300</v>
      </c>
      <c r="G70" s="28" t="n">
        <v>4</v>
      </c>
      <c r="H70" s="28" t="n">
        <v>2</v>
      </c>
      <c r="I70" s="23" t="s">
        <v>94</v>
      </c>
      <c r="J70" s="23" t="s">
        <v>54</v>
      </c>
      <c r="K70" s="23" t="s">
        <v>5</v>
      </c>
      <c r="L70" s="23" t="s">
        <v>60</v>
      </c>
      <c r="M70" s="23"/>
    </row>
    <row r="71" customFormat="false" ht="15" hidden="false" customHeight="false" outlineLevel="0" collapsed="false">
      <c r="A71" s="26" t="n">
        <v>46301</v>
      </c>
      <c r="B71" s="21" t="s">
        <v>97</v>
      </c>
      <c r="C71" s="23" t="s">
        <v>98</v>
      </c>
      <c r="D71" s="23" t="s">
        <v>36</v>
      </c>
      <c r="E71" s="23" t="s">
        <v>109</v>
      </c>
      <c r="F71" s="27" t="n">
        <v>2300</v>
      </c>
      <c r="G71" s="28" t="n">
        <v>4</v>
      </c>
      <c r="H71" s="28" t="n">
        <v>1</v>
      </c>
      <c r="I71" s="23" t="s">
        <v>94</v>
      </c>
      <c r="J71" s="23" t="s">
        <v>5</v>
      </c>
      <c r="K71" s="23" t="s">
        <v>54</v>
      </c>
      <c r="L71" s="23" t="s">
        <v>58</v>
      </c>
      <c r="M71" s="23" t="s">
        <v>113</v>
      </c>
    </row>
    <row r="72" customFormat="false" ht="15" hidden="false" customHeight="false" outlineLevel="0" collapsed="false">
      <c r="A72" s="29"/>
      <c r="B72" s="24"/>
      <c r="C72" s="24"/>
      <c r="D72" s="24"/>
      <c r="E72" s="24"/>
      <c r="F72" s="30"/>
      <c r="G72" s="31"/>
      <c r="H72" s="31"/>
      <c r="I72" s="24"/>
      <c r="J72" s="24"/>
      <c r="K72" s="24"/>
      <c r="L72" s="24"/>
      <c r="M72" s="24"/>
    </row>
    <row r="73" customFormat="false" ht="15" hidden="false" customHeight="false" outlineLevel="0" collapsed="false">
      <c r="A73" s="29"/>
      <c r="B73" s="24"/>
      <c r="C73" s="24"/>
      <c r="D73" s="24"/>
      <c r="E73" s="24"/>
      <c r="F73" s="30"/>
      <c r="G73" s="31"/>
      <c r="H73" s="31"/>
      <c r="I73" s="24"/>
      <c r="J73" s="24"/>
      <c r="K73" s="24"/>
      <c r="L73" s="24"/>
      <c r="M73" s="24"/>
    </row>
    <row r="74" customFormat="false" ht="15" hidden="false" customHeight="false" outlineLevel="0" collapsed="false">
      <c r="A74" s="29"/>
      <c r="B74" s="24"/>
      <c r="C74" s="24"/>
      <c r="D74" s="24"/>
      <c r="E74" s="24"/>
      <c r="F74" s="30"/>
      <c r="G74" s="31"/>
      <c r="H74" s="31"/>
      <c r="I74" s="24"/>
      <c r="J74" s="24"/>
      <c r="K74" s="24"/>
      <c r="L74" s="24"/>
      <c r="M74" s="24"/>
    </row>
    <row r="75" customFormat="false" ht="15" hidden="false" customHeight="false" outlineLevel="0" collapsed="false">
      <c r="A75" s="29"/>
      <c r="B75" s="24"/>
      <c r="C75" s="24"/>
      <c r="D75" s="24"/>
      <c r="E75" s="24"/>
      <c r="F75" s="30"/>
      <c r="G75" s="31"/>
      <c r="H75" s="31"/>
      <c r="I75" s="24"/>
      <c r="J75" s="24"/>
      <c r="K75" s="24"/>
      <c r="L75" s="24"/>
      <c r="M75" s="24"/>
    </row>
    <row r="76" customFormat="false" ht="15" hidden="false" customHeight="false" outlineLevel="0" collapsed="false">
      <c r="A76" s="29"/>
      <c r="B76" s="24"/>
      <c r="C76" s="24"/>
      <c r="D76" s="24"/>
      <c r="E76" s="24"/>
      <c r="F76" s="30"/>
      <c r="G76" s="31"/>
      <c r="H76" s="31"/>
      <c r="I76" s="24"/>
      <c r="J76" s="24"/>
      <c r="K76" s="24"/>
      <c r="L76" s="24"/>
      <c r="M76" s="24"/>
    </row>
    <row r="77" customFormat="false" ht="15" hidden="false" customHeight="false" outlineLevel="0" collapsed="false">
      <c r="A77" s="29"/>
      <c r="B77" s="24"/>
      <c r="C77" s="24"/>
      <c r="D77" s="24"/>
      <c r="E77" s="24"/>
      <c r="F77" s="30"/>
      <c r="G77" s="31"/>
      <c r="H77" s="31"/>
      <c r="I77" s="24"/>
      <c r="J77" s="24"/>
      <c r="K77" s="24"/>
      <c r="L77" s="24"/>
      <c r="M77" s="24"/>
    </row>
    <row r="78" customFormat="false" ht="15" hidden="false" customHeight="false" outlineLevel="0" collapsed="false">
      <c r="A78" s="29"/>
      <c r="B78" s="24"/>
      <c r="C78" s="24"/>
      <c r="D78" s="24"/>
      <c r="E78" s="24"/>
      <c r="F78" s="30"/>
      <c r="G78" s="31"/>
      <c r="H78" s="31"/>
      <c r="I78" s="24"/>
      <c r="J78" s="24"/>
      <c r="K78" s="24"/>
      <c r="L78" s="24"/>
      <c r="M78" s="24"/>
    </row>
    <row r="79" customFormat="false" ht="15" hidden="false" customHeight="false" outlineLevel="0" collapsed="false">
      <c r="A79" s="29"/>
      <c r="B79" s="24"/>
      <c r="C79" s="24"/>
      <c r="D79" s="24"/>
      <c r="E79" s="24"/>
      <c r="F79" s="30"/>
      <c r="G79" s="31"/>
      <c r="H79" s="31"/>
      <c r="I79" s="24"/>
      <c r="J79" s="24"/>
      <c r="K79" s="24"/>
      <c r="L79" s="24"/>
      <c r="M79" s="24"/>
    </row>
    <row r="80" customFormat="false" ht="15" hidden="false" customHeight="false" outlineLevel="0" collapsed="false">
      <c r="A80" s="29"/>
      <c r="B80" s="24"/>
      <c r="C80" s="24"/>
      <c r="D80" s="24"/>
      <c r="E80" s="24"/>
      <c r="F80" s="30"/>
      <c r="G80" s="31"/>
      <c r="H80" s="31"/>
      <c r="I80" s="24"/>
      <c r="J80" s="24"/>
      <c r="K80" s="24"/>
      <c r="L80" s="24"/>
      <c r="M80" s="24"/>
    </row>
    <row r="81" customFormat="false" ht="15" hidden="false" customHeight="false" outlineLevel="0" collapsed="false">
      <c r="A81" s="29"/>
      <c r="B81" s="24"/>
      <c r="C81" s="24"/>
      <c r="D81" s="24"/>
      <c r="E81" s="24"/>
      <c r="F81" s="30"/>
      <c r="G81" s="31"/>
      <c r="H81" s="31"/>
      <c r="I81" s="24"/>
      <c r="J81" s="24"/>
      <c r="K81" s="24"/>
      <c r="L81" s="24"/>
      <c r="M81" s="24"/>
    </row>
    <row r="82" customFormat="false" ht="15" hidden="false" customHeight="false" outlineLevel="0" collapsed="false">
      <c r="A82" s="29"/>
      <c r="B82" s="24"/>
      <c r="C82" s="24"/>
      <c r="D82" s="24"/>
      <c r="E82" s="24"/>
      <c r="F82" s="30"/>
      <c r="G82" s="31"/>
      <c r="H82" s="31"/>
      <c r="I82" s="24"/>
      <c r="J82" s="24"/>
      <c r="K82" s="24"/>
      <c r="L82" s="24"/>
      <c r="M82" s="24"/>
    </row>
    <row r="83" customFormat="false" ht="15" hidden="false" customHeight="false" outlineLevel="0" collapsed="false">
      <c r="A83" s="29"/>
      <c r="B83" s="24"/>
      <c r="C83" s="24"/>
      <c r="D83" s="24"/>
      <c r="E83" s="24"/>
      <c r="F83" s="30"/>
      <c r="G83" s="31"/>
      <c r="H83" s="31"/>
      <c r="I83" s="24"/>
      <c r="J83" s="24"/>
      <c r="K83" s="24"/>
      <c r="L83" s="24"/>
      <c r="M83" s="24"/>
    </row>
    <row r="84" customFormat="false" ht="15" hidden="false" customHeight="false" outlineLevel="0" collapsed="false">
      <c r="A84" s="29"/>
      <c r="B84" s="24"/>
      <c r="C84" s="24"/>
      <c r="D84" s="24"/>
      <c r="E84" s="24"/>
      <c r="F84" s="30"/>
      <c r="G84" s="31"/>
      <c r="H84" s="31"/>
      <c r="I84" s="24"/>
      <c r="J84" s="24"/>
      <c r="K84" s="24"/>
      <c r="L84" s="24"/>
      <c r="M84" s="24"/>
    </row>
    <row r="85" customFormat="false" ht="15" hidden="false" customHeight="false" outlineLevel="0" collapsed="false">
      <c r="A85" s="29"/>
      <c r="B85" s="24"/>
      <c r="C85" s="24"/>
      <c r="D85" s="24"/>
      <c r="E85" s="24"/>
      <c r="F85" s="30"/>
      <c r="G85" s="31"/>
      <c r="H85" s="31"/>
      <c r="I85" s="24"/>
      <c r="J85" s="24"/>
      <c r="K85" s="24"/>
      <c r="L85" s="24"/>
      <c r="M85" s="24"/>
    </row>
    <row r="86" customFormat="false" ht="15" hidden="false" customHeight="false" outlineLevel="0" collapsed="false">
      <c r="A86" s="29"/>
      <c r="B86" s="24"/>
      <c r="C86" s="24"/>
      <c r="D86" s="24"/>
      <c r="E86" s="24"/>
      <c r="F86" s="30"/>
      <c r="G86" s="31"/>
      <c r="H86" s="31"/>
      <c r="I86" s="24"/>
      <c r="J86" s="24"/>
      <c r="K86" s="24"/>
      <c r="L86" s="24"/>
      <c r="M86" s="24"/>
    </row>
    <row r="87" customFormat="false" ht="15" hidden="false" customHeight="false" outlineLevel="0" collapsed="false">
      <c r="A87" s="29"/>
      <c r="B87" s="24"/>
      <c r="C87" s="24"/>
      <c r="D87" s="24"/>
      <c r="E87" s="24"/>
      <c r="F87" s="30"/>
      <c r="G87" s="31"/>
      <c r="H87" s="31"/>
      <c r="I87" s="24"/>
      <c r="J87" s="24"/>
      <c r="K87" s="24"/>
      <c r="L87" s="24"/>
      <c r="M87" s="24"/>
    </row>
    <row r="88" customFormat="false" ht="15" hidden="false" customHeight="false" outlineLevel="0" collapsed="false">
      <c r="A88" s="29"/>
      <c r="B88" s="24"/>
      <c r="C88" s="24"/>
      <c r="D88" s="24"/>
      <c r="E88" s="24"/>
      <c r="F88" s="30"/>
      <c r="G88" s="31"/>
      <c r="H88" s="31"/>
      <c r="I88" s="24"/>
      <c r="J88" s="24"/>
      <c r="K88" s="24"/>
      <c r="L88" s="24"/>
      <c r="M88" s="24"/>
    </row>
    <row r="89" customFormat="false" ht="15" hidden="false" customHeight="false" outlineLevel="0" collapsed="false">
      <c r="A89" s="29"/>
      <c r="B89" s="24"/>
      <c r="C89" s="24"/>
      <c r="D89" s="24"/>
      <c r="E89" s="24"/>
      <c r="F89" s="30"/>
      <c r="G89" s="31"/>
      <c r="H89" s="31"/>
      <c r="I89" s="24"/>
      <c r="J89" s="24"/>
      <c r="K89" s="24"/>
      <c r="L89" s="24"/>
      <c r="M89" s="24"/>
    </row>
    <row r="90" customFormat="false" ht="15" hidden="false" customHeight="false" outlineLevel="0" collapsed="false">
      <c r="A90" s="29"/>
      <c r="B90" s="24"/>
      <c r="C90" s="24"/>
      <c r="D90" s="24"/>
      <c r="E90" s="24"/>
      <c r="F90" s="30"/>
      <c r="G90" s="31"/>
      <c r="H90" s="31"/>
      <c r="I90" s="24"/>
      <c r="J90" s="24"/>
      <c r="K90" s="24"/>
      <c r="L90" s="24"/>
      <c r="M90" s="24"/>
    </row>
    <row r="91" customFormat="false" ht="15" hidden="false" customHeight="false" outlineLevel="0" collapsed="false">
      <c r="A91" s="29"/>
      <c r="B91" s="24"/>
      <c r="C91" s="24"/>
      <c r="D91" s="24"/>
      <c r="E91" s="24"/>
      <c r="F91" s="30"/>
      <c r="G91" s="31"/>
      <c r="H91" s="31"/>
      <c r="I91" s="24"/>
      <c r="J91" s="24"/>
      <c r="K91" s="24"/>
      <c r="L91" s="24"/>
      <c r="M91" s="24"/>
    </row>
  </sheetData>
  <mergeCells count="17">
    <mergeCell ref="A4:B4"/>
    <mergeCell ref="C4:I4"/>
    <mergeCell ref="A5:B5"/>
    <mergeCell ref="C5:I5"/>
    <mergeCell ref="A6:B6"/>
    <mergeCell ref="C6:I6"/>
    <mergeCell ref="A7:B7"/>
    <mergeCell ref="C7:I7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</mergeCells>
  <dataValidations count="2">
    <dataValidation allowBlank="true" errorStyle="stop" operator="between" showDropDown="false" showErrorMessage="false" showInputMessage="false" sqref="D39:D91" type="list">
      <formula1>"유포라벨,감열라벨,아트라벨"</formula1>
      <formula2>0</formula2>
    </dataValidation>
    <dataValidation allowBlank="true" errorStyle="stop" operator="between" showDropDown="false" showErrorMessage="false" showInputMessage="false" sqref="I39:I91" type="list">
      <formula1>"메인,가격비교"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10" min="8" style="0" width="11"/>
    <col collapsed="false" customWidth="true" hidden="false" outlineLevel="0" max="11" min="11" style="0" width="13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6.4" hidden="false" customHeight="false" outlineLevel="0" collapsed="false">
      <c r="A4" s="6" t="s">
        <v>116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15" hidden="false" customHeight="false" outlineLevel="0" collapsed="false">
      <c r="A5" s="3" t="s">
        <v>117</v>
      </c>
      <c r="B5" s="3"/>
      <c r="C5" s="29" t="n">
        <v>46302</v>
      </c>
      <c r="D5" s="9" t="s">
        <v>118</v>
      </c>
    </row>
    <row r="6" customFormat="false" ht="15" hidden="false" customHeight="false" outlineLevel="0" collapsed="false">
      <c r="A6" s="3" t="s">
        <v>119</v>
      </c>
      <c r="B6" s="3"/>
      <c r="C6" s="29" t="n">
        <v>46301</v>
      </c>
      <c r="D6" s="9" t="s">
        <v>120</v>
      </c>
    </row>
    <row r="7" customFormat="false" ht="15" hidden="false" customHeight="false" outlineLevel="0" collapsed="false">
      <c r="A7" s="3" t="s">
        <v>121</v>
      </c>
      <c r="B7" s="3"/>
      <c r="C7" s="29" t="n">
        <v>46293</v>
      </c>
      <c r="D7" s="9" t="s">
        <v>122</v>
      </c>
    </row>
    <row r="8" customFormat="false" ht="15" hidden="false" customHeight="false" outlineLevel="0" collapsed="false">
      <c r="A8" s="3" t="s">
        <v>123</v>
      </c>
      <c r="B8" s="3"/>
      <c r="C8" s="29" t="n">
        <v>46301</v>
      </c>
      <c r="D8" s="9"/>
    </row>
    <row r="9" customFormat="false" ht="15" hidden="false" customHeight="false" outlineLevel="0" collapsed="false">
      <c r="A9" s="3" t="s">
        <v>124</v>
      </c>
      <c r="B9" s="3"/>
      <c r="C9" s="29" t="n">
        <v>46287</v>
      </c>
      <c r="D9" s="9" t="s">
        <v>125</v>
      </c>
    </row>
    <row r="10" customFormat="false" ht="15" hidden="false" customHeight="false" outlineLevel="0" collapsed="false">
      <c r="A10" s="3" t="s">
        <v>126</v>
      </c>
      <c r="B10" s="3"/>
      <c r="C10" s="30" t="n">
        <v>10</v>
      </c>
      <c r="D10" s="9" t="s">
        <v>127</v>
      </c>
    </row>
    <row r="12" customFormat="false" ht="15" hidden="false" customHeight="false" outlineLevel="0" collapsed="false">
      <c r="A12" s="6" t="s">
        <v>128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15" hidden="false" customHeight="false" outlineLevel="0" collapsed="false">
      <c r="A13" s="3" t="s">
        <v>129</v>
      </c>
      <c r="B13" s="3"/>
      <c r="C13" s="32" t="n">
        <f aca="false">F53</f>
        <v>994</v>
      </c>
      <c r="D13" s="32"/>
      <c r="E13" s="22" t="str">
        <f aca="false">"규격 "&amp;B53&amp;"개 · 품절 "&amp;G53&amp;"개 · 부족 "&amp;H53&amp;"개 (현재고 "&amp;$C$10&amp;"롤 이하)"</f>
        <v>규격 24개 · 품절 4개 · 부족 5개 (현재고 10롤 이하)</v>
      </c>
      <c r="F13" s="22"/>
      <c r="G13" s="22"/>
      <c r="H13" s="22"/>
      <c r="I13" s="22"/>
      <c r="J13" s="22"/>
      <c r="K13" s="22"/>
      <c r="L13" s="22"/>
    </row>
    <row r="14" customFormat="false" ht="15" hidden="false" customHeight="false" outlineLevel="0" collapsed="false">
      <c r="A14" s="3" t="s">
        <v>130</v>
      </c>
      <c r="B14" s="3"/>
      <c r="C14" s="33" t="str">
        <f aca="false">E62&amp;"건 · "&amp;F62&amp;"롤"</f>
        <v>4건 · 8롤</v>
      </c>
      <c r="D14" s="33"/>
      <c r="E14" s="22" t="str">
        <f aca="false">"광고 전 같은 기간 "&amp;C62&amp;"건 · "&amp;D62&amp;"롤 / 평소 수준 "&amp;TEXT(I62,"0.0")&amp;"건 · "&amp;TEXT(J62,"0.0")&amp;"롤"</f>
        <v>광고 전 같은 기간 1건 · 5롤 / 평소 수준 2.8건 · 6.4롤</v>
      </c>
      <c r="F14" s="22"/>
      <c r="G14" s="22"/>
      <c r="H14" s="22"/>
      <c r="I14" s="22"/>
      <c r="J14" s="22"/>
      <c r="K14" s="22"/>
      <c r="L14" s="22"/>
    </row>
    <row r="15" customFormat="false" ht="15" hidden="false" customHeight="false" outlineLevel="0" collapsed="false">
      <c r="A15" s="3" t="s">
        <v>131</v>
      </c>
      <c r="B15" s="3"/>
      <c r="C15" s="33" t="str">
        <f aca="false">IF(E62&gt;I62,"건수 증가 (초기 신호)",IF(E62&lt;I62,"건수 감소","변화 없음"))</f>
        <v>건수 증가 (초기 신호)</v>
      </c>
      <c r="D15" s="33"/>
      <c r="E15" s="22" t="str">
        <f aca="false">"테스트 기간 "&amp;$E$58&amp;"일, 건수가 적어 우연일 가능성이 있습니다. 2~4주 더 보고 판단하는 것이 안전합니다."</f>
        <v>테스트 기간 9일, 건수가 적어 우연일 가능성이 있습니다. 2~4주 더 보고 판단하는 것이 안전합니다.</v>
      </c>
      <c r="F15" s="22"/>
      <c r="G15" s="22"/>
      <c r="H15" s="22"/>
      <c r="I15" s="22"/>
      <c r="J15" s="22"/>
      <c r="K15" s="22"/>
      <c r="L15" s="22"/>
    </row>
    <row r="16" customFormat="false" ht="14.15" hidden="false" customHeight="false" outlineLevel="0" collapsed="false">
      <c r="A16" s="34" t="s">
        <v>132</v>
      </c>
      <c r="B16" s="34"/>
      <c r="C16" s="33" t="str">
        <f aca="false">H90&amp;"건 · "&amp;I90&amp;"롤"</f>
        <v>0건 · 0롤</v>
      </c>
      <c r="D16" s="33"/>
      <c r="E16" s="22" t="str">
        <f aca="false">K90</f>
        <v>전·후 판매 없음 · 효과 미확인</v>
      </c>
      <c r="F16" s="22"/>
      <c r="G16" s="22"/>
      <c r="H16" s="22"/>
      <c r="I16" s="22"/>
      <c r="J16" s="22"/>
      <c r="K16" s="22"/>
      <c r="L16" s="22"/>
    </row>
    <row r="17" customFormat="false" ht="14.15" hidden="false" customHeight="false" outlineLevel="0" collapsed="false">
      <c r="A17" s="34" t="s">
        <v>133</v>
      </c>
      <c r="B17" s="34"/>
      <c r="C17" s="33" t="str">
        <f aca="false">H91&amp;"건 · "&amp;I91&amp;"롤"</f>
        <v>0건 · 0롤</v>
      </c>
      <c r="D17" s="33"/>
      <c r="E17" s="22" t="str">
        <f aca="false">K91</f>
        <v>수정 후 판매 없음 · 아직 효과 없음</v>
      </c>
      <c r="F17" s="22"/>
      <c r="G17" s="22"/>
      <c r="H17" s="22"/>
      <c r="I17" s="22"/>
      <c r="J17" s="22"/>
      <c r="K17" s="22"/>
      <c r="L17" s="22"/>
    </row>
    <row r="20" customFormat="false" ht="16.4" hidden="false" customHeight="false" outlineLevel="0" collapsed="false">
      <c r="A20" s="35" t="s">
        <v>134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customFormat="false" ht="15" hidden="false" customHeight="false" outlineLevel="0" collapsed="false">
      <c r="A21" s="9" t="s">
        <v>135</v>
      </c>
    </row>
    <row r="22" customFormat="false" ht="31.5" hidden="false" customHeight="true" outlineLevel="0" collapsed="false">
      <c r="A22" s="10" t="s">
        <v>136</v>
      </c>
      <c r="B22" s="10" t="s">
        <v>137</v>
      </c>
      <c r="C22" s="10" t="s">
        <v>138</v>
      </c>
      <c r="D22" s="10" t="s">
        <v>139</v>
      </c>
      <c r="E22" s="10" t="s">
        <v>140</v>
      </c>
      <c r="F22" s="10" t="s">
        <v>141</v>
      </c>
      <c r="G22" s="10" t="s">
        <v>142</v>
      </c>
      <c r="H22" s="10" t="s">
        <v>143</v>
      </c>
      <c r="I22" s="10" t="s">
        <v>144</v>
      </c>
      <c r="J22" s="10" t="s">
        <v>145</v>
      </c>
      <c r="K22" s="10" t="s">
        <v>146</v>
      </c>
      <c r="L22" s="10" t="s">
        <v>147</v>
      </c>
    </row>
    <row r="23" customFormat="false" ht="15" hidden="false" customHeight="false" outlineLevel="0" collapsed="false">
      <c r="A23" s="23" t="s">
        <v>148</v>
      </c>
      <c r="B23" s="21" t="s">
        <v>149</v>
      </c>
      <c r="C23" s="27" t="n">
        <v>120</v>
      </c>
      <c r="D23" s="36" t="n">
        <f aca="false">C23-F23</f>
        <v>16</v>
      </c>
      <c r="E23" s="36" t="n">
        <f aca="false">SUMIFS(원본_판매현황!$E$2:$E$500,원본_판매현황!$B$2:$B$500,$A23,원본_판매현황!$C$2:$C$500,$B23,원본_판매현황!$A$2:$A$500,"&lt;="&amp;$C$6)</f>
        <v>0</v>
      </c>
      <c r="F23" s="37" t="n">
        <v>104</v>
      </c>
      <c r="G23" s="38" t="str">
        <f aca="false">IF(F23&lt;=0,"품절",IF(F23&lt;=$C$10,"부족","여유"))</f>
        <v>여유</v>
      </c>
      <c r="H23" s="36" t="n">
        <f aca="false">SUMIFS(원본_판매현황!$E$2:$E$500,원본_판매현황!$B$2:$B$500,$A23,원본_판매현황!$C$2:$C$500,$B23,원본_판매현황!$A$2:$A$500,"&gt;"&amp;($C$6-28),원본_판매현황!$A$2:$A$500,"&lt;="&amp;$C$6)</f>
        <v>0</v>
      </c>
      <c r="I23" s="39" t="str">
        <f aca="false">IF(OR(H23=0,F23&lt;=0),"-",F23/(H23/4))</f>
        <v>-</v>
      </c>
      <c r="J23" s="27" t="n">
        <v>2750</v>
      </c>
      <c r="K23" s="36" t="n">
        <f aca="false">D23-E23</f>
        <v>16</v>
      </c>
      <c r="L23" s="23" t="s">
        <v>150</v>
      </c>
    </row>
    <row r="24" customFormat="false" ht="15" hidden="false" customHeight="false" outlineLevel="0" collapsed="false">
      <c r="A24" s="23" t="s">
        <v>148</v>
      </c>
      <c r="B24" s="21" t="s">
        <v>151</v>
      </c>
      <c r="C24" s="27" t="n">
        <v>100</v>
      </c>
      <c r="D24" s="36" t="n">
        <f aca="false">C24-F24</f>
        <v>71</v>
      </c>
      <c r="E24" s="36" t="n">
        <f aca="false">SUMIFS(원본_판매현황!$E$2:$E$500,원본_판매현황!$B$2:$B$500,$A24,원본_판매현황!$C$2:$C$500,$B24,원본_판매현황!$A$2:$A$500,"&lt;="&amp;$C$6)</f>
        <v>14</v>
      </c>
      <c r="F24" s="37" t="n">
        <v>29</v>
      </c>
      <c r="G24" s="38" t="str">
        <f aca="false">IF(F24&lt;=0,"품절",IF(F24&lt;=$C$10,"부족","여유"))</f>
        <v>여유</v>
      </c>
      <c r="H24" s="36" t="n">
        <f aca="false">SUMIFS(원본_판매현황!$E$2:$E$500,원본_판매현황!$B$2:$B$500,$A24,원본_판매현황!$C$2:$C$500,$B24,원본_판매현황!$A$2:$A$500,"&gt;"&amp;($C$6-28),원본_판매현황!$A$2:$A$500,"&lt;="&amp;$C$6)</f>
        <v>12</v>
      </c>
      <c r="I24" s="39" t="n">
        <f aca="false">IF(OR(H24=0,F24&lt;=0),"-",F24/(H24/4))</f>
        <v>9.66666666666667</v>
      </c>
      <c r="J24" s="27" t="n">
        <v>2750</v>
      </c>
      <c r="K24" s="36" t="n">
        <f aca="false">D24-E24</f>
        <v>57</v>
      </c>
      <c r="L24" s="23" t="s">
        <v>152</v>
      </c>
    </row>
    <row r="25" customFormat="false" ht="15" hidden="false" customHeight="false" outlineLevel="0" collapsed="false">
      <c r="A25" s="23" t="s">
        <v>148</v>
      </c>
      <c r="B25" s="21" t="s">
        <v>153</v>
      </c>
      <c r="C25" s="27" t="n">
        <v>120</v>
      </c>
      <c r="D25" s="36" t="n">
        <f aca="false">C25-F25</f>
        <v>78</v>
      </c>
      <c r="E25" s="36" t="n">
        <f aca="false">SUMIFS(원본_판매현황!$E$2:$E$500,원본_판매현황!$B$2:$B$500,$A25,원본_판매현황!$C$2:$C$500,$B25,원본_판매현황!$A$2:$A$500,"&lt;="&amp;$C$6)</f>
        <v>0</v>
      </c>
      <c r="F25" s="37" t="n">
        <v>42</v>
      </c>
      <c r="G25" s="38" t="str">
        <f aca="false">IF(F25&lt;=0,"품절",IF(F25&lt;=$C$10,"부족","여유"))</f>
        <v>여유</v>
      </c>
      <c r="H25" s="36" t="n">
        <f aca="false">SUMIFS(원본_판매현황!$E$2:$E$500,원본_판매현황!$B$2:$B$500,$A25,원본_판매현황!$C$2:$C$500,$B25,원본_판매현황!$A$2:$A$500,"&gt;"&amp;($C$6-28),원본_판매현황!$A$2:$A$500,"&lt;="&amp;$C$6)</f>
        <v>0</v>
      </c>
      <c r="I25" s="39" t="str">
        <f aca="false">IF(OR(H25=0,F25&lt;=0),"-",F25/(H25/4))</f>
        <v>-</v>
      </c>
      <c r="J25" s="27" t="n">
        <v>4400</v>
      </c>
      <c r="K25" s="36" t="n">
        <f aca="false">D25-E25</f>
        <v>78</v>
      </c>
      <c r="L25" s="23" t="s">
        <v>154</v>
      </c>
    </row>
    <row r="26" customFormat="false" ht="15" hidden="false" customHeight="false" outlineLevel="0" collapsed="false">
      <c r="A26" s="23" t="s">
        <v>148</v>
      </c>
      <c r="B26" s="21" t="s">
        <v>155</v>
      </c>
      <c r="C26" s="27" t="n">
        <v>70</v>
      </c>
      <c r="D26" s="36" t="n">
        <f aca="false">C26-F26</f>
        <v>52</v>
      </c>
      <c r="E26" s="36" t="n">
        <f aca="false">SUMIFS(원본_판매현황!$E$2:$E$500,원본_판매현황!$B$2:$B$500,$A26,원본_판매현황!$C$2:$C$500,$B26,원본_판매현황!$A$2:$A$500,"&lt;="&amp;$C$6)</f>
        <v>22</v>
      </c>
      <c r="F26" s="37" t="n">
        <v>18</v>
      </c>
      <c r="G26" s="38" t="str">
        <f aca="false">IF(F26&lt;=0,"품절",IF(F26&lt;=$C$10,"부족","여유"))</f>
        <v>여유</v>
      </c>
      <c r="H26" s="36" t="n">
        <f aca="false">SUMIFS(원본_판매현황!$E$2:$E$500,원본_판매현황!$B$2:$B$500,$A26,원본_판매현황!$C$2:$C$500,$B26,원본_판매현황!$A$2:$A$500,"&gt;"&amp;($C$6-28),원본_판매현황!$A$2:$A$500,"&lt;="&amp;$C$6)</f>
        <v>1</v>
      </c>
      <c r="I26" s="39" t="n">
        <f aca="false">IF(OR(H26=0,F26&lt;=0),"-",F26/(H26/4))</f>
        <v>72</v>
      </c>
      <c r="J26" s="27" t="n">
        <v>3850</v>
      </c>
      <c r="K26" s="36" t="n">
        <f aca="false">D26-E26</f>
        <v>30</v>
      </c>
      <c r="L26" s="23" t="s">
        <v>156</v>
      </c>
    </row>
    <row r="27" customFormat="false" ht="15" hidden="false" customHeight="false" outlineLevel="0" collapsed="false">
      <c r="A27" s="23" t="s">
        <v>148</v>
      </c>
      <c r="B27" s="21" t="s">
        <v>157</v>
      </c>
      <c r="C27" s="27" t="n">
        <v>100</v>
      </c>
      <c r="D27" s="36" t="n">
        <f aca="false">C27-F27</f>
        <v>9</v>
      </c>
      <c r="E27" s="36" t="n">
        <f aca="false">SUMIFS(원본_판매현황!$E$2:$E$500,원본_판매현황!$B$2:$B$500,$A27,원본_판매현황!$C$2:$C$500,$B27,원본_판매현황!$A$2:$A$500,"&lt;="&amp;$C$6)</f>
        <v>9</v>
      </c>
      <c r="F27" s="37" t="n">
        <v>91</v>
      </c>
      <c r="G27" s="38" t="str">
        <f aca="false">IF(F27&lt;=0,"품절",IF(F27&lt;=$C$10,"부족","여유"))</f>
        <v>여유</v>
      </c>
      <c r="H27" s="36" t="n">
        <f aca="false">SUMIFS(원본_판매현황!$E$2:$E$500,원본_판매현황!$B$2:$B$500,$A27,원본_판매현황!$C$2:$C$500,$B27,원본_판매현황!$A$2:$A$500,"&gt;"&amp;($C$6-28),원본_판매현황!$A$2:$A$500,"&lt;="&amp;$C$6)</f>
        <v>8</v>
      </c>
      <c r="I27" s="39" t="n">
        <f aca="false">IF(OR(H27=0,F27&lt;=0),"-",F27/(H27/4))</f>
        <v>45.5</v>
      </c>
      <c r="J27" s="27" t="n">
        <v>4930</v>
      </c>
      <c r="K27" s="36" t="n">
        <f aca="false">D27-E27</f>
        <v>0</v>
      </c>
      <c r="L27" s="23" t="s">
        <v>158</v>
      </c>
    </row>
    <row r="28" customFormat="false" ht="15" hidden="false" customHeight="false" outlineLevel="0" collapsed="false">
      <c r="A28" s="23" t="s">
        <v>148</v>
      </c>
      <c r="B28" s="21" t="s">
        <v>159</v>
      </c>
      <c r="C28" s="27" t="n">
        <v>50</v>
      </c>
      <c r="D28" s="36" t="n">
        <f aca="false">C28-F28</f>
        <v>50</v>
      </c>
      <c r="E28" s="36" t="n">
        <f aca="false">SUMIFS(원본_판매현황!$E$2:$E$500,원본_판매현황!$B$2:$B$500,$A28,원본_판매현황!$C$2:$C$500,$B28,원본_판매현황!$A$2:$A$500,"&lt;="&amp;$C$6)</f>
        <v>0</v>
      </c>
      <c r="F28" s="37" t="n">
        <v>0</v>
      </c>
      <c r="G28" s="38" t="str">
        <f aca="false">IF(F28&lt;=0,"품절",IF(F28&lt;=$C$10,"부족","여유"))</f>
        <v>품절</v>
      </c>
      <c r="H28" s="36" t="n">
        <f aca="false">SUMIFS(원본_판매현황!$E$2:$E$500,원본_판매현황!$B$2:$B$500,$A28,원본_판매현황!$C$2:$C$500,$B28,원본_판매현황!$A$2:$A$500,"&gt;"&amp;($C$6-28),원본_판매현황!$A$2:$A$500,"&lt;="&amp;$C$6)</f>
        <v>0</v>
      </c>
      <c r="I28" s="39" t="str">
        <f aca="false">IF(OR(H28=0,F28&lt;=0),"-",F28/(H28/4))</f>
        <v>-</v>
      </c>
      <c r="J28" s="27"/>
      <c r="K28" s="36" t="n">
        <f aca="false">D28-E28</f>
        <v>50</v>
      </c>
      <c r="L28" s="23"/>
    </row>
    <row r="29" customFormat="false" ht="15" hidden="false" customHeight="false" outlineLevel="0" collapsed="false">
      <c r="A29" s="23" t="s">
        <v>148</v>
      </c>
      <c r="B29" s="21" t="s">
        <v>160</v>
      </c>
      <c r="C29" s="27" t="n">
        <v>100</v>
      </c>
      <c r="D29" s="36" t="n">
        <f aca="false">C29-F29</f>
        <v>87</v>
      </c>
      <c r="E29" s="36" t="n">
        <f aca="false">SUMIFS(원본_판매현황!$E$2:$E$500,원본_판매현황!$B$2:$B$500,$A29,원본_판매현황!$C$2:$C$500,$B29,원본_판매현황!$A$2:$A$500,"&lt;="&amp;$C$6)</f>
        <v>3</v>
      </c>
      <c r="F29" s="37" t="n">
        <v>13</v>
      </c>
      <c r="G29" s="38" t="str">
        <f aca="false">IF(F29&lt;=0,"품절",IF(F29&lt;=$C$10,"부족","여유"))</f>
        <v>여유</v>
      </c>
      <c r="H29" s="36" t="n">
        <f aca="false">SUMIFS(원본_판매현황!$E$2:$E$500,원본_판매현황!$B$2:$B$500,$A29,원본_판매현황!$C$2:$C$500,$B29,원본_판매현황!$A$2:$A$500,"&gt;"&amp;($C$6-28),원본_판매현황!$A$2:$A$500,"&lt;="&amp;$C$6)</f>
        <v>2</v>
      </c>
      <c r="I29" s="39" t="n">
        <f aca="false">IF(OR(H29=0,F29&lt;=0),"-",F29/(H29/4))</f>
        <v>26</v>
      </c>
      <c r="J29" s="27" t="n">
        <v>7150</v>
      </c>
      <c r="K29" s="36" t="n">
        <f aca="false">D29-E29</f>
        <v>84</v>
      </c>
      <c r="L29" s="23" t="s">
        <v>150</v>
      </c>
    </row>
    <row r="30" customFormat="false" ht="15" hidden="false" customHeight="false" outlineLevel="0" collapsed="false">
      <c r="A30" s="23" t="s">
        <v>148</v>
      </c>
      <c r="B30" s="21" t="s">
        <v>161</v>
      </c>
      <c r="C30" s="27" t="n">
        <v>80</v>
      </c>
      <c r="D30" s="36" t="n">
        <f aca="false">C30-F30</f>
        <v>72</v>
      </c>
      <c r="E30" s="36" t="n">
        <f aca="false">SUMIFS(원본_판매현황!$E$2:$E$500,원본_판매현황!$B$2:$B$500,$A30,원본_판매현황!$C$2:$C$500,$B30,원본_판매현황!$A$2:$A$500,"&lt;="&amp;$C$6)</f>
        <v>13</v>
      </c>
      <c r="F30" s="37" t="n">
        <v>8</v>
      </c>
      <c r="G30" s="38" t="str">
        <f aca="false">IF(F30&lt;=0,"품절",IF(F30&lt;=$C$10,"부족","여유"))</f>
        <v>부족</v>
      </c>
      <c r="H30" s="36" t="n">
        <f aca="false">SUMIFS(원본_판매현황!$E$2:$E$500,원본_판매현황!$B$2:$B$500,$A30,원본_판매현황!$C$2:$C$500,$B30,원본_판매현황!$A$2:$A$500,"&gt;"&amp;($C$6-28),원본_판매현황!$A$2:$A$500,"&lt;="&amp;$C$6)</f>
        <v>0</v>
      </c>
      <c r="I30" s="39" t="str">
        <f aca="false">IF(OR(H30=0,F30&lt;=0),"-",F30/(H30/4))</f>
        <v>-</v>
      </c>
      <c r="J30" s="27" t="n">
        <v>7150</v>
      </c>
      <c r="K30" s="36" t="n">
        <f aca="false">D30-E30</f>
        <v>59</v>
      </c>
      <c r="L30" s="23" t="s">
        <v>162</v>
      </c>
    </row>
    <row r="31" customFormat="false" ht="15" hidden="false" customHeight="false" outlineLevel="0" collapsed="false">
      <c r="A31" s="23" t="s">
        <v>148</v>
      </c>
      <c r="B31" s="21" t="s">
        <v>163</v>
      </c>
      <c r="C31" s="27" t="n">
        <v>70</v>
      </c>
      <c r="D31" s="36" t="n">
        <f aca="false">C31-F31</f>
        <v>68</v>
      </c>
      <c r="E31" s="36" t="n">
        <f aca="false">SUMIFS(원본_판매현황!$E$2:$E$500,원본_판매현황!$B$2:$B$500,$A31,원본_판매현황!$C$2:$C$500,$B31,원본_판매현황!$A$2:$A$500,"&lt;="&amp;$C$6)</f>
        <v>0</v>
      </c>
      <c r="F31" s="37" t="n">
        <v>2</v>
      </c>
      <c r="G31" s="38" t="str">
        <f aca="false">IF(F31&lt;=0,"품절",IF(F31&lt;=$C$10,"부족","여유"))</f>
        <v>부족</v>
      </c>
      <c r="H31" s="36" t="n">
        <f aca="false">SUMIFS(원본_판매현황!$E$2:$E$500,원본_판매현황!$B$2:$B$500,$A31,원본_판매현황!$C$2:$C$500,$B31,원본_판매현황!$A$2:$A$500,"&gt;"&amp;($C$6-28),원본_판매현황!$A$2:$A$500,"&lt;="&amp;$C$6)</f>
        <v>0</v>
      </c>
      <c r="I31" s="39" t="str">
        <f aca="false">IF(OR(H31=0,F31&lt;=0),"-",F31/(H31/4))</f>
        <v>-</v>
      </c>
      <c r="J31" s="27" t="n">
        <v>10760</v>
      </c>
      <c r="K31" s="36" t="n">
        <f aca="false">D31-E31</f>
        <v>68</v>
      </c>
      <c r="L31" s="23" t="s">
        <v>150</v>
      </c>
    </row>
    <row r="32" customFormat="false" ht="15" hidden="false" customHeight="false" outlineLevel="0" collapsed="false">
      <c r="A32" s="23" t="s">
        <v>148</v>
      </c>
      <c r="B32" s="21" t="s">
        <v>164</v>
      </c>
      <c r="C32" s="27" t="n">
        <v>80</v>
      </c>
      <c r="D32" s="36" t="n">
        <f aca="false">C32-F32</f>
        <v>50</v>
      </c>
      <c r="E32" s="36" t="n">
        <f aca="false">SUMIFS(원본_판매현황!$E$2:$E$500,원본_판매현황!$B$2:$B$500,$A32,원본_판매현황!$C$2:$C$500,$B32,원본_판매현황!$A$2:$A$500,"&lt;="&amp;$C$6)</f>
        <v>11</v>
      </c>
      <c r="F32" s="37" t="n">
        <v>30</v>
      </c>
      <c r="G32" s="38" t="str">
        <f aca="false">IF(F32&lt;=0,"품절",IF(F32&lt;=$C$10,"부족","여유"))</f>
        <v>여유</v>
      </c>
      <c r="H32" s="36" t="n">
        <f aca="false">SUMIFS(원본_판매현황!$E$2:$E$500,원본_판매현황!$B$2:$B$500,$A32,원본_판매현황!$C$2:$C$500,$B32,원본_판매현황!$A$2:$A$500,"&gt;"&amp;($C$6-28),원본_판매현황!$A$2:$A$500,"&lt;="&amp;$C$6)</f>
        <v>0</v>
      </c>
      <c r="I32" s="39" t="str">
        <f aca="false">IF(OR(H32=0,F32&lt;=0),"-",F32/(H32/4))</f>
        <v>-</v>
      </c>
      <c r="J32" s="27" t="n">
        <v>7700</v>
      </c>
      <c r="K32" s="36" t="n">
        <f aca="false">D32-E32</f>
        <v>39</v>
      </c>
      <c r="L32" s="23" t="s">
        <v>165</v>
      </c>
    </row>
    <row r="33" customFormat="false" ht="15" hidden="false" customHeight="false" outlineLevel="0" collapsed="false">
      <c r="A33" s="23" t="s">
        <v>166</v>
      </c>
      <c r="B33" s="21" t="s">
        <v>167</v>
      </c>
      <c r="C33" s="27" t="n">
        <v>80</v>
      </c>
      <c r="D33" s="36" t="n">
        <f aca="false">C33-F33</f>
        <v>12</v>
      </c>
      <c r="E33" s="36" t="n">
        <f aca="false">SUMIFS(원본_판매현황!$E$2:$E$500,원본_판매현황!$B$2:$B$500,$A33,원본_판매현황!$C$2:$C$500,$B33,원본_판매현황!$A$2:$A$500,"&lt;="&amp;$C$6)</f>
        <v>12</v>
      </c>
      <c r="F33" s="37" t="n">
        <v>68</v>
      </c>
      <c r="G33" s="38" t="str">
        <f aca="false">IF(F33&lt;=0,"품절",IF(F33&lt;=$C$10,"부족","여유"))</f>
        <v>여유</v>
      </c>
      <c r="H33" s="36" t="n">
        <f aca="false">SUMIFS(원본_판매현황!$E$2:$E$500,원본_판매현황!$B$2:$B$500,$A33,원본_판매현황!$C$2:$C$500,$B33,원본_판매현황!$A$2:$A$500,"&gt;"&amp;($C$6-28),원본_판매현황!$A$2:$A$500,"&lt;="&amp;$C$6)</f>
        <v>2</v>
      </c>
      <c r="I33" s="39" t="n">
        <f aca="false">IF(OR(H33=0,F33&lt;=0),"-",F33/(H33/4))</f>
        <v>136</v>
      </c>
      <c r="J33" s="27" t="n">
        <v>5020</v>
      </c>
      <c r="K33" s="36" t="n">
        <f aca="false">D33-E33</f>
        <v>0</v>
      </c>
      <c r="L33" s="23" t="s">
        <v>168</v>
      </c>
    </row>
    <row r="34" customFormat="false" ht="15" hidden="false" customHeight="false" outlineLevel="0" collapsed="false">
      <c r="A34" s="23" t="s">
        <v>166</v>
      </c>
      <c r="B34" s="21" t="s">
        <v>151</v>
      </c>
      <c r="C34" s="27" t="n">
        <v>80</v>
      </c>
      <c r="D34" s="36" t="n">
        <f aca="false">C34-F34</f>
        <v>0</v>
      </c>
      <c r="E34" s="36" t="n">
        <f aca="false">SUMIFS(원본_판매현황!$E$2:$E$500,원본_판매현황!$B$2:$B$500,$A34,원본_판매현황!$C$2:$C$500,$B34,원본_판매현황!$A$2:$A$500,"&lt;="&amp;$C$6)</f>
        <v>0</v>
      </c>
      <c r="F34" s="37" t="n">
        <v>80</v>
      </c>
      <c r="G34" s="38" t="str">
        <f aca="false">IF(F34&lt;=0,"품절",IF(F34&lt;=$C$10,"부족","여유"))</f>
        <v>여유</v>
      </c>
      <c r="H34" s="36" t="n">
        <f aca="false">SUMIFS(원본_판매현황!$E$2:$E$500,원본_판매현황!$B$2:$B$500,$A34,원본_판매현황!$C$2:$C$500,$B34,원본_판매현황!$A$2:$A$500,"&gt;"&amp;($C$6-28),원본_판매현황!$A$2:$A$500,"&lt;="&amp;$C$6)</f>
        <v>0</v>
      </c>
      <c r="I34" s="39" t="str">
        <f aca="false">IF(OR(H34=0,F34&lt;=0),"-",F34/(H34/4))</f>
        <v>-</v>
      </c>
      <c r="J34" s="27" t="n">
        <v>6140</v>
      </c>
      <c r="K34" s="36" t="n">
        <f aca="false">D34-E34</f>
        <v>0</v>
      </c>
      <c r="L34" s="23"/>
    </row>
    <row r="35" customFormat="false" ht="15" hidden="false" customHeight="false" outlineLevel="0" collapsed="false">
      <c r="A35" s="23" t="s">
        <v>166</v>
      </c>
      <c r="B35" s="21" t="s">
        <v>153</v>
      </c>
      <c r="C35" s="27" t="n">
        <v>50</v>
      </c>
      <c r="D35" s="36" t="n">
        <f aca="false">C35-F35</f>
        <v>50</v>
      </c>
      <c r="E35" s="36" t="n">
        <f aca="false">SUMIFS(원본_판매현황!$E$2:$E$500,원본_판매현황!$B$2:$B$500,$A35,원본_판매현황!$C$2:$C$500,$B35,원본_판매현황!$A$2:$A$500,"&lt;="&amp;$C$6)</f>
        <v>50</v>
      </c>
      <c r="F35" s="37" t="n">
        <v>0</v>
      </c>
      <c r="G35" s="38" t="str">
        <f aca="false">IF(F35&lt;=0,"품절",IF(F35&lt;=$C$10,"부족","여유"))</f>
        <v>품절</v>
      </c>
      <c r="H35" s="36" t="n">
        <f aca="false">SUMIFS(원본_판매현황!$E$2:$E$500,원본_판매현황!$B$2:$B$500,$A35,원본_판매현황!$C$2:$C$500,$B35,원본_판매현황!$A$2:$A$500,"&gt;"&amp;($C$6-28),원본_판매현황!$A$2:$A$500,"&lt;="&amp;$C$6)</f>
        <v>0</v>
      </c>
      <c r="I35" s="39" t="str">
        <f aca="false">IF(OR(H35=0,F35&lt;=0),"-",F35/(H35/4))</f>
        <v>-</v>
      </c>
      <c r="J35" s="27"/>
      <c r="K35" s="36" t="n">
        <f aca="false">D35-E35</f>
        <v>0</v>
      </c>
      <c r="L35" s="23" t="s">
        <v>169</v>
      </c>
    </row>
    <row r="36" customFormat="false" ht="15" hidden="false" customHeight="false" outlineLevel="0" collapsed="false">
      <c r="A36" s="23" t="s">
        <v>166</v>
      </c>
      <c r="B36" s="21" t="s">
        <v>157</v>
      </c>
      <c r="C36" s="27" t="n">
        <v>50</v>
      </c>
      <c r="D36" s="36" t="n">
        <f aca="false">C36-F36</f>
        <v>48</v>
      </c>
      <c r="E36" s="36" t="n">
        <f aca="false">SUMIFS(원본_판매현황!$E$2:$E$500,원본_판매현황!$B$2:$B$500,$A36,원본_판매현황!$C$2:$C$500,$B36,원본_판매현황!$A$2:$A$500,"&lt;="&amp;$C$6)</f>
        <v>5</v>
      </c>
      <c r="F36" s="37" t="n">
        <v>2</v>
      </c>
      <c r="G36" s="38" t="str">
        <f aca="false">IF(F36&lt;=0,"품절",IF(F36&lt;=$C$10,"부족","여유"))</f>
        <v>부족</v>
      </c>
      <c r="H36" s="36" t="n">
        <f aca="false">SUMIFS(원본_판매현황!$E$2:$E$500,원본_판매현황!$B$2:$B$500,$A36,원본_판매현황!$C$2:$C$500,$B36,원본_판매현황!$A$2:$A$500,"&gt;"&amp;($C$6-28),원본_판매현황!$A$2:$A$500,"&lt;="&amp;$C$6)</f>
        <v>0</v>
      </c>
      <c r="I36" s="39" t="str">
        <f aca="false">IF(OR(H36=0,F36&lt;=0),"-",F36/(H36/4))</f>
        <v>-</v>
      </c>
      <c r="J36" s="27" t="n">
        <v>5780</v>
      </c>
      <c r="K36" s="36" t="n">
        <f aca="false">D36-E36</f>
        <v>43</v>
      </c>
      <c r="L36" s="23" t="s">
        <v>170</v>
      </c>
    </row>
    <row r="37" customFormat="false" ht="15" hidden="false" customHeight="false" outlineLevel="0" collapsed="false">
      <c r="A37" s="23" t="s">
        <v>166</v>
      </c>
      <c r="B37" s="21" t="s">
        <v>171</v>
      </c>
      <c r="C37" s="27" t="n">
        <v>60</v>
      </c>
      <c r="D37" s="36" t="n">
        <f aca="false">C37-F37</f>
        <v>45</v>
      </c>
      <c r="E37" s="36" t="n">
        <f aca="false">SUMIFS(원본_판매현황!$E$2:$E$500,원본_판매현황!$B$2:$B$500,$A37,원본_판매현황!$C$2:$C$500,$B37,원본_판매현황!$A$2:$A$500,"&lt;="&amp;$C$6)</f>
        <v>12</v>
      </c>
      <c r="F37" s="37" t="n">
        <v>15</v>
      </c>
      <c r="G37" s="38" t="str">
        <f aca="false">IF(F37&lt;=0,"품절",IF(F37&lt;=$C$10,"부족","여유"))</f>
        <v>여유</v>
      </c>
      <c r="H37" s="36" t="n">
        <f aca="false">SUMIFS(원본_판매현황!$E$2:$E$500,원본_판매현황!$B$2:$B$500,$A37,원본_판매현황!$C$2:$C$500,$B37,원본_판매현황!$A$2:$A$500,"&gt;"&amp;($C$6-28),원본_판매현황!$A$2:$A$500,"&lt;="&amp;$C$6)</f>
        <v>5</v>
      </c>
      <c r="I37" s="39" t="n">
        <f aca="false">IF(OR(H37=0,F37&lt;=0),"-",F37/(H37/4))</f>
        <v>12</v>
      </c>
      <c r="J37" s="27" t="n">
        <v>5980</v>
      </c>
      <c r="K37" s="36" t="n">
        <f aca="false">D37-E37</f>
        <v>33</v>
      </c>
      <c r="L37" s="23" t="s">
        <v>172</v>
      </c>
    </row>
    <row r="38" customFormat="false" ht="15" hidden="false" customHeight="false" outlineLevel="0" collapsed="false">
      <c r="A38" s="23" t="s">
        <v>166</v>
      </c>
      <c r="B38" s="21" t="s">
        <v>173</v>
      </c>
      <c r="C38" s="27" t="n">
        <v>50</v>
      </c>
      <c r="D38" s="36" t="n">
        <f aca="false">C38-F38</f>
        <v>0</v>
      </c>
      <c r="E38" s="36" t="n">
        <f aca="false">SUMIFS(원본_판매현황!$E$2:$E$500,원본_판매현황!$B$2:$B$500,$A38,원본_판매현황!$C$2:$C$500,$B38,원본_판매현황!$A$2:$A$500,"&lt;="&amp;$C$6)</f>
        <v>0</v>
      </c>
      <c r="F38" s="37" t="n">
        <v>50</v>
      </c>
      <c r="G38" s="38" t="str">
        <f aca="false">IF(F38&lt;=0,"품절",IF(F38&lt;=$C$10,"부족","여유"))</f>
        <v>여유</v>
      </c>
      <c r="H38" s="36" t="n">
        <f aca="false">SUMIFS(원본_판매현황!$E$2:$E$500,원본_판매현황!$B$2:$B$500,$A38,원본_판매현황!$C$2:$C$500,$B38,원본_판매현황!$A$2:$A$500,"&gt;"&amp;($C$6-28),원본_판매현황!$A$2:$A$500,"&lt;="&amp;$C$6)</f>
        <v>0</v>
      </c>
      <c r="I38" s="39" t="str">
        <f aca="false">IF(OR(H38=0,F38&lt;=0),"-",F38/(H38/4))</f>
        <v>-</v>
      </c>
      <c r="J38" s="27" t="n">
        <v>7170</v>
      </c>
      <c r="K38" s="36" t="n">
        <f aca="false">D38-E38</f>
        <v>0</v>
      </c>
      <c r="L38" s="23"/>
    </row>
    <row r="39" customFormat="false" ht="15" hidden="false" customHeight="false" outlineLevel="0" collapsed="false">
      <c r="A39" s="23" t="s">
        <v>166</v>
      </c>
      <c r="B39" s="21" t="s">
        <v>174</v>
      </c>
      <c r="C39" s="27" t="n">
        <v>50</v>
      </c>
      <c r="D39" s="36" t="n">
        <f aca="false">C39-F39</f>
        <v>14</v>
      </c>
      <c r="E39" s="36" t="n">
        <f aca="false">SUMIFS(원본_판매현황!$E$2:$E$500,원본_판매현황!$B$2:$B$500,$A39,원본_판매현황!$C$2:$C$500,$B39,원본_판매현황!$A$2:$A$500,"&lt;="&amp;$C$6)</f>
        <v>1</v>
      </c>
      <c r="F39" s="37" t="n">
        <v>36</v>
      </c>
      <c r="G39" s="38" t="str">
        <f aca="false">IF(F39&lt;=0,"품절",IF(F39&lt;=$C$10,"부족","여유"))</f>
        <v>여유</v>
      </c>
      <c r="H39" s="36" t="n">
        <f aca="false">SUMIFS(원본_판매현황!$E$2:$E$500,원본_판매현황!$B$2:$B$500,$A39,원본_판매현황!$C$2:$C$500,$B39,원본_판매현황!$A$2:$A$500,"&gt;"&amp;($C$6-28),원본_판매현황!$A$2:$A$500,"&lt;="&amp;$C$6)</f>
        <v>0</v>
      </c>
      <c r="I39" s="39" t="str">
        <f aca="false">IF(OR(H39=0,F39&lt;=0),"-",F39/(H39/4))</f>
        <v>-</v>
      </c>
      <c r="J39" s="27" t="n">
        <v>14180</v>
      </c>
      <c r="K39" s="36" t="n">
        <f aca="false">D39-E39</f>
        <v>13</v>
      </c>
      <c r="L39" s="23" t="s">
        <v>154</v>
      </c>
    </row>
    <row r="40" customFormat="false" ht="15" hidden="false" customHeight="false" outlineLevel="0" collapsed="false">
      <c r="A40" s="23" t="s">
        <v>166</v>
      </c>
      <c r="B40" s="21" t="s">
        <v>163</v>
      </c>
      <c r="C40" s="27" t="n">
        <v>55</v>
      </c>
      <c r="D40" s="36" t="n">
        <f aca="false">C40-F40</f>
        <v>55</v>
      </c>
      <c r="E40" s="36" t="n">
        <f aca="false">SUMIFS(원본_판매현황!$E$2:$E$500,원본_판매현황!$B$2:$B$500,$A40,원본_판매현황!$C$2:$C$500,$B40,원본_판매현황!$A$2:$A$500,"&lt;="&amp;$C$6)</f>
        <v>2</v>
      </c>
      <c r="F40" s="37" t="n">
        <v>0</v>
      </c>
      <c r="G40" s="38" t="str">
        <f aca="false">IF(F40&lt;=0,"품절",IF(F40&lt;=$C$10,"부족","여유"))</f>
        <v>품절</v>
      </c>
      <c r="H40" s="36" t="n">
        <f aca="false">SUMIFS(원본_판매현황!$E$2:$E$500,원본_판매현황!$B$2:$B$500,$A40,원본_판매현황!$C$2:$C$500,$B40,원본_판매현황!$A$2:$A$500,"&gt;"&amp;($C$6-28),원본_판매현황!$A$2:$A$500,"&lt;="&amp;$C$6)</f>
        <v>1</v>
      </c>
      <c r="I40" s="39" t="str">
        <f aca="false">IF(OR(H40=0,F40&lt;=0),"-",F40/(H40/4))</f>
        <v>-</v>
      </c>
      <c r="J40" s="27" t="n">
        <v>10590</v>
      </c>
      <c r="K40" s="36" t="n">
        <f aca="false">D40-E40</f>
        <v>53</v>
      </c>
      <c r="L40" s="23" t="s">
        <v>175</v>
      </c>
    </row>
    <row r="41" customFormat="false" ht="15" hidden="false" customHeight="false" outlineLevel="0" collapsed="false">
      <c r="A41" s="23" t="s">
        <v>166</v>
      </c>
      <c r="B41" s="21" t="s">
        <v>176</v>
      </c>
      <c r="C41" s="27" t="n">
        <v>50</v>
      </c>
      <c r="D41" s="36" t="n">
        <f aca="false">C41-F41</f>
        <v>42</v>
      </c>
      <c r="E41" s="36" t="n">
        <f aca="false">SUMIFS(원본_판매현황!$E$2:$E$500,원본_판매현황!$B$2:$B$500,$A41,원본_판매현황!$C$2:$C$500,$B41,원본_판매현황!$A$2:$A$500,"&lt;="&amp;$C$6)</f>
        <v>19</v>
      </c>
      <c r="F41" s="37" t="n">
        <v>8</v>
      </c>
      <c r="G41" s="38" t="str">
        <f aca="false">IF(F41&lt;=0,"품절",IF(F41&lt;=$C$10,"부족","여유"))</f>
        <v>부족</v>
      </c>
      <c r="H41" s="36" t="n">
        <f aca="false">SUMIFS(원본_판매현황!$E$2:$E$500,원본_판매현황!$B$2:$B$500,$A41,원본_판매현황!$C$2:$C$500,$B41,원본_판매현황!$A$2:$A$500,"&gt;"&amp;($C$6-28),원본_판매현황!$A$2:$A$500,"&lt;="&amp;$C$6)</f>
        <v>0</v>
      </c>
      <c r="I41" s="39" t="str">
        <f aca="false">IF(OR(H41=0,F41&lt;=0),"-",F41/(H41/4))</f>
        <v>-</v>
      </c>
      <c r="J41" s="27" t="n">
        <v>8920</v>
      </c>
      <c r="K41" s="36" t="n">
        <f aca="false">D41-E41</f>
        <v>23</v>
      </c>
      <c r="L41" s="23" t="s">
        <v>177</v>
      </c>
    </row>
    <row r="42" customFormat="false" ht="15" hidden="false" customHeight="false" outlineLevel="0" collapsed="false">
      <c r="A42" s="23" t="s">
        <v>166</v>
      </c>
      <c r="B42" s="21" t="s">
        <v>178</v>
      </c>
      <c r="C42" s="27" t="n">
        <v>50</v>
      </c>
      <c r="D42" s="36" t="n">
        <f aca="false">C42-F42</f>
        <v>23</v>
      </c>
      <c r="E42" s="36" t="n">
        <f aca="false">SUMIFS(원본_판매현황!$E$2:$E$500,원본_판매현황!$B$2:$B$500,$A42,원본_판매현황!$C$2:$C$500,$B42,원본_판매현황!$A$2:$A$500,"&lt;="&amp;$C$6)</f>
        <v>3</v>
      </c>
      <c r="F42" s="37" t="n">
        <v>27</v>
      </c>
      <c r="G42" s="38" t="str">
        <f aca="false">IF(F42&lt;=0,"품절",IF(F42&lt;=$C$10,"부족","여유"))</f>
        <v>여유</v>
      </c>
      <c r="H42" s="36" t="n">
        <f aca="false">SUMIFS(원본_판매현황!$E$2:$E$500,원본_판매현황!$B$2:$B$500,$A42,원본_판매현황!$C$2:$C$500,$B42,원본_판매현황!$A$2:$A$500,"&gt;"&amp;($C$6-28),원본_판매현황!$A$2:$A$500,"&lt;="&amp;$C$6)</f>
        <v>0</v>
      </c>
      <c r="I42" s="39" t="str">
        <f aca="false">IF(OR(H42=0,F42&lt;=0),"-",F42/(H42/4))</f>
        <v>-</v>
      </c>
      <c r="J42" s="27" t="n">
        <v>13930</v>
      </c>
      <c r="K42" s="36" t="n">
        <f aca="false">D42-E42</f>
        <v>20</v>
      </c>
      <c r="L42" s="23" t="s">
        <v>179</v>
      </c>
    </row>
    <row r="43" customFormat="false" ht="15" hidden="false" customHeight="false" outlineLevel="0" collapsed="false">
      <c r="A43" s="23" t="s">
        <v>166</v>
      </c>
      <c r="B43" s="21" t="s">
        <v>164</v>
      </c>
      <c r="C43" s="27" t="n">
        <v>67</v>
      </c>
      <c r="D43" s="36" t="n">
        <f aca="false">C43-F43</f>
        <v>67</v>
      </c>
      <c r="E43" s="36" t="n">
        <f aca="false">SUMIFS(원본_판매현황!$E$2:$E$500,원본_판매현황!$B$2:$B$500,$A43,원본_판매현황!$C$2:$C$500,$B43,원본_판매현황!$A$2:$A$500,"&lt;="&amp;$C$6)</f>
        <v>14</v>
      </c>
      <c r="F43" s="37" t="n">
        <v>0</v>
      </c>
      <c r="G43" s="38" t="str">
        <f aca="false">IF(F43&lt;=0,"품절",IF(F43&lt;=$C$10,"부족","여유"))</f>
        <v>품절</v>
      </c>
      <c r="H43" s="36" t="n">
        <f aca="false">SUMIFS(원본_판매현황!$E$2:$E$500,원본_판매현황!$B$2:$B$500,$A43,원본_판매현황!$C$2:$C$500,$B43,원본_판매현황!$A$2:$A$500,"&gt;"&amp;($C$6-28),원본_판매현황!$A$2:$A$500,"&lt;="&amp;$C$6)</f>
        <v>0</v>
      </c>
      <c r="I43" s="39" t="str">
        <f aca="false">IF(OR(H43=0,F43&lt;=0),"-",F43/(H43/4))</f>
        <v>-</v>
      </c>
      <c r="J43" s="27" t="n">
        <v>8490</v>
      </c>
      <c r="K43" s="36" t="n">
        <f aca="false">D43-E43</f>
        <v>53</v>
      </c>
      <c r="L43" s="23" t="s">
        <v>180</v>
      </c>
    </row>
    <row r="44" customFormat="false" ht="15" hidden="false" customHeight="false" outlineLevel="0" collapsed="false">
      <c r="A44" s="23" t="s">
        <v>166</v>
      </c>
      <c r="B44" s="21" t="s">
        <v>181</v>
      </c>
      <c r="C44" s="27" t="n">
        <v>50</v>
      </c>
      <c r="D44" s="36" t="n">
        <f aca="false">C44-F44</f>
        <v>48</v>
      </c>
      <c r="E44" s="36" t="n">
        <f aca="false">SUMIFS(원본_판매현황!$E$2:$E$500,원본_판매현황!$B$2:$B$500,$A44,원본_판매현황!$C$2:$C$500,$B44,원본_판매현황!$A$2:$A$500,"&lt;="&amp;$C$6)</f>
        <v>5</v>
      </c>
      <c r="F44" s="37" t="n">
        <v>2</v>
      </c>
      <c r="G44" s="38" t="str">
        <f aca="false">IF(F44&lt;=0,"품절",IF(F44&lt;=$C$10,"부족","여유"))</f>
        <v>부족</v>
      </c>
      <c r="H44" s="36" t="n">
        <f aca="false">SUMIFS(원본_판매현황!$E$2:$E$500,원본_판매현황!$B$2:$B$500,$A44,원본_판매현황!$C$2:$C$500,$B44,원본_판매현황!$A$2:$A$500,"&gt;"&amp;($C$6-28),원본_판매현황!$A$2:$A$500,"&lt;="&amp;$C$6)</f>
        <v>0</v>
      </c>
      <c r="I44" s="39" t="str">
        <f aca="false">IF(OR(H44=0,F44&lt;=0),"-",F44/(H44/4))</f>
        <v>-</v>
      </c>
      <c r="J44" s="27" t="n">
        <v>10200</v>
      </c>
      <c r="K44" s="36" t="n">
        <f aca="false">D44-E44</f>
        <v>43</v>
      </c>
      <c r="L44" s="23" t="s">
        <v>170</v>
      </c>
    </row>
    <row r="45" customFormat="false" ht="15" hidden="false" customHeight="false" outlineLevel="0" collapsed="false">
      <c r="A45" s="23" t="s">
        <v>182</v>
      </c>
      <c r="B45" s="21" t="s">
        <v>183</v>
      </c>
      <c r="C45" s="27" t="n">
        <v>56</v>
      </c>
      <c r="D45" s="36" t="n">
        <f aca="false">C45-F45</f>
        <v>16</v>
      </c>
      <c r="E45" s="36" t="n">
        <f aca="false">SUMIFS(원본_판매현황!$E$2:$E$500,원본_판매현황!$B$2:$B$500,$A45,원본_판매현황!$C$2:$C$500,$B45,원본_판매현황!$A$2:$A$500,"&lt;="&amp;$C$6)</f>
        <v>11</v>
      </c>
      <c r="F45" s="37" t="n">
        <v>40</v>
      </c>
      <c r="G45" s="38" t="str">
        <f aca="false">IF(F45&lt;=0,"품절",IF(F45&lt;=$C$10,"부족","여유"))</f>
        <v>여유</v>
      </c>
      <c r="H45" s="36" t="n">
        <f aca="false">SUMIFS(원본_판매현황!$E$2:$E$500,원본_판매현황!$B$2:$B$500,$A45,원본_판매현황!$C$2:$C$500,$B45,원본_판매현황!$A$2:$A$500,"&gt;"&amp;($C$6-28),원본_판매현황!$A$2:$A$500,"&lt;="&amp;$C$6)</f>
        <v>10</v>
      </c>
      <c r="I45" s="39" t="n">
        <f aca="false">IF(OR(H45=0,F45&lt;=0),"-",F45/(H45/4))</f>
        <v>16</v>
      </c>
      <c r="J45" s="27" t="n">
        <v>5590</v>
      </c>
      <c r="K45" s="36" t="n">
        <f aca="false">D45-E45</f>
        <v>5</v>
      </c>
      <c r="L45" s="23" t="s">
        <v>184</v>
      </c>
    </row>
    <row r="46" customFormat="false" ht="15" hidden="false" customHeight="false" outlineLevel="0" collapsed="false">
      <c r="A46" s="23" t="s">
        <v>182</v>
      </c>
      <c r="B46" s="21" t="s">
        <v>164</v>
      </c>
      <c r="C46" s="27" t="n">
        <v>360</v>
      </c>
      <c r="D46" s="36" t="n">
        <f aca="false">C46-F46</f>
        <v>31</v>
      </c>
      <c r="E46" s="36" t="n">
        <f aca="false">SUMIFS(원본_판매현황!$E$2:$E$500,원본_판매현황!$B$2:$B$500,$A46,원본_판매현황!$C$2:$C$500,$B46,원본_판매현황!$A$2:$A$500,"&lt;="&amp;$C$6)</f>
        <v>23</v>
      </c>
      <c r="F46" s="37" t="n">
        <v>329</v>
      </c>
      <c r="G46" s="38" t="str">
        <f aca="false">IF(F46&lt;=0,"품절",IF(F46&lt;=$C$10,"부족","여유"))</f>
        <v>여유</v>
      </c>
      <c r="H46" s="36" t="n">
        <f aca="false">SUMIFS(원본_판매현황!$E$2:$E$500,원본_판매현황!$B$2:$B$500,$A46,원본_판매현황!$C$2:$C$500,$B46,원본_판매현황!$A$2:$A$500,"&gt;"&amp;($C$6-28),원본_판매현황!$A$2:$A$500,"&lt;="&amp;$C$6)</f>
        <v>7</v>
      </c>
      <c r="I46" s="39" t="n">
        <f aca="false">IF(OR(H46=0,F46&lt;=0),"-",F46/(H46/4))</f>
        <v>188</v>
      </c>
      <c r="J46" s="27" t="n">
        <v>7550</v>
      </c>
      <c r="K46" s="36" t="n">
        <f aca="false">D46-E46</f>
        <v>8</v>
      </c>
      <c r="L46" s="23" t="s">
        <v>185</v>
      </c>
    </row>
    <row r="47" customFormat="false" ht="15" hidden="false" customHeight="false" outlineLevel="0" collapsed="false">
      <c r="A47" s="9" t="s">
        <v>186</v>
      </c>
    </row>
    <row r="49" customFormat="false" ht="26.85" hidden="false" customHeight="false" outlineLevel="0" collapsed="false">
      <c r="A49" s="10" t="s">
        <v>136</v>
      </c>
      <c r="B49" s="10" t="s">
        <v>187</v>
      </c>
      <c r="C49" s="10" t="s">
        <v>138</v>
      </c>
      <c r="D49" s="10" t="s">
        <v>188</v>
      </c>
      <c r="E49" s="10" t="s">
        <v>189</v>
      </c>
      <c r="F49" s="10" t="s">
        <v>190</v>
      </c>
      <c r="G49" s="10" t="s">
        <v>191</v>
      </c>
      <c r="H49" s="10" t="s">
        <v>192</v>
      </c>
      <c r="I49" s="10" t="s">
        <v>193</v>
      </c>
    </row>
    <row r="50" customFormat="false" ht="15" hidden="false" customHeight="false" outlineLevel="0" collapsed="false">
      <c r="A50" s="11" t="s">
        <v>148</v>
      </c>
      <c r="B50" s="36" t="n">
        <f aca="false">COUNTIF($A$23:$A$46,$A50)</f>
        <v>10</v>
      </c>
      <c r="C50" s="36" t="n">
        <f aca="false">SUMIF($A$23:$A$46,$A50,$C$23:$C$46)</f>
        <v>890</v>
      </c>
      <c r="D50" s="36" t="n">
        <f aca="false">SUMIF($A$23:$A$46,$A50,$D$23:$D$46)</f>
        <v>553</v>
      </c>
      <c r="E50" s="36" t="n">
        <f aca="false">SUMIF($A$23:$A$46,$A50,$E$23:$E$46)</f>
        <v>72</v>
      </c>
      <c r="F50" s="36" t="n">
        <f aca="false">SUMIF($A$23:$A$46,$A50,$F$23:$F$46)</f>
        <v>337</v>
      </c>
      <c r="G50" s="36" t="n">
        <f aca="false">COUNTIFS($A$23:$A$46,$A50,$G$23:$G$46,"품절")</f>
        <v>1</v>
      </c>
      <c r="H50" s="36" t="n">
        <f aca="false">COUNTIFS($A$23:$A$46,$A50,$G$23:$G$46,"부족")</f>
        <v>2</v>
      </c>
      <c r="I50" s="36" t="n">
        <f aca="false">SUMIF($A$23:$A$46,$A50,$H$23:$H$46)</f>
        <v>23</v>
      </c>
    </row>
    <row r="51" customFormat="false" ht="15" hidden="false" customHeight="false" outlineLevel="0" collapsed="false">
      <c r="A51" s="11" t="s">
        <v>166</v>
      </c>
      <c r="B51" s="36" t="n">
        <f aca="false">COUNTIF($A$23:$A$46,$A51)</f>
        <v>12</v>
      </c>
      <c r="C51" s="36" t="n">
        <f aca="false">SUMIF($A$23:$A$46,$A51,$C$23:$C$46)</f>
        <v>692</v>
      </c>
      <c r="D51" s="36" t="n">
        <f aca="false">SUMIF($A$23:$A$46,$A51,$D$23:$D$46)</f>
        <v>404</v>
      </c>
      <c r="E51" s="36" t="n">
        <f aca="false">SUMIF($A$23:$A$46,$A51,$E$23:$E$46)</f>
        <v>123</v>
      </c>
      <c r="F51" s="36" t="n">
        <f aca="false">SUMIF($A$23:$A$46,$A51,$F$23:$F$46)</f>
        <v>288</v>
      </c>
      <c r="G51" s="36" t="n">
        <f aca="false">COUNTIFS($A$23:$A$46,$A51,$G$23:$G$46,"품절")</f>
        <v>3</v>
      </c>
      <c r="H51" s="36" t="n">
        <f aca="false">COUNTIFS($A$23:$A$46,$A51,$G$23:$G$46,"부족")</f>
        <v>3</v>
      </c>
      <c r="I51" s="36" t="n">
        <f aca="false">SUMIF($A$23:$A$46,$A51,$H$23:$H$46)</f>
        <v>8</v>
      </c>
    </row>
    <row r="52" customFormat="false" ht="15" hidden="false" customHeight="false" outlineLevel="0" collapsed="false">
      <c r="A52" s="11" t="s">
        <v>182</v>
      </c>
      <c r="B52" s="36" t="n">
        <f aca="false">COUNTIF($A$23:$A$46,$A52)</f>
        <v>2</v>
      </c>
      <c r="C52" s="36" t="n">
        <f aca="false">SUMIF($A$23:$A$46,$A52,$C$23:$C$46)</f>
        <v>416</v>
      </c>
      <c r="D52" s="36" t="n">
        <f aca="false">SUMIF($A$23:$A$46,$A52,$D$23:$D$46)</f>
        <v>47</v>
      </c>
      <c r="E52" s="36" t="n">
        <f aca="false">SUMIF($A$23:$A$46,$A52,$E$23:$E$46)</f>
        <v>34</v>
      </c>
      <c r="F52" s="36" t="n">
        <f aca="false">SUMIF($A$23:$A$46,$A52,$F$23:$F$46)</f>
        <v>369</v>
      </c>
      <c r="G52" s="36" t="n">
        <f aca="false">COUNTIFS($A$23:$A$46,$A52,$G$23:$G$46,"품절")</f>
        <v>0</v>
      </c>
      <c r="H52" s="36" t="n">
        <f aca="false">COUNTIFS($A$23:$A$46,$A52,$G$23:$G$46,"부족")</f>
        <v>0</v>
      </c>
      <c r="I52" s="36" t="n">
        <f aca="false">SUMIF($A$23:$A$46,$A52,$H$23:$H$46)</f>
        <v>17</v>
      </c>
    </row>
    <row r="53" customFormat="false" ht="15" hidden="false" customHeight="false" outlineLevel="0" collapsed="false">
      <c r="A53" s="11" t="s">
        <v>49</v>
      </c>
      <c r="B53" s="40" t="n">
        <f aca="false">SUM(B50:B52)</f>
        <v>24</v>
      </c>
      <c r="C53" s="40" t="n">
        <f aca="false">SUM(C50:C52)</f>
        <v>1998</v>
      </c>
      <c r="D53" s="40" t="n">
        <f aca="false">SUM(D50:D52)</f>
        <v>1004</v>
      </c>
      <c r="E53" s="40" t="n">
        <f aca="false">SUM(E50:E52)</f>
        <v>229</v>
      </c>
      <c r="F53" s="40" t="n">
        <f aca="false">SUM(F50:F52)</f>
        <v>994</v>
      </c>
      <c r="G53" s="40" t="n">
        <f aca="false">SUM(G50:G52)</f>
        <v>4</v>
      </c>
      <c r="H53" s="40" t="n">
        <f aca="false">SUM(H50:H52)</f>
        <v>5</v>
      </c>
      <c r="I53" s="40" t="n">
        <f aca="false">SUM(I50:I52)</f>
        <v>48</v>
      </c>
    </row>
    <row r="55" customFormat="false" ht="16.4" hidden="false" customHeight="false" outlineLevel="0" collapsed="false">
      <c r="A55" s="35" t="s">
        <v>194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customFormat="false" ht="15" hidden="false" customHeight="false" outlineLevel="0" collapsed="false">
      <c r="A56" s="9" t="s">
        <v>195</v>
      </c>
    </row>
    <row r="57" customFormat="false" ht="15" hidden="false" customHeight="false" outlineLevel="0" collapsed="false">
      <c r="A57" s="3" t="s">
        <v>196</v>
      </c>
      <c r="B57" s="3"/>
      <c r="C57" s="41" t="n">
        <f aca="false">$C$7-($C$8-$C$7+1)</f>
        <v>46284</v>
      </c>
      <c r="D57" s="41" t="n">
        <f aca="false">$C$7-1</f>
        <v>46292</v>
      </c>
      <c r="E57" s="42" t="n">
        <f aca="false">D57-C57+1</f>
        <v>9</v>
      </c>
    </row>
    <row r="58" customFormat="false" ht="15" hidden="false" customHeight="false" outlineLevel="0" collapsed="false">
      <c r="A58" s="3" t="s">
        <v>197</v>
      </c>
      <c r="B58" s="3"/>
      <c r="C58" s="41" t="n">
        <f aca="false">$C$7</f>
        <v>46293</v>
      </c>
      <c r="D58" s="41" t="n">
        <f aca="false">$C$8</f>
        <v>46301</v>
      </c>
      <c r="E58" s="42" t="n">
        <f aca="false">D58-C58+1</f>
        <v>9</v>
      </c>
    </row>
    <row r="59" customFormat="false" ht="15" hidden="false" customHeight="false" outlineLevel="0" collapsed="false">
      <c r="A59" s="3" t="s">
        <v>198</v>
      </c>
      <c r="B59" s="3"/>
      <c r="C59" s="29" t="n">
        <v>46235</v>
      </c>
      <c r="D59" s="41" t="n">
        <f aca="false">$C$7-1</f>
        <v>46292</v>
      </c>
      <c r="E59" s="42" t="n">
        <f aca="false">D59-C59+1</f>
        <v>58</v>
      </c>
    </row>
    <row r="61" customFormat="false" ht="31.5" hidden="false" customHeight="true" outlineLevel="0" collapsed="false">
      <c r="A61" s="10" t="s">
        <v>199</v>
      </c>
      <c r="B61" s="10"/>
      <c r="C61" s="10" t="s">
        <v>200</v>
      </c>
      <c r="D61" s="10" t="s">
        <v>201</v>
      </c>
      <c r="E61" s="10" t="s">
        <v>202</v>
      </c>
      <c r="F61" s="10" t="s">
        <v>203</v>
      </c>
      <c r="G61" s="10" t="s">
        <v>204</v>
      </c>
      <c r="H61" s="10" t="s">
        <v>205</v>
      </c>
      <c r="I61" s="10" t="s">
        <v>206</v>
      </c>
      <c r="J61" s="10" t="s">
        <v>207</v>
      </c>
      <c r="K61" s="10" t="s">
        <v>208</v>
      </c>
      <c r="L61" s="10" t="s">
        <v>209</v>
      </c>
    </row>
    <row r="62" customFormat="false" ht="15" hidden="false" customHeight="false" outlineLevel="0" collapsed="false">
      <c r="A62" s="11" t="s">
        <v>210</v>
      </c>
      <c r="B62" s="11"/>
      <c r="C62" s="36" t="n">
        <f aca="false">COUNTIFS(원본_판매현황!$A$2:$A$500,"&gt;="&amp;$C$57,원본_판매현황!$A$2:$A$500,"&lt;="&amp;$D$57,원본_판매현황!$D$2:$D$500,"전문몰")</f>
        <v>1</v>
      </c>
      <c r="D62" s="36" t="n">
        <f aca="false">SUMIFS(원본_판매현황!$E$2:$E$500,원본_판매현황!$A$2:$A$500,"&gt;="&amp;$C$57,원본_판매현황!$A$2:$A$500,"&lt;="&amp;$D$57,원본_판매현황!$D$2:$D$500,"전문몰")</f>
        <v>5</v>
      </c>
      <c r="E62" s="40" t="n">
        <f aca="false">COUNTIFS(원본_판매현황!$A$2:$A$500,"&gt;="&amp;$C$7,원본_판매현황!$A$2:$A$500,"&lt;="&amp;$C$8,원본_판매현황!$D$2:$D$500,"전문몰")</f>
        <v>4</v>
      </c>
      <c r="F62" s="40" t="n">
        <f aca="false">SUMIFS(원본_판매현황!$E$2:$E$500,원본_판매현황!$A$2:$A$500,"&gt;="&amp;$C$7,원본_판매현황!$A$2:$A$500,"&lt;="&amp;$C$8,원본_판매현황!$D$2:$D$500,"전문몰")</f>
        <v>8</v>
      </c>
      <c r="G62" s="43" t="n">
        <f aca="false">E62-C62</f>
        <v>3</v>
      </c>
      <c r="H62" s="43" t="n">
        <f aca="false">F62-D62</f>
        <v>3</v>
      </c>
      <c r="I62" s="39" t="n">
        <f aca="false">COUNTIFS(원본_판매현황!$A$2:$A$500,"&gt;="&amp;$C$59,원본_판매현황!$A$2:$A$500,"&lt;="&amp;$D$59,원본_판매현황!$D$2:$D$500,"전문몰")/$E$59*$E$58</f>
        <v>2.79310344827586</v>
      </c>
      <c r="J62" s="39" t="n">
        <f aca="false">SUMIFS(원본_판매현황!$E$2:$E$500,원본_판매현황!$A$2:$A$500,"&gt;="&amp;$C$59,원본_판매현황!$A$2:$A$500,"&lt;="&amp;$D$59,원본_판매현황!$D$2:$D$500,"전문몰")/$E$59*$E$58</f>
        <v>6.36206896551724</v>
      </c>
      <c r="K62" s="44" t="n">
        <f aca="false">IF(I62=0,"-",E62/I62-1)</f>
        <v>0.432098765432099</v>
      </c>
      <c r="L62" s="44" t="n">
        <f aca="false">IF(J62=0,"-",F62/J62-1)</f>
        <v>0.257452574525745</v>
      </c>
    </row>
    <row r="63" customFormat="false" ht="15" hidden="false" customHeight="false" outlineLevel="0" collapsed="false">
      <c r="A63" s="22" t="s">
        <v>211</v>
      </c>
      <c r="B63" s="22"/>
      <c r="C63" s="36" t="n">
        <f aca="false">COUNTIFS(원본_판매현황!$A$2:$A$500,"&gt;="&amp;$C$57,원본_판매현황!$A$2:$A$500,"&lt;="&amp;$D$57,원본_판매현황!$D$2:$D$500,"&lt;&gt;전문몰")</f>
        <v>0</v>
      </c>
      <c r="D63" s="36" t="n">
        <f aca="false">SUMIFS(원본_판매현황!$E$2:$E$500,원본_판매현황!$A$2:$A$500,"&gt;="&amp;$C$57,원본_판매현황!$A$2:$A$500,"&lt;="&amp;$D$57,원본_판매현황!$D$2:$D$500,"&lt;&gt;전문몰")</f>
        <v>0</v>
      </c>
      <c r="E63" s="40" t="n">
        <f aca="false">COUNTIFS(원본_판매현황!$A$2:$A$500,"&gt;="&amp;$C$7,원본_판매현황!$A$2:$A$500,"&lt;="&amp;$C$8,원본_판매현황!$D$2:$D$500,"&lt;&gt;전문몰")</f>
        <v>6</v>
      </c>
      <c r="F63" s="40" t="n">
        <f aca="false">SUMIFS(원본_판매현황!$E$2:$E$500,원본_판매현황!$A$2:$A$500,"&gt;="&amp;$C$7,원본_판매현황!$A$2:$A$500,"&lt;="&amp;$C$8,원본_판매현황!$D$2:$D$500,"&lt;&gt;전문몰")</f>
        <v>31</v>
      </c>
      <c r="G63" s="43" t="n">
        <f aca="false">E63-C63</f>
        <v>6</v>
      </c>
      <c r="H63" s="43" t="n">
        <f aca="false">F63-D63</f>
        <v>31</v>
      </c>
      <c r="I63" s="39" t="n">
        <f aca="false">COUNTIFS(원본_판매현황!$A$2:$A$500,"&gt;="&amp;$C$59,원본_판매현황!$A$2:$A$500,"&lt;="&amp;$D$59,원본_판매현황!$D$2:$D$500,"&lt;&gt;전문몰")/$E$59*$E$58</f>
        <v>1.70689655172414</v>
      </c>
      <c r="J63" s="39" t="n">
        <f aca="false">SUMIFS(원본_판매현황!$E$2:$E$500,원본_판매현황!$A$2:$A$500,"&gt;="&amp;$C$59,원본_판매현황!$A$2:$A$500,"&lt;="&amp;$D$59,원본_판매현황!$D$2:$D$500,"&lt;&gt;전문몰")/$E$59*$E$58</f>
        <v>7.75862068965517</v>
      </c>
      <c r="K63" s="44" t="n">
        <f aca="false">IF(I63=0,"-",E63/I63-1)</f>
        <v>2.51515151515152</v>
      </c>
      <c r="L63" s="44" t="n">
        <f aca="false">IF(J63=0,"-",F63/J63-1)</f>
        <v>2.99555555555556</v>
      </c>
    </row>
    <row r="64" customFormat="false" ht="15" hidden="false" customHeight="false" outlineLevel="0" collapsed="false">
      <c r="A64" s="11" t="s">
        <v>212</v>
      </c>
      <c r="B64" s="11"/>
      <c r="C64" s="36" t="n">
        <f aca="false">COUNTIFS(원본_판매현황!$A$2:$A$500,"&gt;="&amp;$C$57,원본_판매현황!$A$2:$A$500,"&lt;="&amp;$D$57)</f>
        <v>1</v>
      </c>
      <c r="D64" s="36" t="n">
        <f aca="false">SUMIFS(원본_판매현황!$E$2:$E$500,원본_판매현황!$A$2:$A$500,"&gt;="&amp;$C$57,원본_판매현황!$A$2:$A$500,"&lt;="&amp;$D$57)</f>
        <v>5</v>
      </c>
      <c r="E64" s="40" t="n">
        <f aca="false">COUNTIFS(원본_판매현황!$A$2:$A$500,"&gt;="&amp;$C$7,원본_판매현황!$A$2:$A$500,"&lt;="&amp;$C$8)</f>
        <v>10</v>
      </c>
      <c r="F64" s="40" t="n">
        <f aca="false">SUMIFS(원본_판매현황!$E$2:$E$500,원본_판매현황!$A$2:$A$500,"&gt;="&amp;$C$7,원본_판매현황!$A$2:$A$500,"&lt;="&amp;$C$8)</f>
        <v>39</v>
      </c>
      <c r="G64" s="43" t="n">
        <f aca="false">E64-C64</f>
        <v>9</v>
      </c>
      <c r="H64" s="43" t="n">
        <f aca="false">F64-D64</f>
        <v>34</v>
      </c>
      <c r="I64" s="39" t="n">
        <f aca="false">COUNTIFS(원본_판매현황!$A$2:$A$500,"&gt;="&amp;$C$59,원본_판매현황!$A$2:$A$500,"&lt;="&amp;$D$59)/$E$59*$E$58</f>
        <v>4.5</v>
      </c>
      <c r="J64" s="39" t="n">
        <f aca="false">SUMIFS(원본_판매현황!$E$2:$E$500,원본_판매현황!$A$2:$A$500,"&gt;="&amp;$C$59,원본_판매현황!$A$2:$A$500,"&lt;="&amp;$D$59)/$E$59*$E$58</f>
        <v>14.1206896551724</v>
      </c>
      <c r="K64" s="44" t="n">
        <f aca="false">IF(I64=0,"-",E64/I64-1)</f>
        <v>1.22222222222222</v>
      </c>
      <c r="L64" s="44" t="n">
        <f aca="false">IF(J64=0,"-",F64/J64-1)</f>
        <v>1.76190476190476</v>
      </c>
    </row>
    <row r="65" customFormat="false" ht="15" hidden="false" customHeight="false" outlineLevel="0" collapsed="false">
      <c r="A65" s="22" t="s">
        <v>213</v>
      </c>
      <c r="B65" s="22"/>
      <c r="C65" s="36" t="n">
        <f aca="false">COUNTIFS(원본_판매현황!$A$2:$A$500,"&gt;="&amp;$C$57,원본_판매현황!$A$2:$A$500,"&lt;="&amp;$D$57,원본_판매현황!$D$2:$D$500,"전문몰",원본_판매현황!$B$2:$B$500,"아트지")</f>
        <v>1</v>
      </c>
      <c r="D65" s="36" t="n">
        <f aca="false">SUMIFS(원본_판매현황!$E$2:$E$500,원본_판매현황!$A$2:$A$500,"&gt;="&amp;$C$57,원본_판매현황!$A$2:$A$500,"&lt;="&amp;$D$57,원본_판매현황!$D$2:$D$500,"전문몰",원본_판매현황!$B$2:$B$500,"아트지")</f>
        <v>5</v>
      </c>
      <c r="E65" s="40" t="n">
        <f aca="false">COUNTIFS(원본_판매현황!$A$2:$A$500,"&gt;="&amp;$C$7,원본_판매현황!$A$2:$A$500,"&lt;="&amp;$C$8,원본_판매현황!$D$2:$D$500,"전문몰",원본_판매현황!$B$2:$B$500,"아트지")</f>
        <v>1</v>
      </c>
      <c r="F65" s="40" t="n">
        <f aca="false">SUMIFS(원본_판매현황!$E$2:$E$500,원본_판매현황!$A$2:$A$500,"&gt;="&amp;$C$7,원본_판매현황!$A$2:$A$500,"&lt;="&amp;$C$8,원본_판매현황!$D$2:$D$500,"전문몰",원본_판매현황!$B$2:$B$500,"아트지")</f>
        <v>1</v>
      </c>
      <c r="G65" s="43" t="n">
        <f aca="false">E65-C65</f>
        <v>0</v>
      </c>
      <c r="H65" s="43" t="n">
        <f aca="false">F65-D65</f>
        <v>-4</v>
      </c>
      <c r="I65" s="39" t="n">
        <f aca="false">COUNTIFS(원본_판매현황!$A$2:$A$500,"&gt;="&amp;$C$59,원본_판매현황!$A$2:$A$500,"&lt;="&amp;$D$59,원본_판매현황!$D$2:$D$500,"전문몰",원본_판매현황!$B$2:$B$500,"아트지")/$E$59*$E$58</f>
        <v>1.08620689655172</v>
      </c>
      <c r="J65" s="39" t="n">
        <f aca="false">SUMIFS(원본_판매현황!$E$2:$E$500,원본_판매현황!$A$2:$A$500,"&gt;="&amp;$C$59,원본_판매현황!$A$2:$A$500,"&lt;="&amp;$D$59,원본_판매현황!$D$2:$D$500,"전문몰",원본_판매현황!$B$2:$B$500,"아트지")/$E$59*$E$58</f>
        <v>2.48275862068966</v>
      </c>
      <c r="K65" s="44" t="n">
        <f aca="false">IF(I65=0,"-",E65/I65-1)</f>
        <v>-0.0793650793650794</v>
      </c>
      <c r="L65" s="44" t="n">
        <f aca="false">IF(J65=0,"-",F65/J65-1)</f>
        <v>-0.597222222222222</v>
      </c>
    </row>
    <row r="66" customFormat="false" ht="15" hidden="false" customHeight="false" outlineLevel="0" collapsed="false">
      <c r="A66" s="22" t="s">
        <v>214</v>
      </c>
      <c r="B66" s="22"/>
      <c r="C66" s="36" t="n">
        <f aca="false">COUNTIFS(원본_판매현황!$A$2:$A$500,"&gt;="&amp;$C$57,원본_판매현황!$A$2:$A$500,"&lt;="&amp;$D$57,원본_판매현황!$D$2:$D$500,"전문몰",원본_판매현황!$B$2:$B$500,"유포지")</f>
        <v>0</v>
      </c>
      <c r="D66" s="36" t="n">
        <f aca="false">SUMIFS(원본_판매현황!$E$2:$E$500,원본_판매현황!$A$2:$A$500,"&gt;="&amp;$C$57,원본_판매현황!$A$2:$A$500,"&lt;="&amp;$D$57,원본_판매현황!$D$2:$D$500,"전문몰",원본_판매현황!$B$2:$B$500,"유포지")</f>
        <v>0</v>
      </c>
      <c r="E66" s="40" t="n">
        <f aca="false">COUNTIFS(원본_판매현황!$A$2:$A$500,"&gt;="&amp;$C$7,원본_판매현황!$A$2:$A$500,"&lt;="&amp;$C$8,원본_판매현황!$D$2:$D$500,"전문몰",원본_판매현황!$B$2:$B$500,"유포지")</f>
        <v>3</v>
      </c>
      <c r="F66" s="40" t="n">
        <f aca="false">SUMIFS(원본_판매현황!$E$2:$E$500,원본_판매현황!$A$2:$A$500,"&gt;="&amp;$C$7,원본_판매현황!$A$2:$A$500,"&lt;="&amp;$C$8,원본_판매현황!$D$2:$D$500,"전문몰",원본_판매현황!$B$2:$B$500,"유포지")</f>
        <v>7</v>
      </c>
      <c r="G66" s="43" t="n">
        <f aca="false">E66-C66</f>
        <v>3</v>
      </c>
      <c r="H66" s="43" t="n">
        <f aca="false">F66-D66</f>
        <v>7</v>
      </c>
      <c r="I66" s="39" t="n">
        <f aca="false">COUNTIFS(원본_판매현황!$A$2:$A$500,"&gt;="&amp;$C$59,원본_판매현황!$A$2:$A$500,"&lt;="&amp;$D$59,원본_판매현황!$D$2:$D$500,"전문몰",원본_판매현황!$B$2:$B$500,"유포지")/$E$59*$E$58</f>
        <v>1.70689655172414</v>
      </c>
      <c r="J66" s="39" t="n">
        <f aca="false">SUMIFS(원본_판매현황!$E$2:$E$500,원본_판매현황!$A$2:$A$500,"&gt;="&amp;$C$59,원본_판매현황!$A$2:$A$500,"&lt;="&amp;$D$59,원본_판매현황!$D$2:$D$500,"전문몰",원본_판매현황!$B$2:$B$500,"유포지")/$E$59*$E$58</f>
        <v>3.87931034482759</v>
      </c>
      <c r="K66" s="44" t="n">
        <f aca="false">IF(I66=0,"-",E66/I66-1)</f>
        <v>0.757575757575758</v>
      </c>
      <c r="L66" s="44" t="n">
        <f aca="false">IF(J66=0,"-",F66/J66-1)</f>
        <v>0.804444444444445</v>
      </c>
    </row>
    <row r="67" customFormat="false" ht="15" hidden="false" customHeight="false" outlineLevel="0" collapsed="false">
      <c r="A67" s="22" t="s">
        <v>215</v>
      </c>
      <c r="B67" s="22"/>
      <c r="C67" s="36" t="n">
        <f aca="false">COUNTIFS(원본_판매현황!$A$2:$A$500,"&gt;="&amp;$C$57,원본_판매현황!$A$2:$A$500,"&lt;="&amp;$D$57,원본_판매현황!$D$2:$D$500,"전문몰",원본_판매현황!$B$2:$B$500,"감열지")</f>
        <v>0</v>
      </c>
      <c r="D67" s="36" t="n">
        <f aca="false">SUMIFS(원본_판매현황!$E$2:$E$500,원본_판매현황!$A$2:$A$500,"&gt;="&amp;$C$57,원본_판매현황!$A$2:$A$500,"&lt;="&amp;$D$57,원본_판매현황!$D$2:$D$500,"전문몰",원본_판매현황!$B$2:$B$500,"감열지")</f>
        <v>0</v>
      </c>
      <c r="E67" s="40" t="n">
        <f aca="false">COUNTIFS(원본_판매현황!$A$2:$A$500,"&gt;="&amp;$C$7,원본_판매현황!$A$2:$A$500,"&lt;="&amp;$C$8,원본_판매현황!$D$2:$D$500,"전문몰",원본_판매현황!$B$2:$B$500,"감열지")</f>
        <v>0</v>
      </c>
      <c r="F67" s="40" t="n">
        <f aca="false">SUMIFS(원본_판매현황!$E$2:$E$500,원본_판매현황!$A$2:$A$500,"&gt;="&amp;$C$7,원본_판매현황!$A$2:$A$500,"&lt;="&amp;$C$8,원본_판매현황!$D$2:$D$500,"전문몰",원본_판매현황!$B$2:$B$500,"감열지")</f>
        <v>0</v>
      </c>
      <c r="G67" s="43" t="n">
        <f aca="false">E67-C67</f>
        <v>0</v>
      </c>
      <c r="H67" s="43" t="n">
        <f aca="false">F67-D67</f>
        <v>0</v>
      </c>
      <c r="I67" s="39" t="n">
        <f aca="false">COUNTIFS(원본_판매현황!$A$2:$A$500,"&gt;="&amp;$C$59,원본_판매현황!$A$2:$A$500,"&lt;="&amp;$D$59,원본_판매현황!$D$2:$D$500,"전문몰",원본_판매현황!$B$2:$B$500,"감열지")/$E$59*$E$58</f>
        <v>0</v>
      </c>
      <c r="J67" s="39" t="n">
        <f aca="false">SUMIFS(원본_판매현황!$E$2:$E$500,원본_판매현황!$A$2:$A$500,"&gt;="&amp;$C$59,원본_판매현황!$A$2:$A$500,"&lt;="&amp;$D$59,원본_판매현황!$D$2:$D$500,"전문몰",원본_판매현황!$B$2:$B$500,"감열지")/$E$59*$E$58</f>
        <v>0</v>
      </c>
      <c r="K67" s="44" t="str">
        <f aca="false">IF(I67=0,"-",E67/I67-1)</f>
        <v>-</v>
      </c>
      <c r="L67" s="44" t="str">
        <f aca="false">IF(J67=0,"-",F67/J67-1)</f>
        <v>-</v>
      </c>
    </row>
    <row r="69" customFormat="false" ht="15" hidden="false" customHeight="false" outlineLevel="0" collapsed="false">
      <c r="A69" s="45" t="s">
        <v>216</v>
      </c>
    </row>
    <row r="70" customFormat="false" ht="15" hidden="false" customHeight="false" outlineLevel="0" collapsed="false">
      <c r="A70" s="10" t="s">
        <v>217</v>
      </c>
      <c r="B70" s="10" t="s">
        <v>136</v>
      </c>
      <c r="C70" s="10" t="s">
        <v>137</v>
      </c>
      <c r="D70" s="10" t="s">
        <v>218</v>
      </c>
      <c r="E70" s="10" t="s">
        <v>219</v>
      </c>
    </row>
    <row r="71" customFormat="false" ht="15" hidden="false" customHeight="false" outlineLevel="0" collapsed="false">
      <c r="A71" s="46" t="n">
        <v>46295</v>
      </c>
      <c r="B71" s="47" t="s">
        <v>166</v>
      </c>
      <c r="C71" s="48" t="s">
        <v>171</v>
      </c>
      <c r="D71" s="47" t="s">
        <v>5</v>
      </c>
      <c r="E71" s="49" t="n">
        <v>5</v>
      </c>
    </row>
    <row r="72" customFormat="false" ht="15" hidden="false" customHeight="false" outlineLevel="0" collapsed="false">
      <c r="A72" s="46" t="n">
        <v>46295</v>
      </c>
      <c r="B72" s="47" t="s">
        <v>166</v>
      </c>
      <c r="C72" s="48" t="s">
        <v>167</v>
      </c>
      <c r="D72" s="47" t="s">
        <v>5</v>
      </c>
      <c r="E72" s="49" t="n">
        <v>1</v>
      </c>
    </row>
    <row r="73" customFormat="false" ht="15" hidden="false" customHeight="false" outlineLevel="0" collapsed="false">
      <c r="A73" s="46" t="n">
        <v>46295</v>
      </c>
      <c r="B73" s="47" t="s">
        <v>148</v>
      </c>
      <c r="C73" s="48" t="s">
        <v>160</v>
      </c>
      <c r="D73" s="47" t="s">
        <v>5</v>
      </c>
      <c r="E73" s="49" t="n">
        <v>1</v>
      </c>
    </row>
    <row r="74" customFormat="false" ht="15" hidden="false" customHeight="false" outlineLevel="0" collapsed="false">
      <c r="A74" s="46" t="n">
        <v>46297</v>
      </c>
      <c r="B74" s="47" t="s">
        <v>166</v>
      </c>
      <c r="C74" s="48" t="s">
        <v>167</v>
      </c>
      <c r="D74" s="47" t="s">
        <v>5</v>
      </c>
      <c r="E74" s="49" t="n">
        <v>1</v>
      </c>
    </row>
    <row r="75" customFormat="false" ht="15" hidden="false" customHeight="false" outlineLevel="0" collapsed="false">
      <c r="A75" s="9" t="s">
        <v>220</v>
      </c>
    </row>
    <row r="77" customFormat="false" ht="15" hidden="false" customHeight="false" outlineLevel="0" collapsed="false">
      <c r="A77" s="45" t="s">
        <v>221</v>
      </c>
    </row>
    <row r="78" customFormat="false" ht="31.5" hidden="false" customHeight="true" outlineLevel="0" collapsed="false">
      <c r="A78" s="10" t="s">
        <v>18</v>
      </c>
      <c r="B78" s="10" t="s">
        <v>136</v>
      </c>
      <c r="C78" s="10" t="s">
        <v>137</v>
      </c>
      <c r="D78" s="10" t="s">
        <v>222</v>
      </c>
      <c r="E78" s="10" t="s">
        <v>223</v>
      </c>
      <c r="F78" s="10" t="s">
        <v>224</v>
      </c>
      <c r="G78" s="10" t="s">
        <v>225</v>
      </c>
      <c r="H78" s="10" t="s">
        <v>226</v>
      </c>
      <c r="I78" s="10" t="s">
        <v>227</v>
      </c>
      <c r="J78" s="10" t="s">
        <v>228</v>
      </c>
      <c r="K78" s="10" t="s">
        <v>229</v>
      </c>
      <c r="L78" s="10" t="s">
        <v>230</v>
      </c>
    </row>
    <row r="79" customFormat="false" ht="15" hidden="false" customHeight="false" outlineLevel="0" collapsed="false">
      <c r="A79" s="11" t="s">
        <v>31</v>
      </c>
      <c r="B79" s="22" t="s">
        <v>166</v>
      </c>
      <c r="C79" s="50" t="s">
        <v>167</v>
      </c>
      <c r="D79" s="36" t="n">
        <f aca="false">COUNTIFS(원본_판매현황!$A$2:$A$500,"&gt;="&amp;$C$57,원본_판매현황!$A$2:$A$500,"&lt;="&amp;$D$57,원본_판매현황!$D$2:$D$500,"전문몰",원본_판매현황!$B$2:$B$500,$B79,원본_판매현황!$C$2:$C$500,$C79)</f>
        <v>0</v>
      </c>
      <c r="E79" s="36" t="n">
        <f aca="false">SUMIFS(원본_판매현황!$E$2:$E$500,원본_판매현황!$A$2:$A$500,"&gt;="&amp;$C$57,원본_판매현황!$A$2:$A$500,"&lt;="&amp;$D$57,원본_판매현황!$D$2:$D$500,"전문몰",원본_판매현황!$B$2:$B$500,$B79,원본_판매현황!$C$2:$C$500,$C79)</f>
        <v>0</v>
      </c>
      <c r="F79" s="40" t="n">
        <f aca="false">COUNTIFS(원본_판매현황!$A$2:$A$500,"&gt;="&amp;$C$7,원본_판매현황!$A$2:$A$500,"&lt;="&amp;$C$8,원본_판매현황!$D$2:$D$500,"전문몰",원본_판매현황!$B$2:$B$500,$B79,원본_판매현황!$C$2:$C$500,$C79)</f>
        <v>2</v>
      </c>
      <c r="G79" s="40" t="n">
        <f aca="false">SUMIFS(원본_판매현황!$E$2:$E$500,원본_판매현황!$A$2:$A$500,"&gt;="&amp;$C$7,원본_판매현황!$A$2:$A$500,"&lt;="&amp;$C$8,원본_판매현황!$D$2:$D$500,"전문몰",원본_판매현황!$B$2:$B$500,$B79,원본_판매현황!$C$2:$C$500,$C79)</f>
        <v>2</v>
      </c>
      <c r="H79" s="36" t="n">
        <f aca="false">COUNTIFS(원본_판매현황!$A$2:$A$500,"&gt;="&amp;$C$7,원본_판매현황!$A$2:$A$500,"&lt;="&amp;$C$8,원본_판매현황!$B$2:$B$500,$B79,원본_판매현황!$C$2:$C$500,$C79)</f>
        <v>2</v>
      </c>
      <c r="I79" s="36" t="n">
        <f aca="false">SUMIFS(원본_판매현황!$E$2:$E$500,원본_판매현황!$A$2:$A$500,"&gt;="&amp;$C$7,원본_판매현황!$A$2:$A$500,"&lt;="&amp;$C$8,원본_판매현황!$B$2:$B$500,$B79,원본_판매현황!$C$2:$C$500,$C79)</f>
        <v>2</v>
      </c>
      <c r="J79" s="51" t="str">
        <f aca="false">'1.쇼핑검색 테스트'!I19</f>
        <v>1위</v>
      </c>
      <c r="K79" s="36" t="n">
        <f aca="false">F33</f>
        <v>68</v>
      </c>
      <c r="L79" s="52" t="str">
        <f aca="false">IF(F79&gt;D79,"광고 중 전문몰 판매 늘어남",IF(F79=0,"광고 중 전문몰 판매 없음","변화 없음"))</f>
        <v>광고 중 전문몰 판매 늘어남</v>
      </c>
    </row>
    <row r="80" customFormat="false" ht="15" hidden="false" customHeight="false" outlineLevel="0" collapsed="false">
      <c r="A80" s="11" t="s">
        <v>34</v>
      </c>
      <c r="B80" s="22" t="s">
        <v>182</v>
      </c>
      <c r="C80" s="50" t="s">
        <v>164</v>
      </c>
      <c r="D80" s="36" t="n">
        <f aca="false">COUNTIFS(원본_판매현황!$A$2:$A$500,"&gt;="&amp;$C$57,원본_판매현황!$A$2:$A$500,"&lt;="&amp;$D$57,원본_판매현황!$D$2:$D$500,"전문몰",원본_판매현황!$B$2:$B$500,$B80,원본_판매현황!$C$2:$C$500,$C80)</f>
        <v>0</v>
      </c>
      <c r="E80" s="36" t="n">
        <f aca="false">SUMIFS(원본_판매현황!$E$2:$E$500,원본_판매현황!$A$2:$A$500,"&gt;="&amp;$C$57,원본_판매현황!$A$2:$A$500,"&lt;="&amp;$D$57,원본_판매현황!$D$2:$D$500,"전문몰",원본_판매현황!$B$2:$B$500,$B80,원본_판매현황!$C$2:$C$500,$C80)</f>
        <v>0</v>
      </c>
      <c r="F80" s="40" t="n">
        <f aca="false">COUNTIFS(원본_판매현황!$A$2:$A$500,"&gt;="&amp;$C$7,원본_판매현황!$A$2:$A$500,"&lt;="&amp;$C$8,원본_판매현황!$D$2:$D$500,"전문몰",원본_판매현황!$B$2:$B$500,$B80,원본_판매현황!$C$2:$C$500,$C80)</f>
        <v>0</v>
      </c>
      <c r="G80" s="40" t="n">
        <f aca="false">SUMIFS(원본_판매현황!$E$2:$E$500,원본_판매현황!$A$2:$A$500,"&gt;="&amp;$C$7,원본_판매현황!$A$2:$A$500,"&lt;="&amp;$C$8,원본_판매현황!$D$2:$D$500,"전문몰",원본_판매현황!$B$2:$B$500,$B80,원본_판매현황!$C$2:$C$500,$C80)</f>
        <v>0</v>
      </c>
      <c r="H80" s="36" t="n">
        <f aca="false">COUNTIFS(원본_판매현황!$A$2:$A$500,"&gt;="&amp;$C$7,원본_판매현황!$A$2:$A$500,"&lt;="&amp;$C$8,원본_판매현황!$B$2:$B$500,$B80,원본_판매현황!$C$2:$C$500,$C80)</f>
        <v>2</v>
      </c>
      <c r="I80" s="36" t="n">
        <f aca="false">SUMIFS(원본_판매현황!$E$2:$E$500,원본_판매현황!$A$2:$A$500,"&gt;="&amp;$C$7,원본_판매현황!$A$2:$A$500,"&lt;="&amp;$C$8,원본_판매현황!$B$2:$B$500,$B80,원본_판매현황!$C$2:$C$500,$C80)</f>
        <v>7</v>
      </c>
      <c r="J80" s="51" t="str">
        <f aca="false">'1.쇼핑검색 테스트'!I20</f>
        <v>2위</v>
      </c>
      <c r="K80" s="36" t="n">
        <f aca="false">F46</f>
        <v>329</v>
      </c>
      <c r="L80" s="52" t="str">
        <f aca="false">IF(F80&gt;D80,"광고 중 전문몰 판매 늘어남",IF(F80=0,"광고 중 전문몰 판매 없음","변화 없음"))</f>
        <v>광고 중 전문몰 판매 없음</v>
      </c>
    </row>
    <row r="81" customFormat="false" ht="15" hidden="false" customHeight="false" outlineLevel="0" collapsed="false">
      <c r="A81" s="11" t="s">
        <v>36</v>
      </c>
      <c r="B81" s="22" t="s">
        <v>148</v>
      </c>
      <c r="C81" s="50" t="s">
        <v>157</v>
      </c>
      <c r="D81" s="36" t="n">
        <f aca="false">COUNTIFS(원본_판매현황!$A$2:$A$500,"&gt;="&amp;$C$57,원본_판매현황!$A$2:$A$500,"&lt;="&amp;$D$57,원본_판매현황!$D$2:$D$500,"전문몰",원본_판매현황!$B$2:$B$500,$B81,원본_판매현황!$C$2:$C$500,$C81)</f>
        <v>1</v>
      </c>
      <c r="E81" s="36" t="n">
        <f aca="false">SUMIFS(원본_판매현황!$E$2:$E$500,원본_판매현황!$A$2:$A$500,"&gt;="&amp;$C$57,원본_판매현황!$A$2:$A$500,"&lt;="&amp;$D$57,원본_판매현황!$D$2:$D$500,"전문몰",원본_판매현황!$B$2:$B$500,$B81,원본_판매현황!$C$2:$C$500,$C81)</f>
        <v>5</v>
      </c>
      <c r="F81" s="40" t="n">
        <f aca="false">COUNTIFS(원본_판매현황!$A$2:$A$500,"&gt;="&amp;$C$7,원본_판매현황!$A$2:$A$500,"&lt;="&amp;$C$8,원본_판매현황!$D$2:$D$500,"전문몰",원본_판매현황!$B$2:$B$500,$B81,원본_판매현황!$C$2:$C$500,$C81)</f>
        <v>0</v>
      </c>
      <c r="G81" s="40" t="n">
        <f aca="false">SUMIFS(원본_판매현황!$E$2:$E$500,원본_판매현황!$A$2:$A$500,"&gt;="&amp;$C$7,원본_판매현황!$A$2:$A$500,"&lt;="&amp;$C$8,원본_판매현황!$D$2:$D$500,"전문몰",원본_판매현황!$B$2:$B$500,$B81,원본_판매현황!$C$2:$C$500,$C81)</f>
        <v>0</v>
      </c>
      <c r="H81" s="36" t="n">
        <f aca="false">COUNTIFS(원본_판매현황!$A$2:$A$500,"&gt;="&amp;$C$7,원본_판매현황!$A$2:$A$500,"&lt;="&amp;$C$8,원본_판매현황!$B$2:$B$500,$B81,원본_판매현황!$C$2:$C$500,$C81)</f>
        <v>2</v>
      </c>
      <c r="I81" s="36" t="n">
        <f aca="false">SUMIFS(원본_판매현황!$E$2:$E$500,원본_판매현황!$A$2:$A$500,"&gt;="&amp;$C$7,원본_판매현황!$A$2:$A$500,"&lt;="&amp;$C$8,원본_판매현황!$B$2:$B$500,$B81,원본_판매현황!$C$2:$C$500,$C81)</f>
        <v>2</v>
      </c>
      <c r="J81" s="51" t="str">
        <f aca="false">'1.쇼핑검색 테스트'!I21</f>
        <v>1위</v>
      </c>
      <c r="K81" s="36" t="n">
        <f aca="false">F27</f>
        <v>91</v>
      </c>
      <c r="L81" s="52" t="str">
        <f aca="false">IF(F81&gt;D81,"광고 중 전문몰 판매 늘어남",IF(F81=0,"광고 중 전문몰 판매 없음","변화 없음"))</f>
        <v>광고 중 전문몰 판매 없음</v>
      </c>
    </row>
    <row r="82" customFormat="false" ht="15" hidden="false" customHeight="false" outlineLevel="0" collapsed="false">
      <c r="A82" s="9" t="s">
        <v>231</v>
      </c>
    </row>
    <row r="84" customFormat="false" ht="16.4" hidden="false" customHeight="false" outlineLevel="0" collapsed="false">
      <c r="A84" s="35" t="s">
        <v>232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customFormat="false" ht="15" hidden="false" customHeight="false" outlineLevel="0" collapsed="false">
      <c r="A85" s="9" t="s">
        <v>233</v>
      </c>
    </row>
    <row r="86" customFormat="false" ht="15" hidden="false" customHeight="false" outlineLevel="0" collapsed="false">
      <c r="A86" s="3" t="s">
        <v>234</v>
      </c>
      <c r="B86" s="3"/>
      <c r="C86" s="41" t="n">
        <f aca="false">$C$9-($C$6-$C$9+1)</f>
        <v>46272</v>
      </c>
      <c r="D86" s="41" t="n">
        <f aca="false">$C$9-1</f>
        <v>46286</v>
      </c>
      <c r="E86" s="42" t="n">
        <f aca="false">D86-C86+1</f>
        <v>15</v>
      </c>
    </row>
    <row r="87" customFormat="false" ht="15" hidden="false" customHeight="false" outlineLevel="0" collapsed="false">
      <c r="A87" s="3" t="s">
        <v>235</v>
      </c>
      <c r="B87" s="3"/>
      <c r="C87" s="41" t="n">
        <f aca="false">$C$9</f>
        <v>46287</v>
      </c>
      <c r="D87" s="41" t="n">
        <f aca="false">$C$6</f>
        <v>46301</v>
      </c>
      <c r="E87" s="42" t="n">
        <f aca="false">D87-C87+1</f>
        <v>15</v>
      </c>
    </row>
    <row r="89" customFormat="false" ht="31.5" hidden="false" customHeight="true" outlineLevel="0" collapsed="false">
      <c r="A89" s="10" t="s">
        <v>136</v>
      </c>
      <c r="B89" s="10" t="s">
        <v>137</v>
      </c>
      <c r="C89" s="10" t="s">
        <v>236</v>
      </c>
      <c r="D89" s="10" t="s">
        <v>237</v>
      </c>
      <c r="E89" s="10" t="s">
        <v>238</v>
      </c>
      <c r="F89" s="10" t="s">
        <v>239</v>
      </c>
      <c r="G89" s="10" t="s">
        <v>240</v>
      </c>
      <c r="H89" s="10" t="s">
        <v>241</v>
      </c>
      <c r="I89" s="10" t="s">
        <v>242</v>
      </c>
      <c r="J89" s="10" t="s">
        <v>229</v>
      </c>
      <c r="K89" s="10" t="s">
        <v>230</v>
      </c>
      <c r="L89" s="10" t="s">
        <v>147</v>
      </c>
    </row>
    <row r="90" customFormat="false" ht="26.85" hidden="false" customHeight="false" outlineLevel="0" collapsed="false">
      <c r="A90" s="11" t="s">
        <v>148</v>
      </c>
      <c r="B90" s="53" t="s">
        <v>149</v>
      </c>
      <c r="C90" s="27" t="n">
        <v>2750</v>
      </c>
      <c r="D90" s="30"/>
      <c r="E90" s="54" t="str">
        <f aca="false">IF(OR(C90="",D90=""),"수정 후 가격 입력 필요",D90/C90-1)</f>
        <v>수정 후 가격 입력 필요</v>
      </c>
      <c r="F90" s="36" t="n">
        <f aca="false">COUNTIFS(원본_판매현황!$A$2:$A$500,"&gt;="&amp;$C$86,원본_판매현황!$A$2:$A$500,"&lt;="&amp;$D$86,원본_판매현황!$B$2:$B$500,$A90,원본_판매현황!$C$2:$C$500,$B90)</f>
        <v>0</v>
      </c>
      <c r="G90" s="36" t="n">
        <f aca="false">SUMIFS(원본_판매현황!$E$2:$E$500,원본_판매현황!$A$2:$A$500,"&gt;="&amp;$C$86,원본_판매현황!$A$2:$A$500,"&lt;="&amp;$D$86,원본_판매현황!$B$2:$B$500,$A90,원본_판매현황!$C$2:$C$500,$B90)</f>
        <v>0</v>
      </c>
      <c r="H90" s="40" t="n">
        <f aca="false">COUNTIFS(원본_판매현황!$A$2:$A$500,"&gt;="&amp;$C$9,원본_판매현황!$A$2:$A$500,"&lt;="&amp;$C$6,원본_판매현황!$B$2:$B$500,$A90,원본_판매현황!$C$2:$C$500,$B90)</f>
        <v>0</v>
      </c>
      <c r="I90" s="40" t="n">
        <f aca="false">SUMIFS(원본_판매현황!$E$2:$E$500,원본_판매현황!$A$2:$A$500,"&gt;="&amp;$C$9,원본_판매현황!$A$2:$A$500,"&lt;="&amp;$C$6,원본_판매현황!$B$2:$B$500,$A90,원본_판매현황!$C$2:$C$500,$B90)</f>
        <v>0</v>
      </c>
      <c r="J90" s="36" t="n">
        <f aca="false">F23</f>
        <v>104</v>
      </c>
      <c r="K90" s="52" t="str">
        <f aca="false">IF(H90=0,IF(F90=0,"전·후 판매 없음 · 효과 미확인","수정 후 판매 없음 · 아직 효과 없음"),IF(H90&gt;F90,"판매 늘어남",IF(H90&lt;F90,"판매 줄어듦","변화 없음")))</f>
        <v>전·후 판매 없음 · 효과 미확인</v>
      </c>
      <c r="L90" s="55" t="s">
        <v>150</v>
      </c>
    </row>
    <row r="91" customFormat="false" ht="39.55" hidden="false" customHeight="false" outlineLevel="0" collapsed="false">
      <c r="A91" s="11" t="s">
        <v>148</v>
      </c>
      <c r="B91" s="53" t="s">
        <v>164</v>
      </c>
      <c r="C91" s="27" t="n">
        <v>7700</v>
      </c>
      <c r="D91" s="30"/>
      <c r="E91" s="54" t="str">
        <f aca="false">IF(OR(C91="",D91=""),"수정 후 가격 입력 필요",D91/C91-1)</f>
        <v>수정 후 가격 입력 필요</v>
      </c>
      <c r="F91" s="36" t="n">
        <f aca="false">COUNTIFS(원본_판매현황!$A$2:$A$500,"&gt;="&amp;$C$86,원본_판매현황!$A$2:$A$500,"&lt;="&amp;$D$86,원본_판매현황!$B$2:$B$500,$A91,원본_판매현황!$C$2:$C$500,$B91)</f>
        <v>1</v>
      </c>
      <c r="G91" s="36" t="n">
        <f aca="false">SUMIFS(원본_판매현황!$E$2:$E$500,원본_판매현황!$A$2:$A$500,"&gt;="&amp;$C$86,원본_판매현황!$A$2:$A$500,"&lt;="&amp;$D$86,원본_판매현황!$B$2:$B$500,$A91,원본_판매현황!$C$2:$C$500,$B91)</f>
        <v>1</v>
      </c>
      <c r="H91" s="40" t="n">
        <f aca="false">COUNTIFS(원본_판매현황!$A$2:$A$500,"&gt;="&amp;$C$9,원본_판매현황!$A$2:$A$500,"&lt;="&amp;$C$6,원본_판매현황!$B$2:$B$500,$A91,원본_판매현황!$C$2:$C$500,$B91)</f>
        <v>0</v>
      </c>
      <c r="I91" s="40" t="n">
        <f aca="false">SUMIFS(원본_판매현황!$E$2:$E$500,원본_판매현황!$A$2:$A$500,"&gt;="&amp;$C$9,원본_판매현황!$A$2:$A$500,"&lt;="&amp;$C$6,원본_판매현황!$B$2:$B$500,$A91,원본_판매현황!$C$2:$C$500,$B91)</f>
        <v>0</v>
      </c>
      <c r="J91" s="36" t="n">
        <f aca="false">F32</f>
        <v>30</v>
      </c>
      <c r="K91" s="52" t="str">
        <f aca="false">IF(H91=0,IF(F91=0,"전·후 판매 없음 · 효과 미확인","수정 후 판매 없음 · 아직 효과 없음"),IF(H91&gt;F91,"판매 늘어남",IF(H91&lt;F91,"판매 줄어듦","변화 없음")))</f>
        <v>수정 후 판매 없음 · 아직 효과 없음</v>
      </c>
      <c r="L91" s="55" t="s">
        <v>165</v>
      </c>
    </row>
    <row r="92" customFormat="false" ht="15" hidden="false" customHeight="false" outlineLevel="0" collapsed="false">
      <c r="A92" s="9" t="s">
        <v>243</v>
      </c>
    </row>
  </sheetData>
  <mergeCells count="32">
    <mergeCell ref="A5:B5"/>
    <mergeCell ref="A6:B6"/>
    <mergeCell ref="A7:B7"/>
    <mergeCell ref="A8:B8"/>
    <mergeCell ref="A9:B9"/>
    <mergeCell ref="A10:B10"/>
    <mergeCell ref="A13:B13"/>
    <mergeCell ref="C13:D13"/>
    <mergeCell ref="E13:L13"/>
    <mergeCell ref="A14:B14"/>
    <mergeCell ref="C14:D14"/>
    <mergeCell ref="E14:L14"/>
    <mergeCell ref="A15:B15"/>
    <mergeCell ref="C15:D15"/>
    <mergeCell ref="E15:L15"/>
    <mergeCell ref="A16:B16"/>
    <mergeCell ref="C16:D16"/>
    <mergeCell ref="E16:L16"/>
    <mergeCell ref="A17:B17"/>
    <mergeCell ref="C17:D17"/>
    <mergeCell ref="E17:L17"/>
    <mergeCell ref="A57:B57"/>
    <mergeCell ref="A58:B58"/>
    <mergeCell ref="A59:B59"/>
    <mergeCell ref="A62:B62"/>
    <mergeCell ref="A63:B63"/>
    <mergeCell ref="A64:B64"/>
    <mergeCell ref="A65:B65"/>
    <mergeCell ref="A66:B66"/>
    <mergeCell ref="A67:B67"/>
    <mergeCell ref="A86:B86"/>
    <mergeCell ref="A87:B87"/>
  </mergeCells>
  <conditionalFormatting sqref="G23:G46">
    <cfRule type="cellIs" priority="2" operator="equal" aboveAverage="0" equalAverage="0" bottom="0" percent="0" rank="0" text="" dxfId="0">
      <formula>"품절"</formula>
    </cfRule>
    <cfRule type="cellIs" priority="3" operator="equal" aboveAverage="0" equalAverage="0" bottom="0" percent="0" rank="0" text="" dxfId="1">
      <formula>"부족"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10" t="s">
        <v>217</v>
      </c>
      <c r="B1" s="10" t="s">
        <v>136</v>
      </c>
      <c r="C1" s="10" t="s">
        <v>137</v>
      </c>
      <c r="D1" s="10" t="s">
        <v>218</v>
      </c>
      <c r="E1" s="10" t="s">
        <v>244</v>
      </c>
      <c r="F1" s="10" t="s">
        <v>245</v>
      </c>
      <c r="G1" s="10" t="s">
        <v>147</v>
      </c>
    </row>
    <row r="2" customFormat="false" ht="15" hidden="false" customHeight="false" outlineLevel="0" collapsed="false">
      <c r="A2" s="26" t="n">
        <v>46168</v>
      </c>
      <c r="B2" s="23" t="s">
        <v>166</v>
      </c>
      <c r="C2" s="21" t="s">
        <v>153</v>
      </c>
      <c r="D2" s="23" t="s">
        <v>5</v>
      </c>
      <c r="E2" s="27" t="n">
        <v>50</v>
      </c>
      <c r="F2" s="27" t="n">
        <v>4950</v>
      </c>
      <c r="G2" s="23" t="s">
        <v>246</v>
      </c>
    </row>
    <row r="3" customFormat="false" ht="15" hidden="false" customHeight="false" outlineLevel="0" collapsed="false">
      <c r="A3" s="26" t="n">
        <v>46169</v>
      </c>
      <c r="B3" s="23" t="s">
        <v>148</v>
      </c>
      <c r="C3" s="21" t="s">
        <v>155</v>
      </c>
      <c r="D3" s="23" t="s">
        <v>247</v>
      </c>
      <c r="E3" s="27" t="n">
        <v>20</v>
      </c>
      <c r="F3" s="27" t="n">
        <v>3850</v>
      </c>
      <c r="G3" s="23"/>
    </row>
    <row r="4" customFormat="false" ht="15" hidden="false" customHeight="false" outlineLevel="0" collapsed="false">
      <c r="A4" s="26" t="n">
        <v>46183</v>
      </c>
      <c r="B4" s="23" t="s">
        <v>166</v>
      </c>
      <c r="C4" s="21" t="s">
        <v>167</v>
      </c>
      <c r="D4" s="23" t="s">
        <v>5</v>
      </c>
      <c r="E4" s="27" t="n">
        <v>5</v>
      </c>
      <c r="F4" s="27" t="n">
        <v>5020</v>
      </c>
      <c r="G4" s="23" t="s">
        <v>248</v>
      </c>
    </row>
    <row r="5" customFormat="false" ht="15" hidden="false" customHeight="false" outlineLevel="0" collapsed="false">
      <c r="A5" s="26" t="n">
        <v>46184</v>
      </c>
      <c r="B5" s="23" t="s">
        <v>166</v>
      </c>
      <c r="C5" s="21" t="s">
        <v>163</v>
      </c>
      <c r="D5" s="23" t="s">
        <v>5</v>
      </c>
      <c r="E5" s="27" t="n">
        <v>1</v>
      </c>
      <c r="F5" s="27"/>
      <c r="G5" s="23"/>
    </row>
    <row r="6" customFormat="false" ht="15" hidden="false" customHeight="false" outlineLevel="0" collapsed="false">
      <c r="A6" s="26" t="n">
        <v>46185</v>
      </c>
      <c r="B6" s="23" t="s">
        <v>166</v>
      </c>
      <c r="C6" s="21" t="s">
        <v>167</v>
      </c>
      <c r="D6" s="23" t="s">
        <v>5</v>
      </c>
      <c r="E6" s="27" t="n">
        <v>1</v>
      </c>
      <c r="F6" s="27" t="n">
        <v>5020</v>
      </c>
      <c r="G6" s="23"/>
    </row>
    <row r="7" customFormat="false" ht="15" hidden="false" customHeight="false" outlineLevel="0" collapsed="false">
      <c r="A7" s="26" t="n">
        <v>46191</v>
      </c>
      <c r="B7" s="23" t="s">
        <v>148</v>
      </c>
      <c r="C7" s="21" t="s">
        <v>164</v>
      </c>
      <c r="D7" s="23" t="s">
        <v>5</v>
      </c>
      <c r="E7" s="27" t="n">
        <v>10</v>
      </c>
      <c r="F7" s="27" t="n">
        <v>7980</v>
      </c>
      <c r="G7" s="23" t="s">
        <v>249</v>
      </c>
    </row>
    <row r="8" customFormat="false" ht="15" hidden="false" customHeight="false" outlineLevel="0" collapsed="false">
      <c r="A8" s="26" t="n">
        <v>46195</v>
      </c>
      <c r="B8" s="23" t="s">
        <v>166</v>
      </c>
      <c r="C8" s="21" t="s">
        <v>157</v>
      </c>
      <c r="D8" s="23" t="s">
        <v>5</v>
      </c>
      <c r="E8" s="27" t="n">
        <v>5</v>
      </c>
      <c r="F8" s="27" t="n">
        <v>5780</v>
      </c>
      <c r="G8" s="23" t="s">
        <v>250</v>
      </c>
    </row>
    <row r="9" customFormat="false" ht="15" hidden="false" customHeight="false" outlineLevel="0" collapsed="false">
      <c r="A9" s="26" t="n">
        <v>46203</v>
      </c>
      <c r="B9" s="23" t="s">
        <v>166</v>
      </c>
      <c r="C9" s="21" t="s">
        <v>181</v>
      </c>
      <c r="D9" s="23" t="s">
        <v>5</v>
      </c>
      <c r="E9" s="27" t="n">
        <v>5</v>
      </c>
      <c r="F9" s="27" t="n">
        <v>10200</v>
      </c>
      <c r="G9" s="23"/>
    </row>
    <row r="10" customFormat="false" ht="15" hidden="false" customHeight="false" outlineLevel="0" collapsed="false">
      <c r="A10" s="26" t="n">
        <v>46211</v>
      </c>
      <c r="B10" s="23" t="s">
        <v>166</v>
      </c>
      <c r="C10" s="21" t="s">
        <v>171</v>
      </c>
      <c r="D10" s="23" t="s">
        <v>251</v>
      </c>
      <c r="E10" s="27" t="n">
        <v>1</v>
      </c>
      <c r="F10" s="27" t="n">
        <v>5990</v>
      </c>
      <c r="G10" s="23"/>
    </row>
    <row r="11" customFormat="false" ht="15" hidden="false" customHeight="false" outlineLevel="0" collapsed="false">
      <c r="A11" s="26" t="n">
        <v>46234</v>
      </c>
      <c r="B11" s="23" t="s">
        <v>166</v>
      </c>
      <c r="C11" s="21" t="s">
        <v>178</v>
      </c>
      <c r="D11" s="23" t="s">
        <v>251</v>
      </c>
      <c r="E11" s="27" t="n">
        <v>1</v>
      </c>
      <c r="F11" s="27"/>
      <c r="G11" s="23"/>
    </row>
    <row r="12" customFormat="false" ht="15" hidden="false" customHeight="false" outlineLevel="0" collapsed="false">
      <c r="A12" s="26" t="n">
        <v>46237</v>
      </c>
      <c r="B12" s="23" t="s">
        <v>148</v>
      </c>
      <c r="C12" s="21" t="s">
        <v>157</v>
      </c>
      <c r="D12" s="23" t="s">
        <v>251</v>
      </c>
      <c r="E12" s="27" t="n">
        <v>1</v>
      </c>
      <c r="F12" s="27" t="n">
        <v>4930</v>
      </c>
      <c r="G12" s="23"/>
    </row>
    <row r="13" customFormat="false" ht="15" hidden="false" customHeight="false" outlineLevel="0" collapsed="false">
      <c r="A13" s="26" t="n">
        <v>46238</v>
      </c>
      <c r="B13" s="23" t="s">
        <v>166</v>
      </c>
      <c r="C13" s="21" t="s">
        <v>178</v>
      </c>
      <c r="D13" s="23" t="s">
        <v>5</v>
      </c>
      <c r="E13" s="27" t="n">
        <v>2</v>
      </c>
      <c r="F13" s="27"/>
      <c r="G13" s="23"/>
    </row>
    <row r="14" customFormat="false" ht="15" hidden="false" customHeight="false" outlineLevel="0" collapsed="false">
      <c r="A14" s="26" t="n">
        <v>46241</v>
      </c>
      <c r="B14" s="23" t="s">
        <v>166</v>
      </c>
      <c r="C14" s="21" t="s">
        <v>174</v>
      </c>
      <c r="D14" s="23" t="s">
        <v>5</v>
      </c>
      <c r="E14" s="27" t="n">
        <v>1</v>
      </c>
      <c r="F14" s="27"/>
      <c r="G14" s="23"/>
    </row>
    <row r="15" customFormat="false" ht="15" hidden="false" customHeight="false" outlineLevel="0" collapsed="false">
      <c r="A15" s="26" t="n">
        <v>46247</v>
      </c>
      <c r="B15" s="23" t="s">
        <v>166</v>
      </c>
      <c r="C15" s="21" t="s">
        <v>164</v>
      </c>
      <c r="D15" s="23" t="s">
        <v>5</v>
      </c>
      <c r="E15" s="27" t="n">
        <v>2</v>
      </c>
      <c r="F15" s="27"/>
      <c r="G15" s="23"/>
    </row>
    <row r="16" customFormat="false" ht="15" hidden="false" customHeight="false" outlineLevel="0" collapsed="false">
      <c r="A16" s="26" t="n">
        <v>46247</v>
      </c>
      <c r="B16" s="23" t="s">
        <v>166</v>
      </c>
      <c r="C16" s="21" t="s">
        <v>164</v>
      </c>
      <c r="D16" s="23" t="s">
        <v>5</v>
      </c>
      <c r="E16" s="27" t="n">
        <v>5</v>
      </c>
      <c r="F16" s="27"/>
      <c r="G16" s="23"/>
    </row>
    <row r="17" customFormat="false" ht="15" hidden="false" customHeight="false" outlineLevel="0" collapsed="false">
      <c r="A17" s="26" t="n">
        <v>46254</v>
      </c>
      <c r="B17" s="23" t="s">
        <v>148</v>
      </c>
      <c r="C17" s="21" t="s">
        <v>161</v>
      </c>
      <c r="D17" s="23" t="s">
        <v>247</v>
      </c>
      <c r="E17" s="27" t="n">
        <v>5</v>
      </c>
      <c r="F17" s="27" t="n">
        <v>7150</v>
      </c>
      <c r="G17" s="23"/>
    </row>
    <row r="18" customFormat="false" ht="15" hidden="false" customHeight="false" outlineLevel="0" collapsed="false">
      <c r="A18" s="26" t="n">
        <v>46255</v>
      </c>
      <c r="B18" s="23" t="s">
        <v>166</v>
      </c>
      <c r="C18" s="21" t="s">
        <v>164</v>
      </c>
      <c r="D18" s="23" t="s">
        <v>5</v>
      </c>
      <c r="E18" s="27" t="n">
        <v>1</v>
      </c>
      <c r="F18" s="27"/>
      <c r="G18" s="23"/>
    </row>
    <row r="19" customFormat="false" ht="15" hidden="false" customHeight="false" outlineLevel="0" collapsed="false">
      <c r="A19" s="26" t="n">
        <v>46255</v>
      </c>
      <c r="B19" s="23" t="s">
        <v>166</v>
      </c>
      <c r="C19" s="21" t="s">
        <v>164</v>
      </c>
      <c r="D19" s="23" t="s">
        <v>5</v>
      </c>
      <c r="E19" s="27" t="n">
        <v>5</v>
      </c>
      <c r="F19" s="27"/>
      <c r="G19" s="23"/>
    </row>
    <row r="20" customFormat="false" ht="15" hidden="false" customHeight="false" outlineLevel="0" collapsed="false">
      <c r="A20" s="26" t="n">
        <v>46255</v>
      </c>
      <c r="B20" s="23" t="s">
        <v>166</v>
      </c>
      <c r="C20" s="21" t="s">
        <v>164</v>
      </c>
      <c r="D20" s="23" t="s">
        <v>5</v>
      </c>
      <c r="E20" s="27" t="n">
        <v>1</v>
      </c>
      <c r="F20" s="27"/>
      <c r="G20" s="23"/>
    </row>
    <row r="21" customFormat="false" ht="15" hidden="false" customHeight="false" outlineLevel="0" collapsed="false">
      <c r="A21" s="26" t="n">
        <v>46255</v>
      </c>
      <c r="B21" s="23" t="s">
        <v>182</v>
      </c>
      <c r="C21" s="21" t="s">
        <v>164</v>
      </c>
      <c r="D21" s="23" t="s">
        <v>247</v>
      </c>
      <c r="E21" s="27" t="n">
        <v>16</v>
      </c>
      <c r="F21" s="27" t="n">
        <v>9350</v>
      </c>
      <c r="G21" s="23"/>
    </row>
    <row r="22" customFormat="false" ht="15" hidden="false" customHeight="false" outlineLevel="0" collapsed="false">
      <c r="A22" s="26" t="n">
        <v>46258</v>
      </c>
      <c r="B22" s="23" t="s">
        <v>166</v>
      </c>
      <c r="C22" s="21" t="s">
        <v>171</v>
      </c>
      <c r="D22" s="23" t="s">
        <v>5</v>
      </c>
      <c r="E22" s="27" t="n">
        <v>4</v>
      </c>
      <c r="F22" s="27"/>
      <c r="G22" s="23"/>
    </row>
    <row r="23" customFormat="false" ht="15" hidden="false" customHeight="false" outlineLevel="0" collapsed="false">
      <c r="A23" s="26" t="n">
        <v>46260</v>
      </c>
      <c r="B23" s="23" t="s">
        <v>166</v>
      </c>
      <c r="C23" s="21" t="s">
        <v>171</v>
      </c>
      <c r="D23" s="23" t="s">
        <v>5</v>
      </c>
      <c r="E23" s="27" t="n">
        <v>1</v>
      </c>
      <c r="F23" s="27"/>
      <c r="G23" s="23" t="s">
        <v>252</v>
      </c>
    </row>
    <row r="24" customFormat="false" ht="15" hidden="false" customHeight="false" outlineLevel="0" collapsed="false">
      <c r="A24" s="26" t="n">
        <v>46261</v>
      </c>
      <c r="B24" s="23" t="s">
        <v>166</v>
      </c>
      <c r="C24" s="21" t="s">
        <v>176</v>
      </c>
      <c r="D24" s="23" t="s">
        <v>247</v>
      </c>
      <c r="E24" s="27" t="n">
        <v>19</v>
      </c>
      <c r="F24" s="27"/>
      <c r="G24" s="23" t="s">
        <v>253</v>
      </c>
    </row>
    <row r="25" customFormat="false" ht="15" hidden="false" customHeight="false" outlineLevel="0" collapsed="false">
      <c r="A25" s="26" t="n">
        <v>46261</v>
      </c>
      <c r="B25" s="23" t="s">
        <v>182</v>
      </c>
      <c r="C25" s="21" t="s">
        <v>183</v>
      </c>
      <c r="D25" s="23" t="s">
        <v>251</v>
      </c>
      <c r="E25" s="27" t="n">
        <v>1</v>
      </c>
      <c r="F25" s="27" t="n">
        <v>6930</v>
      </c>
      <c r="G25" s="23"/>
    </row>
    <row r="26" customFormat="false" ht="15" hidden="false" customHeight="false" outlineLevel="0" collapsed="false">
      <c r="A26" s="26" t="n">
        <v>46261</v>
      </c>
      <c r="B26" s="23" t="s">
        <v>166</v>
      </c>
      <c r="C26" s="21" t="s">
        <v>167</v>
      </c>
      <c r="D26" s="23" t="s">
        <v>251</v>
      </c>
      <c r="E26" s="27" t="n">
        <v>2</v>
      </c>
      <c r="F26" s="27" t="n">
        <v>5030</v>
      </c>
      <c r="G26" s="23" t="s">
        <v>254</v>
      </c>
    </row>
    <row r="27" customFormat="false" ht="15" hidden="false" customHeight="false" outlineLevel="0" collapsed="false">
      <c r="A27" s="26" t="n">
        <v>46261</v>
      </c>
      <c r="B27" s="23" t="s">
        <v>148</v>
      </c>
      <c r="C27" s="21" t="s">
        <v>161</v>
      </c>
      <c r="D27" s="23" t="s">
        <v>251</v>
      </c>
      <c r="E27" s="27" t="n">
        <v>2</v>
      </c>
      <c r="F27" s="27" t="n">
        <v>7150</v>
      </c>
      <c r="G27" s="23"/>
    </row>
    <row r="28" customFormat="false" ht="15" hidden="false" customHeight="false" outlineLevel="0" collapsed="false">
      <c r="A28" s="26" t="n">
        <v>46267</v>
      </c>
      <c r="B28" s="23" t="s">
        <v>148</v>
      </c>
      <c r="C28" s="21" t="s">
        <v>161</v>
      </c>
      <c r="D28" s="23" t="s">
        <v>5</v>
      </c>
      <c r="E28" s="27" t="n">
        <v>5</v>
      </c>
      <c r="F28" s="27"/>
      <c r="G28" s="23"/>
    </row>
    <row r="29" customFormat="false" ht="15" hidden="false" customHeight="false" outlineLevel="0" collapsed="false">
      <c r="A29" s="26" t="n">
        <v>46268</v>
      </c>
      <c r="B29" s="23" t="s">
        <v>148</v>
      </c>
      <c r="C29" s="21" t="s">
        <v>161</v>
      </c>
      <c r="D29" s="23" t="s">
        <v>5</v>
      </c>
      <c r="E29" s="27" t="n">
        <v>1</v>
      </c>
      <c r="F29" s="27"/>
      <c r="G29" s="23"/>
    </row>
    <row r="30" customFormat="false" ht="15" hidden="false" customHeight="false" outlineLevel="0" collapsed="false">
      <c r="A30" s="26" t="n">
        <v>46268</v>
      </c>
      <c r="B30" s="23" t="s">
        <v>148</v>
      </c>
      <c r="C30" s="21" t="s">
        <v>160</v>
      </c>
      <c r="D30" s="23" t="s">
        <v>5</v>
      </c>
      <c r="E30" s="27" t="n">
        <v>1</v>
      </c>
      <c r="F30" s="27"/>
      <c r="G30" s="23"/>
    </row>
    <row r="31" customFormat="false" ht="15" hidden="false" customHeight="false" outlineLevel="0" collapsed="false">
      <c r="A31" s="26" t="n">
        <v>46269</v>
      </c>
      <c r="B31" s="23" t="s">
        <v>166</v>
      </c>
      <c r="C31" s="21" t="s">
        <v>167</v>
      </c>
      <c r="D31" s="23" t="s">
        <v>5</v>
      </c>
      <c r="E31" s="27" t="n">
        <v>2</v>
      </c>
      <c r="F31" s="27"/>
      <c r="G31" s="23"/>
    </row>
    <row r="32" customFormat="false" ht="15" hidden="false" customHeight="false" outlineLevel="0" collapsed="false">
      <c r="A32" s="26" t="n">
        <v>46269</v>
      </c>
      <c r="B32" s="23" t="s">
        <v>166</v>
      </c>
      <c r="C32" s="21" t="s">
        <v>171</v>
      </c>
      <c r="D32" s="23" t="s">
        <v>5</v>
      </c>
      <c r="E32" s="27" t="n">
        <v>1</v>
      </c>
      <c r="F32" s="27"/>
      <c r="G32" s="23"/>
    </row>
    <row r="33" customFormat="false" ht="15" hidden="false" customHeight="false" outlineLevel="0" collapsed="false">
      <c r="A33" s="26" t="n">
        <v>46272</v>
      </c>
      <c r="B33" s="23" t="s">
        <v>148</v>
      </c>
      <c r="C33" s="21" t="s">
        <v>164</v>
      </c>
      <c r="D33" s="23" t="s">
        <v>5</v>
      </c>
      <c r="E33" s="27" t="n">
        <v>1</v>
      </c>
      <c r="F33" s="27"/>
      <c r="G33" s="23"/>
    </row>
    <row r="34" customFormat="false" ht="15" hidden="false" customHeight="false" outlineLevel="0" collapsed="false">
      <c r="A34" s="26" t="n">
        <v>46272</v>
      </c>
      <c r="B34" s="23" t="s">
        <v>148</v>
      </c>
      <c r="C34" s="21" t="s">
        <v>151</v>
      </c>
      <c r="D34" s="23" t="s">
        <v>5</v>
      </c>
      <c r="E34" s="27" t="n">
        <v>2</v>
      </c>
      <c r="F34" s="27"/>
      <c r="G34" s="23"/>
    </row>
    <row r="35" customFormat="false" ht="15" hidden="false" customHeight="false" outlineLevel="0" collapsed="false">
      <c r="A35" s="26" t="n">
        <v>46272</v>
      </c>
      <c r="B35" s="23" t="s">
        <v>148</v>
      </c>
      <c r="C35" s="21" t="s">
        <v>155</v>
      </c>
      <c r="D35" s="23" t="s">
        <v>251</v>
      </c>
      <c r="E35" s="27" t="n">
        <v>1</v>
      </c>
      <c r="F35" s="27"/>
      <c r="G35" s="23"/>
    </row>
    <row r="36" customFormat="false" ht="15" hidden="false" customHeight="false" outlineLevel="0" collapsed="false">
      <c r="A36" s="26" t="n">
        <v>46274</v>
      </c>
      <c r="B36" s="23" t="s">
        <v>148</v>
      </c>
      <c r="C36" s="21" t="s">
        <v>155</v>
      </c>
      <c r="D36" s="23" t="s">
        <v>251</v>
      </c>
      <c r="E36" s="27" t="n">
        <v>1</v>
      </c>
      <c r="F36" s="27"/>
      <c r="G36" s="23"/>
    </row>
    <row r="37" customFormat="false" ht="15" hidden="false" customHeight="false" outlineLevel="0" collapsed="false">
      <c r="A37" s="26" t="n">
        <v>46275</v>
      </c>
      <c r="B37" s="23" t="s">
        <v>166</v>
      </c>
      <c r="C37" s="21" t="s">
        <v>163</v>
      </c>
      <c r="D37" s="23" t="s">
        <v>251</v>
      </c>
      <c r="E37" s="27" t="n">
        <v>1</v>
      </c>
      <c r="F37" s="27"/>
      <c r="G37" s="23"/>
    </row>
    <row r="38" customFormat="false" ht="15" hidden="false" customHeight="false" outlineLevel="0" collapsed="false">
      <c r="A38" s="26" t="n">
        <v>46275</v>
      </c>
      <c r="B38" s="23" t="s">
        <v>148</v>
      </c>
      <c r="C38" s="21" t="s">
        <v>160</v>
      </c>
      <c r="D38" s="23" t="s">
        <v>5</v>
      </c>
      <c r="E38" s="27" t="n">
        <v>1</v>
      </c>
      <c r="F38" s="27"/>
      <c r="G38" s="23"/>
    </row>
    <row r="39" customFormat="false" ht="15" hidden="false" customHeight="false" outlineLevel="0" collapsed="false">
      <c r="A39" s="26" t="n">
        <v>46279</v>
      </c>
      <c r="B39" s="23" t="s">
        <v>148</v>
      </c>
      <c r="C39" s="21" t="s">
        <v>157</v>
      </c>
      <c r="D39" s="23" t="s">
        <v>251</v>
      </c>
      <c r="E39" s="27" t="n">
        <v>1</v>
      </c>
      <c r="F39" s="27"/>
      <c r="G39" s="23"/>
    </row>
    <row r="40" customFormat="false" ht="15" hidden="false" customHeight="false" outlineLevel="0" collapsed="false">
      <c r="A40" s="26" t="n">
        <v>46286</v>
      </c>
      <c r="B40" s="23" t="s">
        <v>148</v>
      </c>
      <c r="C40" s="21" t="s">
        <v>157</v>
      </c>
      <c r="D40" s="23" t="s">
        <v>5</v>
      </c>
      <c r="E40" s="27" t="n">
        <v>5</v>
      </c>
      <c r="F40" s="27"/>
      <c r="G40" s="23"/>
    </row>
    <row r="41" customFormat="false" ht="15" hidden="false" customHeight="false" outlineLevel="0" collapsed="false">
      <c r="A41" s="26" t="n">
        <v>46295</v>
      </c>
      <c r="B41" s="23" t="s">
        <v>166</v>
      </c>
      <c r="C41" s="21" t="s">
        <v>171</v>
      </c>
      <c r="D41" s="23" t="s">
        <v>5</v>
      </c>
      <c r="E41" s="27" t="n">
        <v>5</v>
      </c>
      <c r="F41" s="27"/>
      <c r="G41" s="23"/>
    </row>
    <row r="42" customFormat="false" ht="15" hidden="false" customHeight="false" outlineLevel="0" collapsed="false">
      <c r="A42" s="26" t="n">
        <v>46295</v>
      </c>
      <c r="B42" s="23" t="s">
        <v>166</v>
      </c>
      <c r="C42" s="21" t="s">
        <v>167</v>
      </c>
      <c r="D42" s="23" t="s">
        <v>5</v>
      </c>
      <c r="E42" s="27" t="n">
        <v>1</v>
      </c>
      <c r="F42" s="27"/>
      <c r="G42" s="23"/>
    </row>
    <row r="43" customFormat="false" ht="15" hidden="false" customHeight="false" outlineLevel="0" collapsed="false">
      <c r="A43" s="26" t="n">
        <v>46295</v>
      </c>
      <c r="B43" s="23" t="s">
        <v>182</v>
      </c>
      <c r="C43" s="21" t="s">
        <v>164</v>
      </c>
      <c r="D43" s="23" t="s">
        <v>247</v>
      </c>
      <c r="E43" s="27" t="n">
        <v>1</v>
      </c>
      <c r="F43" s="27"/>
      <c r="G43" s="23"/>
    </row>
    <row r="44" customFormat="false" ht="15" hidden="false" customHeight="false" outlineLevel="0" collapsed="false">
      <c r="A44" s="26" t="n">
        <v>46295</v>
      </c>
      <c r="B44" s="23" t="s">
        <v>148</v>
      </c>
      <c r="C44" s="21" t="s">
        <v>160</v>
      </c>
      <c r="D44" s="23" t="s">
        <v>5</v>
      </c>
      <c r="E44" s="27" t="n">
        <v>1</v>
      </c>
      <c r="F44" s="27"/>
      <c r="G44" s="23"/>
    </row>
    <row r="45" customFormat="false" ht="15" hidden="false" customHeight="false" outlineLevel="0" collapsed="false">
      <c r="A45" s="26" t="n">
        <v>46296</v>
      </c>
      <c r="B45" s="23" t="s">
        <v>148</v>
      </c>
      <c r="C45" s="21" t="s">
        <v>151</v>
      </c>
      <c r="D45" s="23" t="s">
        <v>251</v>
      </c>
      <c r="E45" s="27" t="n">
        <v>12</v>
      </c>
      <c r="F45" s="27"/>
      <c r="G45" s="23"/>
    </row>
    <row r="46" customFormat="false" ht="15" hidden="false" customHeight="false" outlineLevel="0" collapsed="false">
      <c r="A46" s="26" t="n">
        <v>46297</v>
      </c>
      <c r="B46" s="23" t="s">
        <v>166</v>
      </c>
      <c r="C46" s="21" t="s">
        <v>167</v>
      </c>
      <c r="D46" s="23" t="s">
        <v>5</v>
      </c>
      <c r="E46" s="27" t="n">
        <v>1</v>
      </c>
      <c r="F46" s="27"/>
      <c r="G46" s="23"/>
    </row>
    <row r="47" customFormat="false" ht="15" hidden="false" customHeight="false" outlineLevel="0" collapsed="false">
      <c r="A47" s="26" t="n">
        <v>46301</v>
      </c>
      <c r="B47" s="23" t="s">
        <v>148</v>
      </c>
      <c r="C47" s="21" t="s">
        <v>157</v>
      </c>
      <c r="D47" s="23" t="s">
        <v>251</v>
      </c>
      <c r="E47" s="27" t="n">
        <v>1</v>
      </c>
      <c r="F47" s="27"/>
      <c r="G47" s="23"/>
    </row>
    <row r="48" customFormat="false" ht="15" hidden="false" customHeight="false" outlineLevel="0" collapsed="false">
      <c r="A48" s="26" t="n">
        <v>46301</v>
      </c>
      <c r="B48" s="23" t="s">
        <v>148</v>
      </c>
      <c r="C48" s="21" t="s">
        <v>157</v>
      </c>
      <c r="D48" s="23" t="s">
        <v>251</v>
      </c>
      <c r="E48" s="27" t="n">
        <v>1</v>
      </c>
      <c r="F48" s="27"/>
      <c r="G48" s="23"/>
    </row>
    <row r="49" customFormat="false" ht="15" hidden="false" customHeight="false" outlineLevel="0" collapsed="false">
      <c r="A49" s="26" t="n">
        <v>46301</v>
      </c>
      <c r="B49" s="23" t="s">
        <v>182</v>
      </c>
      <c r="C49" s="21" t="s">
        <v>183</v>
      </c>
      <c r="D49" s="23" t="s">
        <v>251</v>
      </c>
      <c r="E49" s="27" t="n">
        <v>10</v>
      </c>
      <c r="F49" s="27"/>
      <c r="G49" s="23"/>
    </row>
    <row r="50" customFormat="false" ht="15" hidden="false" customHeight="false" outlineLevel="0" collapsed="false">
      <c r="A50" s="26" t="n">
        <v>46301</v>
      </c>
      <c r="B50" s="23" t="s">
        <v>182</v>
      </c>
      <c r="C50" s="21" t="s">
        <v>164</v>
      </c>
      <c r="D50" s="23" t="s">
        <v>255</v>
      </c>
      <c r="E50" s="27" t="n">
        <v>6</v>
      </c>
      <c r="F50" s="27"/>
      <c r="G50" s="23"/>
    </row>
    <row r="52" customFormat="false" ht="15" hidden="false" customHeight="false" outlineLevel="0" collapsed="false">
      <c r="A52" s="56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2026-10-07T04:25:04Z</dcterms:created>
  <dc:creator>openpyxl</dc:creator>
  <dc:description/>
  <dc:language>en-US</dc:language>
  <cp:lastModifiedBy/>
  <dcterms:modified xsi:type="dcterms:W3CDTF">2026-10-07T04:25:04Z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