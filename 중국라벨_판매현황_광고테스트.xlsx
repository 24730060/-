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매현황 (주별·월별)" sheetId="1" state="visible" r:id="rId3"/>
    <sheet name="광고 입찰가 테스트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<sst xmlns="http://schemas.openxmlformats.org/spreadsheetml/2006/main" count="512" uniqueCount="271">
  <si>
    <r>
      <rPr>
        <b val="true"/>
        <sz val="15"/>
        <color rgb="FF1F2A44"/>
        <rFont val="WenQuanYi Zen Hei"/>
        <family val="2"/>
      </rPr>
      <t xml:space="preserve">중국라벨 판매현황 — 아트지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유포지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감열지</t>
    </r>
  </si>
  <si>
    <r>
      <rPr>
        <sz val="9"/>
        <color rgb="FF5A6270"/>
        <rFont val="WenQuanYi Zen Hei"/>
        <family val="2"/>
      </rPr>
      <t xml:space="preserve">오픈마켓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 기록</t>
    </r>
    <r>
      <rPr>
        <sz val="9"/>
        <color rgb="FF5A6270"/>
        <rFont val="맑은 고딕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기준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건수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 기록 수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수량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 왼쪽의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그 주에 팔린 기록이 펼쳐집니다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주황 줄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입찰가 테스트 기간</t>
    </r>
    <r>
      <rPr>
        <sz val="9"/>
        <color rgb="FF5A6270"/>
        <rFont val="맑은 고딕"/>
        <family val="0"/>
        <charset val="1"/>
      </rPr>
      <t xml:space="preserve">(9/28~10/6)</t>
    </r>
  </si>
  <si>
    <t xml:space="preserve">재질</t>
  </si>
  <si>
    <t xml:space="preserve">규격 수</t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</si>
  <si>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 </t>
    </r>
    <r>
      <rPr>
        <b val="true"/>
        <sz val="10"/>
        <color rgb="FFFFFFFF"/>
        <rFont val="WenQuanYi Zen Hei"/>
        <family val="2"/>
      </rPr>
      <t xml:space="preserve">기준</t>
    </r>
  </si>
  <si>
    <t xml:space="preserve">오픈마켓 판매
건수</t>
  </si>
  <si>
    <t xml:space="preserve">오픈마켓 판매
롤</t>
  </si>
  <si>
    <t xml:space="preserve">품절 규격</t>
  </si>
  <si>
    <r>
      <rPr>
        <b val="true"/>
        <sz val="10"/>
        <color rgb="FFFFFFFF"/>
        <rFont val="WenQuanYi Zen Hei"/>
        <family val="2"/>
      </rPr>
      <t xml:space="preserve">부족 규격
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롤 이하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</si>
  <si>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아트지</t>
  </si>
  <si>
    <t xml:space="preserve">유포지</t>
  </si>
  <si>
    <t xml:space="preserve">감열지</t>
  </si>
  <si>
    <t xml:space="preserve">합계</t>
  </si>
  <si>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70*40,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50*30,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100*70,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100*100   ·  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100*60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100*70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60*40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100*80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100*150 2</t>
    </r>
    <r>
      <rPr>
        <sz val="9"/>
        <color rgb="FF5A6270"/>
        <rFont val="WenQuanYi Zen Hei"/>
        <family val="2"/>
      </rPr>
      <t xml:space="preserve">롤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</si>
  <si>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</si>
  <si>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구분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판매 내용</t>
    </r>
  </si>
  <si>
    <t xml:space="preserve">아트지
건수</t>
  </si>
  <si>
    <t xml:space="preserve">아트지
롤</t>
  </si>
  <si>
    <t xml:space="preserve">유포지
건수</t>
  </si>
  <si>
    <t xml:space="preserve">유포지
롤</t>
  </si>
  <si>
    <t xml:space="preserve">감열지
건수</t>
  </si>
  <si>
    <t xml:space="preserve">감열지
롤</t>
  </si>
  <si>
    <t xml:space="preserve">합계
건수</t>
  </si>
  <si>
    <t xml:space="preserve">합계
롤</t>
  </si>
  <si>
    <t xml:space="preserve">비고</t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</si>
  <si>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</si>
  <si>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5/25 ~ 5/31</t>
  </si>
  <si>
    <t xml:space="preserve">  5/26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</si>
  <si>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50*30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</si>
  <si>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품절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광고안함</t>
    </r>
  </si>
  <si>
    <t xml:space="preserve">  5/27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</si>
  <si>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</si>
  <si>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</si>
  <si>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</si>
  <si>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6/1 ~ 6/7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</si>
  <si>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</si>
  <si>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6/8 ~ 6/14</t>
  </si>
  <si>
    <t xml:space="preserve">  6/10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</si>
  <si>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전문몰</t>
    </r>
  </si>
  <si>
    <t xml:space="preserve">왁스레진 함께 출고</t>
  </si>
  <si>
    <t xml:space="preserve">  6/11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</si>
  <si>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전문몰</t>
    </r>
  </si>
  <si>
    <t xml:space="preserve">  6/12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</si>
  <si>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</si>
  <si>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6/15 ~ 6/21</t>
  </si>
  <si>
    <t xml:space="preserve">  6/18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</si>
  <si>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</si>
  <si>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오픈몰</t>
    </r>
    <r>
      <rPr>
        <sz val="10"/>
        <color rgb="FF5A6270"/>
        <rFont val="맑은 고딕"/>
        <family val="0"/>
        <charset val="1"/>
      </rPr>
      <t xml:space="preserve">x</t>
    </r>
    <r>
      <rPr>
        <sz val="10"/>
        <color rgb="FF5A6270"/>
        <rFont val="WenQuanYi Zen Hei"/>
        <family val="2"/>
      </rPr>
      <t xml:space="preserve">재고 없어서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퀵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</si>
  <si>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</si>
  <si>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6/22 ~ 6/28</t>
  </si>
  <si>
    <t xml:space="preserve">  6/22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</si>
  <si>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</si>
  <si>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t xml:space="preserve">레진과 함께 출고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</si>
  <si>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</si>
  <si>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6/29 ~ 6/30</t>
  </si>
  <si>
    <t xml:space="preserve">  6/30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</si>
  <si>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100*150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</si>
  <si>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</si>
  <si>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</si>
  <si>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7/1 ~ 7/5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</si>
  <si>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</si>
  <si>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7/6 ~ 7/12</t>
  </si>
  <si>
    <t xml:space="preserve">  7/8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</si>
  <si>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</si>
  <si>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</si>
  <si>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7/13 ~ 7/19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</si>
  <si>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</si>
  <si>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7/20 ~ 7/26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</si>
  <si>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</si>
  <si>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7/27 ~ 7/31</t>
  </si>
  <si>
    <t xml:space="preserve">  7/31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</si>
  <si>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</si>
  <si>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</si>
  <si>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</si>
  <si>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8/1 ~ 8/2</t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</si>
  <si>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</si>
  <si>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8/3 ~ 8/9</t>
  </si>
  <si>
    <t xml:space="preserve">  8/3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</si>
  <si>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쿠팡</t>
    </r>
  </si>
  <si>
    <t xml:space="preserve">  8/4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</si>
  <si>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전문몰</t>
    </r>
  </si>
  <si>
    <t xml:space="preserve">  8/7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</si>
  <si>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100*35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</si>
  <si>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</si>
  <si>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8/10 ~ 8/16</t>
  </si>
  <si>
    <t xml:space="preserve">  8/13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</si>
  <si>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</si>
  <si>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</si>
  <si>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8/17 ~ 8/23</t>
  </si>
  <si>
    <t xml:space="preserve">  8/20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</si>
  <si>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지마켓</t>
    </r>
  </si>
  <si>
    <t xml:space="preserve">  8/21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</si>
  <si>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</si>
  <si>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</si>
  <si>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8/24 ~ 8/30</t>
  </si>
  <si>
    <t xml:space="preserve">  8/24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</si>
  <si>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전문몰</t>
    </r>
  </si>
  <si>
    <t xml:space="preserve">  8/26</t>
  </si>
  <si>
    <r>
      <rPr>
        <sz val="10"/>
        <color rgb="FF5A6270"/>
        <rFont val="WenQuanYi Zen Hei"/>
        <family val="2"/>
      </rPr>
      <t xml:space="preserve">전문몰 총 </t>
    </r>
    <r>
      <rPr>
        <sz val="10"/>
        <color rgb="FF5A6270"/>
        <rFont val="맑은 고딕"/>
        <family val="0"/>
        <charset val="1"/>
      </rPr>
      <t xml:space="preserve">99</t>
    </r>
    <r>
      <rPr>
        <sz val="10"/>
        <color rgb="FF5A6270"/>
        <rFont val="WenQuanYi Zen Hei"/>
        <family val="2"/>
      </rPr>
      <t xml:space="preserve">롤</t>
    </r>
  </si>
  <si>
    <t xml:space="preserve">  8/27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</si>
  <si>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100*80 · </t>
    </r>
    <r>
      <rPr>
        <sz val="10"/>
        <color rgb="FF5A6270"/>
        <rFont val="WenQuanYi Zen Hei"/>
        <family val="2"/>
      </rPr>
      <t xml:space="preserve">지마켓</t>
    </r>
  </si>
  <si>
    <r>
      <rPr>
        <sz val="10"/>
        <color rgb="FF5A6270"/>
        <rFont val="WenQuanYi Zen Hei"/>
        <family val="2"/>
      </rPr>
      <t xml:space="preserve">지마켓 총 </t>
    </r>
    <r>
      <rPr>
        <sz val="10"/>
        <color rgb="FF5A6270"/>
        <rFont val="맑은 고딕"/>
        <family val="0"/>
        <charset val="1"/>
      </rPr>
      <t xml:space="preserve">63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</si>
  <si>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80*70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</si>
  <si>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</si>
  <si>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쿠팡 총 </t>
    </r>
    <r>
      <rPr>
        <sz val="10"/>
        <color rgb="FF5A6270"/>
        <rFont val="맑은 고딕"/>
        <family val="0"/>
        <charset val="1"/>
      </rPr>
      <t xml:space="preserve">14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</si>
  <si>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</si>
  <si>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</si>
  <si>
    <t xml:space="preserve">8/31 ~ 8/31</t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</si>
  <si>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</si>
  <si>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</si>
  <si>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9/1 ~ 9/6</t>
  </si>
  <si>
    <t xml:space="preserve">  9/2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</si>
  <si>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전문몰</t>
    </r>
  </si>
  <si>
    <t xml:space="preserve">  9/3</t>
  </si>
  <si>
    <t xml:space="preserve">  9/4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</si>
  <si>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</si>
  <si>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9/7 ~ 9/13</t>
  </si>
  <si>
    <t xml:space="preserve">  9/7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</si>
  <si>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</si>
  <si>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쿠팡</t>
    </r>
  </si>
  <si>
    <t xml:space="preserve">  9/9</t>
  </si>
  <si>
    <t xml:space="preserve">  9/10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</si>
  <si>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</si>
  <si>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80*60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</si>
  <si>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</si>
  <si>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9/14 ~ 9/20</t>
  </si>
  <si>
    <t xml:space="preserve">  9/14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</si>
  <si>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</si>
  <si>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9/21 ~ 9/27</t>
  </si>
  <si>
    <t xml:space="preserve">  9/21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</si>
  <si>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</si>
  <si>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</si>
  <si>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9/28 ~ 9/30</t>
  </si>
  <si>
    <t xml:space="preserve">입찰가 테스트 기간</t>
  </si>
  <si>
    <t xml:space="preserve">  9/30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</si>
  <si>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</si>
  <si>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</si>
  <si>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10/1 ~ 10/4</t>
  </si>
  <si>
    <t xml:space="preserve">  10/1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</si>
  <si>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쿠팡</t>
    </r>
  </si>
  <si>
    <t xml:space="preserve">  10/2</t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</si>
  <si>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</si>
  <si>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10/5 ~ 10/11</t>
  </si>
  <si>
    <t xml:space="preserve">  10/6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</si>
  <si>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코스모스몰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</si>
  <si>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합계</t>
    </r>
  </si>
  <si>
    <t xml:space="preserve">전체 합계</t>
  </si>
  <si>
    <r>
      <rPr>
        <sz val="9"/>
        <color rgb="FF5A6270"/>
        <rFont val="WenQuanYi Zen Hei"/>
        <family val="2"/>
      </rPr>
      <t xml:space="preserve">숫자는 라벨 마스터 판매현황 시트에서 옮겨 적은 값입니다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파란 글씨</t>
    </r>
    <r>
      <rPr>
        <sz val="9"/>
        <color rgb="FF5A6270"/>
        <rFont val="맑은 고딕"/>
        <family val="0"/>
        <charset val="1"/>
      </rPr>
      <t xml:space="preserve">). 80*40</t>
    </r>
    <r>
      <rPr>
        <sz val="9"/>
        <color rgb="FF5A6270"/>
        <rFont val="WenQuanYi Zen Hei"/>
        <family val="2"/>
      </rPr>
      <t xml:space="preserve">은 중국라벨이 아니라 뺐습니다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일반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 외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기록이 없어 들어가지 않습니다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</si>
  <si>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5"/>
        <color rgb="FF1F2A44"/>
        <rFont val="WenQuanYi Zen Hei"/>
        <family val="2"/>
      </rPr>
      <t xml:space="preserve">쇼핑검색 광고 입찰가 테스트 </t>
    </r>
    <r>
      <rPr>
        <b val="true"/>
        <sz val="15"/>
        <color rgb="FF1F2A44"/>
        <rFont val="맑은 고딕"/>
        <family val="0"/>
        <charset val="1"/>
      </rPr>
      <t xml:space="preserve">(9/28 ~ 10/6)</t>
    </r>
  </si>
  <si>
    <r>
      <rPr>
        <sz val="9"/>
        <color rgb="FF5A6270"/>
        <rFont val="WenQuanYi Zen Hei"/>
        <family val="2"/>
      </rPr>
      <t xml:space="preserve">기존에 광고하던 상품으로 입찰가만 바꿔 가며 순위를 확인한 테스트입니다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우리 판매처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메인페이지 순위를 우선으로 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입찰가 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조사한 시각별 기록이 펼쳐집니다</t>
    </r>
  </si>
  <si>
    <t xml:space="preserve">한눈에 보기</t>
  </si>
  <si>
    <t xml:space="preserve">키워드</t>
  </si>
  <si>
    <t xml:space="preserve">광고 상품</t>
  </si>
  <si>
    <t xml:space="preserve">테스트한
입찰가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</si>
  <si>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최저 입찰가</t>
    </r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</si>
  <si>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위 이내
최저 입찰가</t>
    </r>
  </si>
  <si>
    <t xml:space="preserve">가격비교
최고 순위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</si>
  <si>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주로 차지한 업체</t>
    </r>
  </si>
  <si>
    <t xml:space="preserve">권장 입찰가</t>
  </si>
  <si>
    <t xml:space="preserve">정리</t>
  </si>
  <si>
    <t xml:space="preserve">아트라벨</t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</si>
  <si>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</si>
  <si>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맑은 고딕"/>
        <family val="0"/>
        <charset val="1"/>
      </rPr>
      <t xml:space="preserve">2,000~3,000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</si>
  <si>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</si>
  <si>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전문몰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</si>
  <si>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0000FF"/>
        <rFont val="맑은 고딕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</si>
  <si>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원에도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맑은 고딕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</si>
  <si>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유포라벨</t>
  </si>
  <si>
    <r>
      <rPr>
        <sz val="10"/>
        <rFont val="WenQuanYi Zen Hei"/>
        <family val="2"/>
      </rPr>
      <t xml:space="preserve">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</si>
  <si>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1,500~6,000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</si>
  <si>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</si>
  <si>
    <t xml:space="preserve">디엘에스피</t>
  </si>
  <si>
    <r>
      <rPr>
        <b val="true"/>
        <sz val="10"/>
        <color rgb="FF0000FF"/>
        <rFont val="맑은 고딕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</si>
  <si>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3,500·4,000</t>
    </r>
    <r>
      <rPr>
        <sz val="10"/>
        <rFont val="WenQuanYi Zen Hei"/>
        <family val="2"/>
      </rPr>
      <t xml:space="preserve">원에서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2,800~3,100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가격비교는 </t>
    </r>
    <r>
      <rPr>
        <sz val="10"/>
        <rFont val="맑은 고딕"/>
        <family val="0"/>
        <charset val="1"/>
      </rPr>
      <t xml:space="preserve">6,000</t>
    </r>
    <r>
      <rPr>
        <sz val="10"/>
        <rFont val="WenQuanYi Zen Hei"/>
        <family val="2"/>
      </rPr>
      <t xml:space="preserve">원까지 올려도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</si>
  <si>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감열라벨</t>
  </si>
  <si>
    <r>
      <rPr>
        <sz val="10"/>
        <rFont val="WenQuanYi Zen Hei"/>
        <family val="2"/>
      </rPr>
      <t xml:space="preserve">감열지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</si>
  <si>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맑은 고딕"/>
        <family val="0"/>
        <charset val="1"/>
      </rPr>
      <t xml:space="preserve">2,000~3,900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</si>
  <si>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없음</t>
    </r>
  </si>
  <si>
    <r>
      <rPr>
        <b val="true"/>
        <sz val="10"/>
        <color rgb="FF0000FF"/>
        <rFont val="맑은 고딕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</si>
  <si>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2,500~3,900</t>
    </r>
    <r>
      <rPr>
        <sz val="10"/>
        <rFont val="WenQuanYi Zen Hei"/>
        <family val="2"/>
      </rPr>
      <t xml:space="preserve">원 모두 메인 </t>
    </r>
    <r>
      <rPr>
        <sz val="10"/>
        <rFont val="맑은 고딕"/>
        <family val="0"/>
        <charset val="1"/>
      </rPr>
      <t xml:space="preserve">2~3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위 디엘에스피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 입찰가로는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위가 어려움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</si>
  <si>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권장 입찰가는 테스트 결과를 보고 정한 값입니다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입찰가라도 시간대에 따라 순위가 </t>
    </r>
    <r>
      <rPr>
        <sz val="9"/>
        <color rgb="FF5A6270"/>
        <rFont val="맑은 고딕"/>
        <family val="0"/>
        <charset val="1"/>
      </rPr>
      <t xml:space="preserve">1~2</t>
    </r>
    <r>
      <rPr>
        <sz val="9"/>
        <color rgb="FF5A6270"/>
        <rFont val="WenQuanYi Zen Hei"/>
        <family val="2"/>
      </rPr>
      <t xml:space="preserve">단계 바뀌었습니다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</si>
  <si>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테스트 기간 판매 변화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테스트 전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vs </t>
    </r>
    <r>
      <rPr>
        <b val="true"/>
        <sz val="12"/>
        <color rgb="FF1F2A44"/>
        <rFont val="WenQuanYi Zen Hei"/>
        <family val="2"/>
      </rPr>
      <t xml:space="preserve">테스트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</si>
  <si>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테스트 전
</t>
    </r>
    <r>
      <rPr>
        <b val="true"/>
        <sz val="10"/>
        <color rgb="FFFFFFFF"/>
        <rFont val="맑은 고딕"/>
        <family val="0"/>
        <charset val="1"/>
      </rPr>
      <t xml:space="preserve">9/19~9/27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</si>
  <si>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전
롤</t>
  </si>
  <si>
    <r>
      <rPr>
        <b val="true"/>
        <sz val="10"/>
        <color rgb="FFFFFFFF"/>
        <rFont val="WenQuanYi Zen Hei"/>
        <family val="2"/>
      </rPr>
      <t xml:space="preserve">테스트 중
</t>
    </r>
    <r>
      <rPr>
        <b val="true"/>
        <sz val="10"/>
        <color rgb="FFFFFFFF"/>
        <rFont val="맑은 고딕"/>
        <family val="0"/>
        <charset val="1"/>
      </rPr>
      <t xml:space="preserve">9/28~10/6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</si>
  <si>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중
롤</t>
  </si>
  <si>
    <t xml:space="preserve">건수 변화</t>
  </si>
  <si>
    <t xml:space="preserve">롤 변화</t>
  </si>
  <si>
    <t xml:space="preserve">그중 전문몰
테스트 중 건수</t>
  </si>
  <si>
    <t xml:space="preserve">그중 전문몰
테스트 중 롤</t>
  </si>
  <si>
    <r>
      <rPr>
        <sz val="10"/>
        <rFont val="WenQuanYi Zen Hei"/>
        <family val="2"/>
      </rPr>
      <t xml:space="preserve">아트라벨 →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</si>
  <si>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</si>
  <si>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감열라벨 → 감열지 </t>
    </r>
    <r>
      <rPr>
        <sz val="10"/>
        <rFont val="맑은 고딕"/>
        <family val="0"/>
        <charset val="1"/>
      </rPr>
      <t xml:space="preserve">100*100</t>
    </r>
  </si>
  <si>
    <r>
      <rPr>
        <sz val="9"/>
        <color rgb="FF5A6270"/>
        <rFont val="WenQuanYi Zen Hei"/>
        <family val="2"/>
      </rPr>
      <t xml:space="preserve">광고 상품만 보면 → 아트지 </t>
    </r>
    <r>
      <rPr>
        <sz val="9"/>
        <color rgb="FF5A6270"/>
        <rFont val="맑은 고딕"/>
        <family val="0"/>
        <charset val="1"/>
      </rPr>
      <t xml:space="preserve">60*40: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30*15: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감열지 </t>
    </r>
    <r>
      <rPr>
        <sz val="9"/>
        <color rgb="FF5A6270"/>
        <rFont val="맑은 고딕"/>
        <family val="0"/>
        <charset val="1"/>
      </rPr>
      <t xml:space="preserve">100*100: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7</t>
    </r>
    <r>
      <rPr>
        <sz val="9"/>
        <color rgb="FF5A6270"/>
        <rFont val="WenQuanYi Zen Hei"/>
        <family val="2"/>
      </rPr>
      <t xml:space="preserve">롤</t>
    </r>
  </si>
  <si>
    <r>
      <rPr>
        <sz val="10"/>
        <color rgb="FF1F2A44"/>
        <rFont val="WenQuanYi Zen Hei"/>
        <family val="2"/>
      </rPr>
      <t xml:space="preserve">정리</t>
    </r>
    <r>
      <rPr>
        <sz val="10"/>
        <color rgb="FF1F2A44"/>
        <rFont val="맑은 고딕"/>
        <family val="0"/>
        <charset val="1"/>
      </rPr>
      <t xml:space="preserve">: </t>
    </r>
    <r>
      <rPr>
        <sz val="10"/>
        <color rgb="FF1F2A44"/>
        <rFont val="WenQuanYi Zen Hei"/>
        <family val="2"/>
      </rPr>
      <t xml:space="preserve">테스트 기간에 판매가 늘었지만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쿠팡 대량 주문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아트지 </t>
    </r>
    <r>
      <rPr>
        <sz val="10"/>
        <color rgb="FF1F2A44"/>
        <rFont val="맑은 고딕"/>
        <family val="0"/>
        <charset val="1"/>
      </rPr>
      <t xml:space="preserve">40*20 12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감열지 </t>
    </r>
    <r>
      <rPr>
        <sz val="10"/>
        <color rgb="FF1F2A44"/>
        <rFont val="맑은 고딕"/>
        <family val="0"/>
        <charset val="1"/>
      </rPr>
      <t xml:space="preserve">80*70 10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)</t>
    </r>
    <r>
      <rPr>
        <sz val="10"/>
        <color rgb="FF1F2A44"/>
        <rFont val="WenQuanYi Zen Hei"/>
        <family val="2"/>
      </rPr>
      <t xml:space="preserve">과 코스모스몰 </t>
    </r>
    <r>
      <rPr>
        <sz val="10"/>
        <color rgb="FF1F2A44"/>
        <rFont val="맑은 고딕"/>
        <family val="0"/>
        <charset val="1"/>
      </rPr>
      <t xml:space="preserve">6</t>
    </r>
    <r>
      <rPr>
        <sz val="10"/>
        <color rgb="FF1F2A44"/>
        <rFont val="WenQuanYi Zen Hei"/>
        <family val="2"/>
      </rPr>
      <t xml:space="preserve">롤이 커서 입찰가 변경 효과로만 보기는 어렵습니다</t>
    </r>
    <r>
      <rPr>
        <sz val="10"/>
        <color rgb="FF1F2A44"/>
        <rFont val="맑은 고딕"/>
        <family val="0"/>
        <charset val="1"/>
      </rPr>
      <t xml:space="preserve">. </t>
    </r>
    <r>
      <rPr>
        <sz val="10"/>
        <color rgb="FF1F2A44"/>
        <rFont val="WenQuanYi Zen Hei"/>
        <family val="2"/>
      </rPr>
      <t xml:space="preserve">전문몰에서는 유포지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유포라벨</t>
    </r>
    <r>
      <rPr>
        <sz val="10"/>
        <color rgb="FF1F2A44"/>
        <rFont val="맑은 고딕"/>
        <family val="0"/>
        <charset val="1"/>
      </rPr>
      <t xml:space="preserve">) </t>
    </r>
    <r>
      <rPr>
        <sz val="10"/>
        <color rgb="FF1F2A44"/>
        <rFont val="WenQuanYi Zen Hei"/>
        <family val="2"/>
      </rPr>
      <t xml:space="preserve">판매가 </t>
    </r>
    <r>
      <rPr>
        <sz val="10"/>
        <color rgb="FF1F2A44"/>
        <rFont val="맑은 고딕"/>
        <family val="0"/>
        <charset val="1"/>
      </rPr>
      <t xml:space="preserve">3</t>
    </r>
    <r>
      <rPr>
        <sz val="10"/>
        <color rgb="FF1F2A44"/>
        <rFont val="WenQuanYi Zen Hei"/>
        <family val="2"/>
      </rPr>
      <t xml:space="preserve">건 생겼습니다</t>
    </r>
    <r>
      <rPr>
        <sz val="10"/>
        <color rgb="FF1F2A44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</si>
  <si>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재질별 입찰가 → 순위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입찰가 낮은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</si>
  <si>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60*40</t>
    </r>
  </si>
  <si>
    <t xml:space="preserve">입찰가</t>
  </si>
  <si>
    <t xml:space="preserve">조사 횟수</t>
  </si>
  <si>
    <r>
      <rPr>
        <b val="true"/>
        <sz val="10"/>
        <color rgb="FFFFFFFF"/>
        <rFont val="WenQuanYi Zen Hei"/>
        <family val="2"/>
      </rPr>
      <t xml:space="preserve">메인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</si>
  <si>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가격비교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</si>
  <si>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메인 최고</t>
  </si>
  <si>
    <t xml:space="preserve">가격비교 최고</t>
  </si>
  <si>
    <t xml:space="preserve">메모</t>
  </si>
  <si>
    <t xml:space="preserve">조사 안 함</t>
  </si>
  <si>
    <t xml:space="preserve">-</t>
  </si>
  <si>
    <t xml:space="preserve">  9/29 10:39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</si>
  <si>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(09~12)</t>
    </r>
  </si>
  <si>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</si>
  <si>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</si>
  <si>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</si>
  <si>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r>
      <rPr>
        <b val="true"/>
        <sz val="10"/>
        <color rgb="FF1D7A3E"/>
        <rFont val="맑은 고딕"/>
        <family val="0"/>
        <charset val="1"/>
      </rPr>
      <t xml:space="preserve">1</t>
    </r>
    <r>
      <rPr>
        <b val="true"/>
        <sz val="10"/>
        <color rgb="FF1D7A3E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</si>
  <si>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</si>
  <si>
    <t xml:space="preserve">  10/2 15:18</t>
  </si>
  <si>
    <r>
      <rPr>
        <sz val="10"/>
        <color rgb="FF5A6270"/>
        <rFont val="WenQuanYi Zen Hei"/>
        <family val="2"/>
      </rPr>
      <t xml:space="preserve">오후</t>
    </r>
    <r>
      <rPr>
        <sz val="10"/>
        <color rgb="FF5A6270"/>
        <rFont val="맑은 고딕"/>
        <family val="0"/>
        <charset val="1"/>
      </rPr>
      <t xml:space="preserve">(14~18)</t>
    </r>
  </si>
  <si>
    <r>
      <rPr>
        <sz val="10"/>
        <color rgb="FF5A6270"/>
        <rFont val="맑은 고딕"/>
        <family val="0"/>
        <charset val="1"/>
      </rPr>
      <t xml:space="preserve">4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</si>
  <si>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</si>
  <si>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10/6 10:59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</si>
  <si>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</si>
  <si>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아이플랜스토어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</si>
  <si>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</si>
  <si>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t xml:space="preserve">  10/2 13:01</t>
  </si>
  <si>
    <r>
      <rPr>
        <sz val="10"/>
        <color rgb="FF5A6270"/>
        <rFont val="WenQuanYi Zen Hei"/>
        <family val="2"/>
      </rPr>
      <t xml:space="preserve">점심</t>
    </r>
    <r>
      <rPr>
        <sz val="10"/>
        <color rgb="FF5A6270"/>
        <rFont val="맑은 고딕"/>
        <family val="0"/>
        <charset val="1"/>
      </rPr>
      <t xml:space="preserve">(12~14)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</si>
  <si>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</si>
  <si>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10/2 11:35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</si>
  <si>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</si>
  <si>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14:03</t>
  </si>
  <si>
    <t xml:space="preserve">  9/30 15:47</t>
  </si>
  <si>
    <r>
      <rPr>
        <sz val="10"/>
        <color rgb="FF5A6270"/>
        <rFont val="맑은 고딕"/>
        <family val="0"/>
        <charset val="1"/>
      </rPr>
      <t xml:space="preserve">3</t>
    </r>
    <r>
      <rPr>
        <sz val="10"/>
        <color rgb="FF5A6270"/>
        <rFont val="WenQuanYi Zen Hei"/>
        <family val="2"/>
      </rPr>
      <t xml:space="preserve">위</t>
    </r>
  </si>
  <si>
    <t xml:space="preserve">  10/1 15:43</t>
  </si>
  <si>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</si>
  <si>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</si>
  <si>
    <t xml:space="preserve">  9/28 13:42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</si>
  <si>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페이지 중단</t>
    </r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</si>
  <si>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</si>
  <si>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9/28 15:37</t>
  </si>
  <si>
    <t xml:space="preserve">  9/28 15:50</t>
  </si>
  <si>
    <t xml:space="preserve">  10/2 11:39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</si>
  <si>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</si>
  <si>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</si>
  <si>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15:56</t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</si>
  <si>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</si>
  <si>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10/2 13:05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</si>
  <si>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</si>
  <si>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</si>
  <si>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</si>
  <si>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</t>
  </si>
  <si>
    <t xml:space="preserve">  9/29 10:40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</si>
  <si>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(09~13)</t>
    </r>
  </si>
  <si>
    <t xml:space="preserve">  10/2 15:19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</si>
  <si>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</si>
  <si>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</si>
  <si>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14:04</t>
  </si>
  <si>
    <t xml:space="preserve">  9/29 14:53</t>
  </si>
  <si>
    <t xml:space="preserve">  9/29 17:01</t>
  </si>
  <si>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100*100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</si>
  <si>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페이지 중단</t>
    </r>
  </si>
  <si>
    <t xml:space="preserve">  10/1 16:43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</si>
  <si>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위</t>
    </r>
  </si>
  <si>
    <t xml:space="preserve">  10/2 11:37</t>
  </si>
  <si>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</si>
  <si>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조타라벨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</si>
  <si>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</si>
  <si>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</t>
    </r>
  </si>
  <si>
    <t xml:space="preserve">  10/2 13:03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</si>
  <si>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</si>
  <si>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</si>
  <si>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</si>
  <si>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t xml:space="preserve">  10/6 14:23</t>
  </si>
  <si>
    <t xml:space="preserve">  10/6 16:56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</si>
  <si>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바코드프린터 네이버쇼핑 광고 입찰 관리 엑셀 ‘</t>
    </r>
    <r>
      <rPr>
        <sz val="9"/>
        <color rgb="FF5A6270"/>
        <rFont val="맑은 고딕"/>
        <family val="0"/>
        <charset val="1"/>
      </rPr>
      <t xml:space="preserve">02_</t>
    </r>
    <r>
      <rPr>
        <sz val="9"/>
        <color rgb="FF5A6270"/>
        <rFont val="WenQuanYi Zen Hei"/>
        <family val="2"/>
      </rPr>
      <t xml:space="preserve">입찰조사</t>
    </r>
    <r>
      <rPr>
        <sz val="9"/>
        <color rgb="FF5A6270"/>
        <rFont val="맑은 고딕"/>
        <family val="0"/>
        <charset val="1"/>
      </rPr>
      <t xml:space="preserve">_RAW’ (</t>
    </r>
    <r>
      <rPr>
        <sz val="9"/>
        <color rgb="FF5A6270"/>
        <rFont val="WenQuanYi Zen Hei"/>
        <family val="2"/>
      </rPr>
      <t xml:space="preserve">유포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감열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아트라벨</t>
    </r>
    <r>
      <rPr>
        <sz val="9"/>
        <color rgb="FF5A6270"/>
        <rFont val="맑은 고딕"/>
        <family val="0"/>
        <charset val="1"/>
      </rPr>
      <t xml:space="preserve">, 9/28~10/6 33</t>
    </r>
    <r>
      <rPr>
        <sz val="9"/>
        <color rgb="FF5A6270"/>
        <rFont val="WenQuanYi Zen Hei"/>
        <family val="2"/>
      </rPr>
      <t xml:space="preserve">회 조사</t>
    </r>
    <r>
      <rPr>
        <sz val="9"/>
        <color rgb="FF5A6270"/>
        <rFont val="맑은 고딕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순위가 “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페이지 중단”처럼 적힌 조사는 숫자 순위 없음으로 봤습니다</t>
    </r>
    <r>
      <rPr>
        <sz val="9"/>
        <color rgb="FF5A627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</si>
</sst>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#,##0;\-#,##0;&quot;-원&quot;"/>
    <numFmt numFmtId="167" formatCode="\+#,##0;\-#,##0;0"/>
    <numFmt numFmtId="168" formatCode="0\회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WenQuanYi Zen Hei"/>
      <family val="2"/>
    </font>
    <font>
      <b val="true"/>
      <sz val="15"/>
      <color rgb="FF1F2A44"/>
      <name val="맑은 고딕"/>
      <family val="0"/>
      <charset val="1"/>
    </font>
    <font>
      <sz val="9"/>
      <color rgb="FF5A6270"/>
      <name val="WenQuanYi Zen Hei"/>
      <family val="2"/>
    </font>
    <font>
      <sz val="9"/>
      <color rgb="FF5A627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color rgb="FFB26A00"/>
      <name val="맑은 고딕"/>
      <family val="0"/>
      <charset val="1"/>
    </font>
    <font>
      <sz val="10"/>
      <color rgb="FF5A6270"/>
      <name val="맑은 고딕"/>
      <family val="0"/>
      <charset val="1"/>
    </font>
    <font>
      <sz val="10"/>
      <color rgb="FF5A6270"/>
      <name val="WenQuanYi Zen Hei"/>
      <family val="2"/>
    </font>
    <font>
      <b val="true"/>
      <sz val="10"/>
      <color rgb="FFB26A00"/>
      <name val="WenQuanYi Zen Hei"/>
      <family val="2"/>
    </font>
    <font>
      <b val="true"/>
      <sz val="12"/>
      <color rgb="FF1F2A44"/>
      <name val="WenQuanYi Zen Hei"/>
      <family val="2"/>
    </font>
    <font>
      <sz val="1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12"/>
      <color rgb="FF1F2A44"/>
      <name val="맑은 고딕"/>
      <family val="0"/>
      <charset val="1"/>
    </font>
    <font>
      <sz val="10"/>
      <color rgb="FF1F2A44"/>
      <name val="WenQuanYi Zen Hei"/>
      <family val="2"/>
    </font>
    <font>
      <sz val="10"/>
      <color rgb="FF1F2A44"/>
      <name val="맑은 고딕"/>
      <family val="0"/>
      <charset val="1"/>
    </font>
    <font>
      <b val="true"/>
      <sz val="10"/>
      <color rgb="FF1D7A3E"/>
      <name val="맑은 고딕"/>
      <family val="0"/>
      <charset val="1"/>
    </font>
    <font>
      <b val="true"/>
      <sz val="10"/>
      <color rgb="FF1D7A3E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3F5"/>
        <bgColor rgb="FFE9EEF7"/>
      </patternFill>
    </fill>
    <fill>
      <patternFill patternType="solid">
        <fgColor rgb="FFE9EEF7"/>
        <bgColor rgb="FFF2F3F5"/>
      </patternFill>
    </fill>
    <fill>
      <patternFill patternType="solid">
        <fgColor rgb="FFD6DFEE"/>
        <bgColor rgb="FFD5D9E0"/>
      </patternFill>
    </fill>
    <fill>
      <patternFill patternType="solid">
        <fgColor rgb="FFFFF1D6"/>
        <bgColor rgb="FFF2F3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7A3E"/>
      <rgbColor rgb="FF000080"/>
      <rgbColor rgb="FFB26A00"/>
      <rgbColor rgb="FF800080"/>
      <rgbColor rgb="FF008080"/>
      <rgbColor rgb="FFC0C0C0"/>
      <rgbColor rgb="FF808080"/>
      <rgbColor rgb="FF9999FF"/>
      <rgbColor rgb="FF993366"/>
      <rgbColor rgb="FFFFF1D6"/>
      <rgbColor rgb="FFE9EEF7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5"/>
      <rgbColor rgb="FFD6DF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K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10" min="3" style="0" width="8"/>
    <col collapsed="false" customWidth="true" hidden="false" outlineLevel="0" max="11" min="11" style="0" width="2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10</v>
      </c>
      <c r="C5" s="6" t="n">
        <v>337</v>
      </c>
      <c r="D5" s="7" t="n">
        <v>18</v>
      </c>
      <c r="E5" s="7" t="n">
        <v>71</v>
      </c>
      <c r="F5" s="5" t="n">
        <v>1</v>
      </c>
      <c r="G5" s="5" t="n">
        <v>2</v>
      </c>
    </row>
    <row r="6" customFormat="false" ht="15" hidden="false" customHeight="false" outlineLevel="0" collapsed="false">
      <c r="A6" s="4" t="s">
        <v>10</v>
      </c>
      <c r="B6" s="5" t="n">
        <v>12</v>
      </c>
      <c r="C6" s="6" t="n">
        <v>288</v>
      </c>
      <c r="D6" s="7" t="n">
        <v>25</v>
      </c>
      <c r="E6" s="7" t="n">
        <v>123</v>
      </c>
      <c r="F6" s="5" t="n">
        <v>3</v>
      </c>
      <c r="G6" s="5" t="n">
        <v>3</v>
      </c>
    </row>
    <row r="7" customFormat="false" ht="15" hidden="false" customHeight="false" outlineLevel="0" collapsed="false">
      <c r="A7" s="4" t="s">
        <v>11</v>
      </c>
      <c r="B7" s="5" t="n">
        <v>2</v>
      </c>
      <c r="C7" s="6" t="n">
        <v>369</v>
      </c>
      <c r="D7" s="7" t="n">
        <v>5</v>
      </c>
      <c r="E7" s="7" t="n">
        <v>34</v>
      </c>
      <c r="F7" s="5" t="n">
        <v>0</v>
      </c>
      <c r="G7" s="5" t="n">
        <v>0</v>
      </c>
    </row>
    <row r="8" customFormat="false" ht="15" hidden="false" customHeight="false" outlineLevel="0" collapsed="false">
      <c r="A8" s="8" t="s">
        <v>12</v>
      </c>
      <c r="B8" s="9" t="n">
        <f aca="false">B5+B6+B7</f>
        <v>24</v>
      </c>
      <c r="C8" s="9" t="n">
        <f aca="false">C5+C6+C7</f>
        <v>994</v>
      </c>
      <c r="D8" s="9" t="n">
        <f aca="false">D5+D6+D7</f>
        <v>48</v>
      </c>
      <c r="E8" s="9" t="n">
        <f aca="false">E5+E6+E7</f>
        <v>228</v>
      </c>
      <c r="F8" s="9" t="n">
        <f aca="false">F5+F6+F7</f>
        <v>4</v>
      </c>
      <c r="G8" s="9" t="n">
        <f aca="false">G5+G6+G7</f>
        <v>5</v>
      </c>
    </row>
    <row r="9" customFormat="false" ht="15" hidden="false" customHeight="false" outlineLevel="0" collapsed="false">
      <c r="A9" s="2" t="s">
        <v>13</v>
      </c>
    </row>
    <row r="11" customFormat="false" ht="30" hidden="false" customHeight="true" outlineLevel="0" collapsed="false">
      <c r="A11" s="3" t="s">
        <v>14</v>
      </c>
      <c r="B11" s="3" t="s">
        <v>15</v>
      </c>
      <c r="C11" s="3" t="s">
        <v>16</v>
      </c>
      <c r="D11" s="3" t="s">
        <v>17</v>
      </c>
      <c r="E11" s="3" t="s">
        <v>18</v>
      </c>
      <c r="F11" s="3" t="s">
        <v>19</v>
      </c>
      <c r="G11" s="3" t="s">
        <v>20</v>
      </c>
      <c r="H11" s="3" t="s">
        <v>21</v>
      </c>
      <c r="I11" s="3" t="s">
        <v>22</v>
      </c>
      <c r="J11" s="3" t="s">
        <v>23</v>
      </c>
      <c r="K11" s="3" t="s">
        <v>24</v>
      </c>
    </row>
    <row r="12" customFormat="false" ht="15" hidden="false" customHeight="false" outlineLevel="0" collapsed="false">
      <c r="A12" s="10" t="s">
        <v>25</v>
      </c>
      <c r="B12" s="11" t="s">
        <v>26</v>
      </c>
      <c r="C12" s="12" t="n">
        <f aca="false">SUM(C13:C14)</f>
        <v>1</v>
      </c>
      <c r="D12" s="12" t="n">
        <f aca="false">SUM(D13:D14)</f>
        <v>20</v>
      </c>
      <c r="E12" s="12" t="n">
        <f aca="false">SUM(E13:E14)</f>
        <v>1</v>
      </c>
      <c r="F12" s="12" t="n">
        <f aca="false">SUM(F13:F14)</f>
        <v>50</v>
      </c>
      <c r="G12" s="12" t="n">
        <f aca="false">SUM(G13:G14)</f>
        <v>0</v>
      </c>
      <c r="H12" s="12" t="n">
        <f aca="false">SUM(H13:H14)</f>
        <v>0</v>
      </c>
      <c r="I12" s="12" t="n">
        <f aca="false">SUM(I13:I14)</f>
        <v>2</v>
      </c>
      <c r="J12" s="12" t="n">
        <f aca="false">SUM(J13:J14)</f>
        <v>70</v>
      </c>
      <c r="K12" s="13"/>
    </row>
    <row r="13" customFormat="false" ht="15" hidden="true" customHeight="false" outlineLevel="1" collapsed="false">
      <c r="A13" s="14" t="s">
        <v>27</v>
      </c>
      <c r="B13" s="15" t="s">
        <v>28</v>
      </c>
      <c r="C13" s="5"/>
      <c r="D13" s="5"/>
      <c r="E13" s="7" t="n">
        <v>1</v>
      </c>
      <c r="F13" s="7" t="n">
        <v>50</v>
      </c>
      <c r="G13" s="5"/>
      <c r="H13" s="5"/>
      <c r="I13" s="5" t="n">
        <f aca="false">C13+E13+G13</f>
        <v>1</v>
      </c>
      <c r="J13" s="5" t="n">
        <f aca="false">D13+F13+H13</f>
        <v>50</v>
      </c>
      <c r="K13" s="15" t="s">
        <v>29</v>
      </c>
    </row>
    <row r="14" customFormat="false" ht="15" hidden="true" customHeight="false" outlineLevel="1" collapsed="false">
      <c r="A14" s="14" t="s">
        <v>30</v>
      </c>
      <c r="B14" s="15" t="s">
        <v>31</v>
      </c>
      <c r="C14" s="7" t="n">
        <v>1</v>
      </c>
      <c r="D14" s="7" t="n">
        <v>20</v>
      </c>
      <c r="E14" s="5"/>
      <c r="F14" s="5"/>
      <c r="G14" s="5"/>
      <c r="H14" s="5"/>
      <c r="I14" s="5" t="n">
        <f aca="false">C14+E14+G14</f>
        <v>1</v>
      </c>
      <c r="J14" s="5" t="n">
        <f aca="false">D14+F14+H14</f>
        <v>20</v>
      </c>
      <c r="K14" s="14"/>
    </row>
    <row r="15" customFormat="false" ht="15" hidden="false" customHeight="false" outlineLevel="0" collapsed="false">
      <c r="A15" s="16" t="s">
        <v>32</v>
      </c>
      <c r="B15" s="17"/>
      <c r="C15" s="18" t="n">
        <f aca="false">C12</f>
        <v>1</v>
      </c>
      <c r="D15" s="18" t="n">
        <f aca="false">D12</f>
        <v>20</v>
      </c>
      <c r="E15" s="18" t="n">
        <f aca="false">E12</f>
        <v>1</v>
      </c>
      <c r="F15" s="18" t="n">
        <f aca="false">F12</f>
        <v>50</v>
      </c>
      <c r="G15" s="18" t="n">
        <f aca="false">G12</f>
        <v>0</v>
      </c>
      <c r="H15" s="18" t="n">
        <f aca="false">H12</f>
        <v>0</v>
      </c>
      <c r="I15" s="18" t="n">
        <f aca="false">I12</f>
        <v>2</v>
      </c>
      <c r="J15" s="18" t="n">
        <f aca="false">J12</f>
        <v>70</v>
      </c>
      <c r="K15" s="17"/>
    </row>
    <row r="17" customFormat="false" ht="15" hidden="false" customHeight="false" outlineLevel="0" collapsed="false">
      <c r="A17" s="10" t="s">
        <v>33</v>
      </c>
      <c r="B17" s="11" t="s">
        <v>34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3"/>
    </row>
    <row r="18" customFormat="false" ht="15" hidden="false" customHeight="false" outlineLevel="0" collapsed="false">
      <c r="A18" s="10" t="s">
        <v>35</v>
      </c>
      <c r="B18" s="11" t="s">
        <v>36</v>
      </c>
      <c r="C18" s="12" t="n">
        <f aca="false">SUM(C19:C21)</f>
        <v>0</v>
      </c>
      <c r="D18" s="12" t="n">
        <f aca="false">SUM(D19:D21)</f>
        <v>0</v>
      </c>
      <c r="E18" s="12" t="n">
        <f aca="false">SUM(E19:E21)</f>
        <v>3</v>
      </c>
      <c r="F18" s="12" t="n">
        <f aca="false">SUM(F19:F21)</f>
        <v>7</v>
      </c>
      <c r="G18" s="12" t="n">
        <f aca="false">SUM(G19:G21)</f>
        <v>0</v>
      </c>
      <c r="H18" s="12" t="n">
        <f aca="false">SUM(H19:H21)</f>
        <v>0</v>
      </c>
      <c r="I18" s="12" t="n">
        <f aca="false">SUM(I19:I21)</f>
        <v>3</v>
      </c>
      <c r="J18" s="12" t="n">
        <f aca="false">SUM(J19:J21)</f>
        <v>7</v>
      </c>
      <c r="K18" s="13"/>
    </row>
    <row r="19" customFormat="false" ht="15" hidden="true" customHeight="false" outlineLevel="1" collapsed="false">
      <c r="A19" s="14" t="s">
        <v>37</v>
      </c>
      <c r="B19" s="15" t="s">
        <v>38</v>
      </c>
      <c r="C19" s="5"/>
      <c r="D19" s="5"/>
      <c r="E19" s="7" t="n">
        <v>1</v>
      </c>
      <c r="F19" s="7" t="n">
        <v>5</v>
      </c>
      <c r="G19" s="5"/>
      <c r="H19" s="5"/>
      <c r="I19" s="5" t="n">
        <f aca="false">C19+E19+G19</f>
        <v>1</v>
      </c>
      <c r="J19" s="5" t="n">
        <f aca="false">D19+F19+H19</f>
        <v>5</v>
      </c>
      <c r="K19" s="15" t="s">
        <v>39</v>
      </c>
    </row>
    <row r="20" customFormat="false" ht="15" hidden="true" customHeight="false" outlineLevel="1" collapsed="false">
      <c r="A20" s="14" t="s">
        <v>40</v>
      </c>
      <c r="B20" s="15" t="s">
        <v>41</v>
      </c>
      <c r="C20" s="5"/>
      <c r="D20" s="5"/>
      <c r="E20" s="7" t="n">
        <v>1</v>
      </c>
      <c r="F20" s="7" t="n">
        <v>1</v>
      </c>
      <c r="G20" s="5"/>
      <c r="H20" s="5"/>
      <c r="I20" s="5" t="n">
        <f aca="false">C20+E20+G20</f>
        <v>1</v>
      </c>
      <c r="J20" s="5" t="n">
        <f aca="false">D20+F20+H20</f>
        <v>1</v>
      </c>
      <c r="K20" s="14"/>
    </row>
    <row r="21" customFormat="false" ht="15" hidden="true" customHeight="false" outlineLevel="1" collapsed="false">
      <c r="A21" s="14" t="s">
        <v>42</v>
      </c>
      <c r="B21" s="15" t="s">
        <v>38</v>
      </c>
      <c r="C21" s="5"/>
      <c r="D21" s="5"/>
      <c r="E21" s="7" t="n">
        <v>1</v>
      </c>
      <c r="F21" s="7" t="n">
        <v>1</v>
      </c>
      <c r="G21" s="5"/>
      <c r="H21" s="5"/>
      <c r="I21" s="5" t="n">
        <f aca="false">C21+E21+G21</f>
        <v>1</v>
      </c>
      <c r="J21" s="5" t="n">
        <f aca="false">D21+F21+H21</f>
        <v>1</v>
      </c>
      <c r="K21" s="14"/>
    </row>
    <row r="22" customFormat="false" ht="15" hidden="false" customHeight="false" outlineLevel="0" collapsed="false">
      <c r="A22" s="10" t="s">
        <v>43</v>
      </c>
      <c r="B22" s="11" t="s">
        <v>44</v>
      </c>
      <c r="C22" s="12" t="n">
        <f aca="false">SUM(C23:C23)</f>
        <v>1</v>
      </c>
      <c r="D22" s="12" t="n">
        <f aca="false">SUM(D23:D23)</f>
        <v>10</v>
      </c>
      <c r="E22" s="12" t="n">
        <f aca="false">SUM(E23:E23)</f>
        <v>0</v>
      </c>
      <c r="F22" s="12" t="n">
        <f aca="false">SUM(F23:F23)</f>
        <v>0</v>
      </c>
      <c r="G22" s="12" t="n">
        <f aca="false">SUM(G23:G23)</f>
        <v>0</v>
      </c>
      <c r="H22" s="12" t="n">
        <f aca="false">SUM(H23:H23)</f>
        <v>0</v>
      </c>
      <c r="I22" s="12" t="n">
        <f aca="false">SUM(I23:I23)</f>
        <v>1</v>
      </c>
      <c r="J22" s="12" t="n">
        <f aca="false">SUM(J23:J23)</f>
        <v>10</v>
      </c>
      <c r="K22" s="13"/>
    </row>
    <row r="23" customFormat="false" ht="15" hidden="true" customHeight="false" outlineLevel="1" collapsed="false">
      <c r="A23" s="14" t="s">
        <v>45</v>
      </c>
      <c r="B23" s="15" t="s">
        <v>46</v>
      </c>
      <c r="C23" s="7" t="n">
        <v>1</v>
      </c>
      <c r="D23" s="7" t="n">
        <v>10</v>
      </c>
      <c r="E23" s="5"/>
      <c r="F23" s="5"/>
      <c r="G23" s="5"/>
      <c r="H23" s="5"/>
      <c r="I23" s="5" t="n">
        <f aca="false">C23+E23+G23</f>
        <v>1</v>
      </c>
      <c r="J23" s="5" t="n">
        <f aca="false">D23+F23+H23</f>
        <v>10</v>
      </c>
      <c r="K23" s="15" t="s">
        <v>47</v>
      </c>
    </row>
    <row r="24" customFormat="false" ht="15" hidden="false" customHeight="false" outlineLevel="0" collapsed="false">
      <c r="A24" s="10" t="s">
        <v>48</v>
      </c>
      <c r="B24" s="11" t="s">
        <v>49</v>
      </c>
      <c r="C24" s="12" t="n">
        <f aca="false">SUM(C25:C25)</f>
        <v>0</v>
      </c>
      <c r="D24" s="12" t="n">
        <f aca="false">SUM(D25:D25)</f>
        <v>0</v>
      </c>
      <c r="E24" s="12" t="n">
        <f aca="false">SUM(E25:E25)</f>
        <v>1</v>
      </c>
      <c r="F24" s="12" t="n">
        <f aca="false">SUM(F25:F25)</f>
        <v>5</v>
      </c>
      <c r="G24" s="12" t="n">
        <f aca="false">SUM(G25:G25)</f>
        <v>0</v>
      </c>
      <c r="H24" s="12" t="n">
        <f aca="false">SUM(H25:H25)</f>
        <v>0</v>
      </c>
      <c r="I24" s="12" t="n">
        <f aca="false">SUM(I25:I25)</f>
        <v>1</v>
      </c>
      <c r="J24" s="12" t="n">
        <f aca="false">SUM(J25:J25)</f>
        <v>5</v>
      </c>
      <c r="K24" s="13"/>
    </row>
    <row r="25" customFormat="false" ht="15" hidden="true" customHeight="false" outlineLevel="1" collapsed="false">
      <c r="A25" s="14" t="s">
        <v>50</v>
      </c>
      <c r="B25" s="15" t="s">
        <v>51</v>
      </c>
      <c r="C25" s="5"/>
      <c r="D25" s="5"/>
      <c r="E25" s="7" t="n">
        <v>1</v>
      </c>
      <c r="F25" s="7" t="n">
        <v>5</v>
      </c>
      <c r="G25" s="5"/>
      <c r="H25" s="5"/>
      <c r="I25" s="5" t="n">
        <f aca="false">C25+E25+G25</f>
        <v>1</v>
      </c>
      <c r="J25" s="5" t="n">
        <f aca="false">D25+F25+H25</f>
        <v>5</v>
      </c>
      <c r="K25" s="15" t="s">
        <v>52</v>
      </c>
    </row>
    <row r="26" customFormat="false" ht="15" hidden="false" customHeight="false" outlineLevel="0" collapsed="false">
      <c r="A26" s="10" t="s">
        <v>53</v>
      </c>
      <c r="B26" s="11" t="s">
        <v>54</v>
      </c>
      <c r="C26" s="12" t="n">
        <f aca="false">SUM(C27:C27)</f>
        <v>0</v>
      </c>
      <c r="D26" s="12" t="n">
        <f aca="false">SUM(D27:D27)</f>
        <v>0</v>
      </c>
      <c r="E26" s="12" t="n">
        <f aca="false">SUM(E27:E27)</f>
        <v>1</v>
      </c>
      <c r="F26" s="12" t="n">
        <f aca="false">SUM(F27:F27)</f>
        <v>5</v>
      </c>
      <c r="G26" s="12" t="n">
        <f aca="false">SUM(G27:G27)</f>
        <v>0</v>
      </c>
      <c r="H26" s="12" t="n">
        <f aca="false">SUM(H27:H27)</f>
        <v>0</v>
      </c>
      <c r="I26" s="12" t="n">
        <f aca="false">SUM(I27:I27)</f>
        <v>1</v>
      </c>
      <c r="J26" s="12" t="n">
        <f aca="false">SUM(J27:J27)</f>
        <v>5</v>
      </c>
      <c r="K26" s="13"/>
    </row>
    <row r="27" customFormat="false" ht="15" hidden="true" customHeight="false" outlineLevel="1" collapsed="false">
      <c r="A27" s="14" t="s">
        <v>55</v>
      </c>
      <c r="B27" s="15" t="s">
        <v>56</v>
      </c>
      <c r="C27" s="5"/>
      <c r="D27" s="5"/>
      <c r="E27" s="7" t="n">
        <v>1</v>
      </c>
      <c r="F27" s="7" t="n">
        <v>5</v>
      </c>
      <c r="G27" s="5"/>
      <c r="H27" s="5"/>
      <c r="I27" s="5" t="n">
        <f aca="false">C27+E27+G27</f>
        <v>1</v>
      </c>
      <c r="J27" s="5" t="n">
        <f aca="false">D27+F27+H27</f>
        <v>5</v>
      </c>
      <c r="K27" s="14"/>
    </row>
    <row r="28" customFormat="false" ht="15" hidden="false" customHeight="false" outlineLevel="0" collapsed="false">
      <c r="A28" s="16" t="s">
        <v>57</v>
      </c>
      <c r="B28" s="17"/>
      <c r="C28" s="18" t="n">
        <f aca="false">C17+C18+C22+C24+C26</f>
        <v>1</v>
      </c>
      <c r="D28" s="18" t="n">
        <f aca="false">D17+D18+D22+D24+D26</f>
        <v>10</v>
      </c>
      <c r="E28" s="18" t="n">
        <f aca="false">E17+E18+E22+E24+E26</f>
        <v>5</v>
      </c>
      <c r="F28" s="18" t="n">
        <f aca="false">F17+F18+F22+F24+F26</f>
        <v>17</v>
      </c>
      <c r="G28" s="18" t="n">
        <f aca="false">G17+G18+G22+G24+G26</f>
        <v>0</v>
      </c>
      <c r="H28" s="18" t="n">
        <f aca="false">H17+H18+H22+H24+H26</f>
        <v>0</v>
      </c>
      <c r="I28" s="18" t="n">
        <f aca="false">I17+I18+I22+I24+I26</f>
        <v>6</v>
      </c>
      <c r="J28" s="18" t="n">
        <f aca="false">J17+J18+J22+J24+J26</f>
        <v>27</v>
      </c>
      <c r="K28" s="17"/>
    </row>
    <row r="30" customFormat="false" ht="15" hidden="false" customHeight="false" outlineLevel="0" collapsed="false">
      <c r="A30" s="10" t="s">
        <v>58</v>
      </c>
      <c r="B30" s="11" t="s">
        <v>59</v>
      </c>
      <c r="C30" s="12" t="n">
        <v>0</v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2" t="n">
        <v>0</v>
      </c>
      <c r="J30" s="12" t="n">
        <v>0</v>
      </c>
      <c r="K30" s="13"/>
    </row>
    <row r="31" customFormat="false" ht="15" hidden="false" customHeight="false" outlineLevel="0" collapsed="false">
      <c r="A31" s="10" t="s">
        <v>60</v>
      </c>
      <c r="B31" s="11" t="s">
        <v>61</v>
      </c>
      <c r="C31" s="12" t="n">
        <f aca="false">SUM(C32:C32)</f>
        <v>0</v>
      </c>
      <c r="D31" s="12" t="n">
        <f aca="false">SUM(D32:D32)</f>
        <v>0</v>
      </c>
      <c r="E31" s="12" t="n">
        <f aca="false">SUM(E32:E32)</f>
        <v>1</v>
      </c>
      <c r="F31" s="12" t="n">
        <f aca="false">SUM(F32:F32)</f>
        <v>1</v>
      </c>
      <c r="G31" s="12" t="n">
        <f aca="false">SUM(G32:G32)</f>
        <v>0</v>
      </c>
      <c r="H31" s="12" t="n">
        <f aca="false">SUM(H32:H32)</f>
        <v>0</v>
      </c>
      <c r="I31" s="12" t="n">
        <f aca="false">SUM(I32:I32)</f>
        <v>1</v>
      </c>
      <c r="J31" s="12" t="n">
        <f aca="false">SUM(J32:J32)</f>
        <v>1</v>
      </c>
      <c r="K31" s="13"/>
    </row>
    <row r="32" customFormat="false" ht="15" hidden="true" customHeight="false" outlineLevel="1" collapsed="false">
      <c r="A32" s="14" t="s">
        <v>62</v>
      </c>
      <c r="B32" s="15" t="s">
        <v>63</v>
      </c>
      <c r="C32" s="5"/>
      <c r="D32" s="5"/>
      <c r="E32" s="7" t="n">
        <v>1</v>
      </c>
      <c r="F32" s="7" t="n">
        <v>1</v>
      </c>
      <c r="G32" s="5"/>
      <c r="H32" s="5"/>
      <c r="I32" s="5" t="n">
        <f aca="false">C32+E32+G32</f>
        <v>1</v>
      </c>
      <c r="J32" s="5" t="n">
        <f aca="false">D32+F32+H32</f>
        <v>1</v>
      </c>
      <c r="K32" s="14"/>
    </row>
    <row r="33" customFormat="false" ht="15" hidden="false" customHeight="false" outlineLevel="0" collapsed="false">
      <c r="A33" s="10" t="s">
        <v>64</v>
      </c>
      <c r="B33" s="11" t="s">
        <v>65</v>
      </c>
      <c r="C33" s="12" t="n">
        <v>0</v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3"/>
    </row>
    <row r="34" customFormat="false" ht="15" hidden="false" customHeight="false" outlineLevel="0" collapsed="false">
      <c r="A34" s="10" t="s">
        <v>66</v>
      </c>
      <c r="B34" s="11" t="s">
        <v>67</v>
      </c>
      <c r="C34" s="12" t="n">
        <v>0</v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3"/>
    </row>
    <row r="35" customFormat="false" ht="15" hidden="false" customHeight="false" outlineLevel="0" collapsed="false">
      <c r="A35" s="10" t="s">
        <v>68</v>
      </c>
      <c r="B35" s="11" t="s">
        <v>69</v>
      </c>
      <c r="C35" s="12" t="n">
        <f aca="false">SUM(C36:C36)</f>
        <v>0</v>
      </c>
      <c r="D35" s="12" t="n">
        <f aca="false">SUM(D36:D36)</f>
        <v>0</v>
      </c>
      <c r="E35" s="12" t="n">
        <f aca="false">SUM(E36:E36)</f>
        <v>1</v>
      </c>
      <c r="F35" s="12" t="n">
        <f aca="false">SUM(F36:F36)</f>
        <v>1</v>
      </c>
      <c r="G35" s="12" t="n">
        <f aca="false">SUM(G36:G36)</f>
        <v>0</v>
      </c>
      <c r="H35" s="12" t="n">
        <f aca="false">SUM(H36:H36)</f>
        <v>0</v>
      </c>
      <c r="I35" s="12" t="n">
        <f aca="false">SUM(I36:I36)</f>
        <v>1</v>
      </c>
      <c r="J35" s="12" t="n">
        <f aca="false">SUM(J36:J36)</f>
        <v>1</v>
      </c>
      <c r="K35" s="13"/>
    </row>
    <row r="36" customFormat="false" ht="15" hidden="true" customHeight="false" outlineLevel="1" collapsed="false">
      <c r="A36" s="14" t="s">
        <v>70</v>
      </c>
      <c r="B36" s="15" t="s">
        <v>71</v>
      </c>
      <c r="C36" s="5"/>
      <c r="D36" s="5"/>
      <c r="E36" s="7" t="n">
        <v>1</v>
      </c>
      <c r="F36" s="7" t="n">
        <v>1</v>
      </c>
      <c r="G36" s="5"/>
      <c r="H36" s="5"/>
      <c r="I36" s="5" t="n">
        <f aca="false">C36+E36+G36</f>
        <v>1</v>
      </c>
      <c r="J36" s="5" t="n">
        <f aca="false">D36+F36+H36</f>
        <v>1</v>
      </c>
      <c r="K36" s="14"/>
    </row>
    <row r="37" customFormat="false" ht="15" hidden="false" customHeight="false" outlineLevel="0" collapsed="false">
      <c r="A37" s="16" t="s">
        <v>72</v>
      </c>
      <c r="B37" s="17"/>
      <c r="C37" s="18" t="n">
        <f aca="false">C30+C31+C33+C34+C35</f>
        <v>0</v>
      </c>
      <c r="D37" s="18" t="n">
        <f aca="false">D30+D31+D33+D34+D35</f>
        <v>0</v>
      </c>
      <c r="E37" s="18" t="n">
        <f aca="false">E30+E31+E33+E34+E35</f>
        <v>2</v>
      </c>
      <c r="F37" s="18" t="n">
        <f aca="false">F30+F31+F33+F34+F35</f>
        <v>2</v>
      </c>
      <c r="G37" s="18" t="n">
        <f aca="false">G30+G31+G33+G34+G35</f>
        <v>0</v>
      </c>
      <c r="H37" s="18" t="n">
        <f aca="false">H30+H31+H33+H34+H35</f>
        <v>0</v>
      </c>
      <c r="I37" s="18" t="n">
        <f aca="false">I30+I31+I33+I34+I35</f>
        <v>2</v>
      </c>
      <c r="J37" s="18" t="n">
        <f aca="false">J30+J31+J33+J34+J35</f>
        <v>2</v>
      </c>
      <c r="K37" s="17"/>
    </row>
    <row r="39" customFormat="false" ht="15" hidden="false" customHeight="false" outlineLevel="0" collapsed="false">
      <c r="A39" s="10" t="s">
        <v>73</v>
      </c>
      <c r="B39" s="11" t="s">
        <v>74</v>
      </c>
      <c r="C39" s="12" t="n">
        <v>0</v>
      </c>
      <c r="D39" s="12" t="n">
        <v>0</v>
      </c>
      <c r="E39" s="12" t="n">
        <v>0</v>
      </c>
      <c r="F39" s="12" t="n">
        <v>0</v>
      </c>
      <c r="G39" s="12" t="n">
        <v>0</v>
      </c>
      <c r="H39" s="12" t="n">
        <v>0</v>
      </c>
      <c r="I39" s="12" t="n">
        <v>0</v>
      </c>
      <c r="J39" s="12" t="n">
        <v>0</v>
      </c>
      <c r="K39" s="13"/>
    </row>
    <row r="40" customFormat="false" ht="15" hidden="false" customHeight="false" outlineLevel="0" collapsed="false">
      <c r="A40" s="10" t="s">
        <v>75</v>
      </c>
      <c r="B40" s="11" t="s">
        <v>76</v>
      </c>
      <c r="C40" s="12" t="n">
        <f aca="false">SUM(C41:C43)</f>
        <v>1</v>
      </c>
      <c r="D40" s="12" t="n">
        <f aca="false">SUM(D41:D43)</f>
        <v>1</v>
      </c>
      <c r="E40" s="12" t="n">
        <f aca="false">SUM(E41:E43)</f>
        <v>2</v>
      </c>
      <c r="F40" s="12" t="n">
        <f aca="false">SUM(F41:F43)</f>
        <v>3</v>
      </c>
      <c r="G40" s="12" t="n">
        <f aca="false">SUM(G41:G43)</f>
        <v>0</v>
      </c>
      <c r="H40" s="12" t="n">
        <f aca="false">SUM(H41:H43)</f>
        <v>0</v>
      </c>
      <c r="I40" s="12" t="n">
        <f aca="false">SUM(I41:I43)</f>
        <v>3</v>
      </c>
      <c r="J40" s="12" t="n">
        <f aca="false">SUM(J41:J43)</f>
        <v>4</v>
      </c>
      <c r="K40" s="13"/>
    </row>
    <row r="41" customFormat="false" ht="15" hidden="true" customHeight="false" outlineLevel="1" collapsed="false">
      <c r="A41" s="14" t="s">
        <v>77</v>
      </c>
      <c r="B41" s="15" t="s">
        <v>78</v>
      </c>
      <c r="C41" s="7" t="n">
        <v>1</v>
      </c>
      <c r="D41" s="7" t="n">
        <v>1</v>
      </c>
      <c r="E41" s="5"/>
      <c r="F41" s="5"/>
      <c r="G41" s="5"/>
      <c r="H41" s="5"/>
      <c r="I41" s="5" t="n">
        <f aca="false">C41+E41+G41</f>
        <v>1</v>
      </c>
      <c r="J41" s="5" t="n">
        <f aca="false">D41+F41+H41</f>
        <v>1</v>
      </c>
      <c r="K41" s="14"/>
    </row>
    <row r="42" customFormat="false" ht="15" hidden="true" customHeight="false" outlineLevel="1" collapsed="false">
      <c r="A42" s="14" t="s">
        <v>79</v>
      </c>
      <c r="B42" s="15" t="s">
        <v>80</v>
      </c>
      <c r="C42" s="5"/>
      <c r="D42" s="5"/>
      <c r="E42" s="7" t="n">
        <v>1</v>
      </c>
      <c r="F42" s="7" t="n">
        <v>2</v>
      </c>
      <c r="G42" s="5"/>
      <c r="H42" s="5"/>
      <c r="I42" s="5" t="n">
        <f aca="false">C42+E42+G42</f>
        <v>1</v>
      </c>
      <c r="J42" s="5" t="n">
        <f aca="false">D42+F42+H42</f>
        <v>2</v>
      </c>
      <c r="K42" s="14"/>
    </row>
    <row r="43" customFormat="false" ht="15" hidden="true" customHeight="false" outlineLevel="1" collapsed="false">
      <c r="A43" s="14" t="s">
        <v>81</v>
      </c>
      <c r="B43" s="15" t="s">
        <v>82</v>
      </c>
      <c r="C43" s="5"/>
      <c r="D43" s="5"/>
      <c r="E43" s="7" t="n">
        <v>1</v>
      </c>
      <c r="F43" s="7" t="n">
        <v>1</v>
      </c>
      <c r="G43" s="5"/>
      <c r="H43" s="5"/>
      <c r="I43" s="5" t="n">
        <f aca="false">C43+E43+G43</f>
        <v>1</v>
      </c>
      <c r="J43" s="5" t="n">
        <f aca="false">D43+F43+H43</f>
        <v>1</v>
      </c>
      <c r="K43" s="14"/>
    </row>
    <row r="44" customFormat="false" ht="15" hidden="false" customHeight="false" outlineLevel="0" collapsed="false">
      <c r="A44" s="10" t="s">
        <v>83</v>
      </c>
      <c r="B44" s="11" t="s">
        <v>84</v>
      </c>
      <c r="C44" s="12" t="n">
        <f aca="false">SUM(C45:C46)</f>
        <v>0</v>
      </c>
      <c r="D44" s="12" t="n">
        <f aca="false">SUM(D45:D46)</f>
        <v>0</v>
      </c>
      <c r="E44" s="12" t="n">
        <f aca="false">SUM(E45:E46)</f>
        <v>2</v>
      </c>
      <c r="F44" s="12" t="n">
        <f aca="false">SUM(F45:F46)</f>
        <v>7</v>
      </c>
      <c r="G44" s="12" t="n">
        <f aca="false">SUM(G45:G46)</f>
        <v>0</v>
      </c>
      <c r="H44" s="12" t="n">
        <f aca="false">SUM(H45:H46)</f>
        <v>0</v>
      </c>
      <c r="I44" s="12" t="n">
        <f aca="false">SUM(I45:I46)</f>
        <v>2</v>
      </c>
      <c r="J44" s="12" t="n">
        <f aca="false">SUM(J45:J46)</f>
        <v>7</v>
      </c>
      <c r="K44" s="13"/>
    </row>
    <row r="45" customFormat="false" ht="15" hidden="true" customHeight="false" outlineLevel="1" collapsed="false">
      <c r="A45" s="14" t="s">
        <v>85</v>
      </c>
      <c r="B45" s="15" t="s">
        <v>86</v>
      </c>
      <c r="C45" s="5"/>
      <c r="D45" s="5"/>
      <c r="E45" s="7" t="n">
        <v>1</v>
      </c>
      <c r="F45" s="7" t="n">
        <v>2</v>
      </c>
      <c r="G45" s="5"/>
      <c r="H45" s="5"/>
      <c r="I45" s="5" t="n">
        <f aca="false">C45+E45+G45</f>
        <v>1</v>
      </c>
      <c r="J45" s="5" t="n">
        <f aca="false">D45+F45+H45</f>
        <v>2</v>
      </c>
      <c r="K45" s="14"/>
    </row>
    <row r="46" customFormat="false" ht="15" hidden="true" customHeight="false" outlineLevel="1" collapsed="false">
      <c r="A46" s="14" t="s">
        <v>85</v>
      </c>
      <c r="B46" s="15" t="s">
        <v>86</v>
      </c>
      <c r="C46" s="5"/>
      <c r="D46" s="5"/>
      <c r="E46" s="7" t="n">
        <v>1</v>
      </c>
      <c r="F46" s="7" t="n">
        <v>5</v>
      </c>
      <c r="G46" s="5"/>
      <c r="H46" s="5"/>
      <c r="I46" s="5" t="n">
        <f aca="false">C46+E46+G46</f>
        <v>1</v>
      </c>
      <c r="J46" s="5" t="n">
        <f aca="false">D46+F46+H46</f>
        <v>5</v>
      </c>
      <c r="K46" s="14"/>
    </row>
    <row r="47" customFormat="false" ht="15" hidden="false" customHeight="false" outlineLevel="0" collapsed="false">
      <c r="A47" s="10" t="s">
        <v>87</v>
      </c>
      <c r="B47" s="11" t="s">
        <v>88</v>
      </c>
      <c r="C47" s="12" t="n">
        <f aca="false">SUM(C48:C52)</f>
        <v>1</v>
      </c>
      <c r="D47" s="12" t="n">
        <f aca="false">SUM(D48:D52)</f>
        <v>5</v>
      </c>
      <c r="E47" s="12" t="n">
        <f aca="false">SUM(E48:E52)</f>
        <v>3</v>
      </c>
      <c r="F47" s="12" t="n">
        <f aca="false">SUM(F48:F52)</f>
        <v>7</v>
      </c>
      <c r="G47" s="12" t="n">
        <f aca="false">SUM(G48:G52)</f>
        <v>1</v>
      </c>
      <c r="H47" s="12" t="n">
        <f aca="false">SUM(H48:H52)</f>
        <v>16</v>
      </c>
      <c r="I47" s="12" t="n">
        <f aca="false">SUM(I48:I52)</f>
        <v>5</v>
      </c>
      <c r="J47" s="12" t="n">
        <f aca="false">SUM(J48:J52)</f>
        <v>28</v>
      </c>
      <c r="K47" s="13"/>
    </row>
    <row r="48" customFormat="false" ht="15" hidden="true" customHeight="false" outlineLevel="1" collapsed="false">
      <c r="A48" s="14" t="s">
        <v>89</v>
      </c>
      <c r="B48" s="15" t="s">
        <v>90</v>
      </c>
      <c r="C48" s="7" t="n">
        <v>1</v>
      </c>
      <c r="D48" s="7" t="n">
        <v>5</v>
      </c>
      <c r="E48" s="5"/>
      <c r="F48" s="5"/>
      <c r="G48" s="5"/>
      <c r="H48" s="5"/>
      <c r="I48" s="5" t="n">
        <f aca="false">C48+E48+G48</f>
        <v>1</v>
      </c>
      <c r="J48" s="5" t="n">
        <f aca="false">D48+F48+H48</f>
        <v>5</v>
      </c>
      <c r="K48" s="14"/>
    </row>
    <row r="49" customFormat="false" ht="15" hidden="true" customHeight="false" outlineLevel="1" collapsed="false">
      <c r="A49" s="14" t="s">
        <v>91</v>
      </c>
      <c r="B49" s="15" t="s">
        <v>86</v>
      </c>
      <c r="C49" s="5"/>
      <c r="D49" s="5"/>
      <c r="E49" s="7" t="n">
        <v>1</v>
      </c>
      <c r="F49" s="7" t="n">
        <v>1</v>
      </c>
      <c r="G49" s="5"/>
      <c r="H49" s="5"/>
      <c r="I49" s="5" t="n">
        <f aca="false">C49+E49+G49</f>
        <v>1</v>
      </c>
      <c r="J49" s="5" t="n">
        <f aca="false">D49+F49+H49</f>
        <v>1</v>
      </c>
      <c r="K49" s="14"/>
    </row>
    <row r="50" customFormat="false" ht="15" hidden="true" customHeight="false" outlineLevel="1" collapsed="false">
      <c r="A50" s="14" t="s">
        <v>91</v>
      </c>
      <c r="B50" s="15" t="s">
        <v>86</v>
      </c>
      <c r="C50" s="5"/>
      <c r="D50" s="5"/>
      <c r="E50" s="7" t="n">
        <v>1</v>
      </c>
      <c r="F50" s="7" t="n">
        <v>5</v>
      </c>
      <c r="G50" s="5"/>
      <c r="H50" s="5"/>
      <c r="I50" s="5" t="n">
        <f aca="false">C50+E50+G50</f>
        <v>1</v>
      </c>
      <c r="J50" s="5" t="n">
        <f aca="false">D50+F50+H50</f>
        <v>5</v>
      </c>
      <c r="K50" s="14"/>
    </row>
    <row r="51" customFormat="false" ht="15" hidden="true" customHeight="false" outlineLevel="1" collapsed="false">
      <c r="A51" s="14" t="s">
        <v>91</v>
      </c>
      <c r="B51" s="15" t="s">
        <v>86</v>
      </c>
      <c r="C51" s="5"/>
      <c r="D51" s="5"/>
      <c r="E51" s="7" t="n">
        <v>1</v>
      </c>
      <c r="F51" s="7" t="n">
        <v>1</v>
      </c>
      <c r="G51" s="5"/>
      <c r="H51" s="5"/>
      <c r="I51" s="5" t="n">
        <f aca="false">C51+E51+G51</f>
        <v>1</v>
      </c>
      <c r="J51" s="5" t="n">
        <f aca="false">D51+F51+H51</f>
        <v>1</v>
      </c>
      <c r="K51" s="14"/>
    </row>
    <row r="52" customFormat="false" ht="15" hidden="true" customHeight="false" outlineLevel="1" collapsed="false">
      <c r="A52" s="14" t="s">
        <v>91</v>
      </c>
      <c r="B52" s="15" t="s">
        <v>92</v>
      </c>
      <c r="C52" s="5"/>
      <c r="D52" s="5"/>
      <c r="E52" s="5"/>
      <c r="F52" s="5"/>
      <c r="G52" s="7" t="n">
        <v>1</v>
      </c>
      <c r="H52" s="7" t="n">
        <v>16</v>
      </c>
      <c r="I52" s="5" t="n">
        <f aca="false">C52+E52+G52</f>
        <v>1</v>
      </c>
      <c r="J52" s="5" t="n">
        <f aca="false">D52+F52+H52</f>
        <v>16</v>
      </c>
      <c r="K52" s="14"/>
    </row>
    <row r="53" customFormat="false" ht="15" hidden="false" customHeight="false" outlineLevel="0" collapsed="false">
      <c r="A53" s="10" t="s">
        <v>93</v>
      </c>
      <c r="B53" s="11" t="s">
        <v>94</v>
      </c>
      <c r="C53" s="12" t="n">
        <f aca="false">SUM(C54:C59)</f>
        <v>1</v>
      </c>
      <c r="D53" s="12" t="n">
        <f aca="false">SUM(D54:D59)</f>
        <v>2</v>
      </c>
      <c r="E53" s="12" t="n">
        <f aca="false">SUM(E54:E59)</f>
        <v>4</v>
      </c>
      <c r="F53" s="12" t="n">
        <f aca="false">SUM(F54:F59)</f>
        <v>26</v>
      </c>
      <c r="G53" s="12" t="n">
        <f aca="false">SUM(G54:G59)</f>
        <v>1</v>
      </c>
      <c r="H53" s="12" t="n">
        <f aca="false">SUM(H54:H59)</f>
        <v>1</v>
      </c>
      <c r="I53" s="12" t="n">
        <f aca="false">SUM(I54:I59)</f>
        <v>6</v>
      </c>
      <c r="J53" s="12" t="n">
        <f aca="false">SUM(J54:J59)</f>
        <v>29</v>
      </c>
      <c r="K53" s="13"/>
    </row>
    <row r="54" customFormat="false" ht="15" hidden="true" customHeight="false" outlineLevel="1" collapsed="false">
      <c r="A54" s="14" t="s">
        <v>95</v>
      </c>
      <c r="B54" s="15" t="s">
        <v>96</v>
      </c>
      <c r="C54" s="5"/>
      <c r="D54" s="5"/>
      <c r="E54" s="7" t="n">
        <v>1</v>
      </c>
      <c r="F54" s="7" t="n">
        <v>4</v>
      </c>
      <c r="G54" s="5"/>
      <c r="H54" s="5"/>
      <c r="I54" s="5" t="n">
        <f aca="false">C54+E54+G54</f>
        <v>1</v>
      </c>
      <c r="J54" s="5" t="n">
        <f aca="false">D54+F54+H54</f>
        <v>4</v>
      </c>
      <c r="K54" s="14"/>
    </row>
    <row r="55" customFormat="false" ht="15" hidden="true" customHeight="false" outlineLevel="1" collapsed="false">
      <c r="A55" s="14" t="s">
        <v>97</v>
      </c>
      <c r="B55" s="15" t="s">
        <v>96</v>
      </c>
      <c r="C55" s="5"/>
      <c r="D55" s="5"/>
      <c r="E55" s="7" t="n">
        <v>1</v>
      </c>
      <c r="F55" s="7" t="n">
        <v>1</v>
      </c>
      <c r="G55" s="5"/>
      <c r="H55" s="5"/>
      <c r="I55" s="5" t="n">
        <f aca="false">C55+E55+G55</f>
        <v>1</v>
      </c>
      <c r="J55" s="5" t="n">
        <f aca="false">D55+F55+H55</f>
        <v>1</v>
      </c>
      <c r="K55" s="15" t="s">
        <v>98</v>
      </c>
    </row>
    <row r="56" customFormat="false" ht="15" hidden="true" customHeight="false" outlineLevel="1" collapsed="false">
      <c r="A56" s="14" t="s">
        <v>99</v>
      </c>
      <c r="B56" s="15" t="s">
        <v>100</v>
      </c>
      <c r="C56" s="5"/>
      <c r="D56" s="5"/>
      <c r="E56" s="7" t="n">
        <v>1</v>
      </c>
      <c r="F56" s="7" t="n">
        <v>19</v>
      </c>
      <c r="G56" s="5"/>
      <c r="H56" s="5"/>
      <c r="I56" s="5" t="n">
        <f aca="false">C56+E56+G56</f>
        <v>1</v>
      </c>
      <c r="J56" s="5" t="n">
        <f aca="false">D56+F56+H56</f>
        <v>19</v>
      </c>
      <c r="K56" s="15" t="s">
        <v>101</v>
      </c>
    </row>
    <row r="57" customFormat="false" ht="15" hidden="true" customHeight="false" outlineLevel="1" collapsed="false">
      <c r="A57" s="14" t="s">
        <v>99</v>
      </c>
      <c r="B57" s="15" t="s">
        <v>102</v>
      </c>
      <c r="C57" s="5"/>
      <c r="D57" s="5"/>
      <c r="E57" s="5"/>
      <c r="F57" s="5"/>
      <c r="G57" s="7" t="n">
        <v>1</v>
      </c>
      <c r="H57" s="7" t="n">
        <v>1</v>
      </c>
      <c r="I57" s="5" t="n">
        <f aca="false">C57+E57+G57</f>
        <v>1</v>
      </c>
      <c r="J57" s="5" t="n">
        <f aca="false">D57+F57+H57</f>
        <v>1</v>
      </c>
      <c r="K57" s="14"/>
    </row>
    <row r="58" customFormat="false" ht="15" hidden="true" customHeight="false" outlineLevel="1" collapsed="false">
      <c r="A58" s="14" t="s">
        <v>99</v>
      </c>
      <c r="B58" s="15" t="s">
        <v>103</v>
      </c>
      <c r="C58" s="5"/>
      <c r="D58" s="5"/>
      <c r="E58" s="7" t="n">
        <v>1</v>
      </c>
      <c r="F58" s="7" t="n">
        <v>2</v>
      </c>
      <c r="G58" s="5"/>
      <c r="H58" s="5"/>
      <c r="I58" s="5" t="n">
        <f aca="false">C58+E58+G58</f>
        <v>1</v>
      </c>
      <c r="J58" s="5" t="n">
        <f aca="false">D58+F58+H58</f>
        <v>2</v>
      </c>
      <c r="K58" s="15" t="s">
        <v>104</v>
      </c>
    </row>
    <row r="59" customFormat="false" ht="15" hidden="true" customHeight="false" outlineLevel="1" collapsed="false">
      <c r="A59" s="14" t="s">
        <v>99</v>
      </c>
      <c r="B59" s="15" t="s">
        <v>105</v>
      </c>
      <c r="C59" s="7" t="n">
        <v>1</v>
      </c>
      <c r="D59" s="7" t="n">
        <v>2</v>
      </c>
      <c r="E59" s="5"/>
      <c r="F59" s="5"/>
      <c r="G59" s="5"/>
      <c r="H59" s="5"/>
      <c r="I59" s="5" t="n">
        <f aca="false">C59+E59+G59</f>
        <v>1</v>
      </c>
      <c r="J59" s="5" t="n">
        <f aca="false">D59+F59+H59</f>
        <v>2</v>
      </c>
      <c r="K59" s="14"/>
    </row>
    <row r="60" customFormat="false" ht="15" hidden="false" customHeight="false" outlineLevel="0" collapsed="false">
      <c r="A60" s="10" t="s">
        <v>106</v>
      </c>
      <c r="B60" s="11" t="s">
        <v>107</v>
      </c>
      <c r="C60" s="12" t="n">
        <v>0</v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3"/>
    </row>
    <row r="61" customFormat="false" ht="15" hidden="false" customHeight="false" outlineLevel="0" collapsed="false">
      <c r="A61" s="16" t="s">
        <v>108</v>
      </c>
      <c r="B61" s="17"/>
      <c r="C61" s="18" t="n">
        <f aca="false">C39+C40+C44+C47+C53+C60</f>
        <v>3</v>
      </c>
      <c r="D61" s="18" t="n">
        <f aca="false">D39+D40+D44+D47+D53+D60</f>
        <v>8</v>
      </c>
      <c r="E61" s="18" t="n">
        <f aca="false">E39+E40+E44+E47+E53+E60</f>
        <v>11</v>
      </c>
      <c r="F61" s="18" t="n">
        <f aca="false">F39+F40+F44+F47+F53+F60</f>
        <v>43</v>
      </c>
      <c r="G61" s="18" t="n">
        <f aca="false">G39+G40+G44+G47+G53+G60</f>
        <v>2</v>
      </c>
      <c r="H61" s="18" t="n">
        <f aca="false">H39+H40+H44+H47+H53+H60</f>
        <v>17</v>
      </c>
      <c r="I61" s="18" t="n">
        <f aca="false">I39+I40+I44+I47+I53+I60</f>
        <v>16</v>
      </c>
      <c r="J61" s="18" t="n">
        <f aca="false">J39+J40+J44+J47+J53+J60</f>
        <v>68</v>
      </c>
      <c r="K61" s="17"/>
    </row>
    <row r="63" customFormat="false" ht="15" hidden="false" customHeight="false" outlineLevel="0" collapsed="false">
      <c r="A63" s="10" t="s">
        <v>109</v>
      </c>
      <c r="B63" s="11" t="s">
        <v>110</v>
      </c>
      <c r="C63" s="12" t="n">
        <f aca="false">SUM(C64:C67)</f>
        <v>2</v>
      </c>
      <c r="D63" s="12" t="n">
        <f aca="false">SUM(D64:D67)</f>
        <v>6</v>
      </c>
      <c r="E63" s="12" t="n">
        <f aca="false">SUM(E64:E67)</f>
        <v>2</v>
      </c>
      <c r="F63" s="12" t="n">
        <f aca="false">SUM(F64:F67)</f>
        <v>3</v>
      </c>
      <c r="G63" s="12" t="n">
        <f aca="false">SUM(G64:G67)</f>
        <v>0</v>
      </c>
      <c r="H63" s="12" t="n">
        <f aca="false">SUM(H64:H67)</f>
        <v>0</v>
      </c>
      <c r="I63" s="12" t="n">
        <f aca="false">SUM(I64:I67)</f>
        <v>4</v>
      </c>
      <c r="J63" s="12" t="n">
        <f aca="false">SUM(J64:J67)</f>
        <v>9</v>
      </c>
      <c r="K63" s="13"/>
    </row>
    <row r="64" customFormat="false" ht="15" hidden="true" customHeight="false" outlineLevel="1" collapsed="false">
      <c r="A64" s="14" t="s">
        <v>111</v>
      </c>
      <c r="B64" s="15" t="s">
        <v>112</v>
      </c>
      <c r="C64" s="7" t="n">
        <v>1</v>
      </c>
      <c r="D64" s="7" t="n">
        <v>5</v>
      </c>
      <c r="E64" s="5"/>
      <c r="F64" s="5"/>
      <c r="G64" s="5"/>
      <c r="H64" s="5"/>
      <c r="I64" s="5" t="n">
        <f aca="false">C64+E64+G64</f>
        <v>1</v>
      </c>
      <c r="J64" s="5" t="n">
        <f aca="false">D64+F64+H64</f>
        <v>5</v>
      </c>
      <c r="K64" s="14"/>
    </row>
    <row r="65" customFormat="false" ht="15" hidden="true" customHeight="false" outlineLevel="1" collapsed="false">
      <c r="A65" s="14" t="s">
        <v>113</v>
      </c>
      <c r="B65" s="15" t="s">
        <v>112</v>
      </c>
      <c r="C65" s="7" t="n">
        <v>1</v>
      </c>
      <c r="D65" s="7" t="n">
        <v>1</v>
      </c>
      <c r="E65" s="5"/>
      <c r="F65" s="5"/>
      <c r="G65" s="5"/>
      <c r="H65" s="5"/>
      <c r="I65" s="5" t="n">
        <f aca="false">C65+E65+G65</f>
        <v>1</v>
      </c>
      <c r="J65" s="5" t="n">
        <f aca="false">D65+F65+H65</f>
        <v>1</v>
      </c>
      <c r="K65" s="14"/>
    </row>
    <row r="66" customFormat="false" ht="15" hidden="true" customHeight="false" outlineLevel="1" collapsed="false">
      <c r="A66" s="14" t="s">
        <v>114</v>
      </c>
      <c r="B66" s="15" t="s">
        <v>38</v>
      </c>
      <c r="C66" s="5"/>
      <c r="D66" s="5"/>
      <c r="E66" s="7" t="n">
        <v>1</v>
      </c>
      <c r="F66" s="7" t="n">
        <v>2</v>
      </c>
      <c r="G66" s="5"/>
      <c r="H66" s="5"/>
      <c r="I66" s="5" t="n">
        <f aca="false">C66+E66+G66</f>
        <v>1</v>
      </c>
      <c r="J66" s="5" t="n">
        <f aca="false">D66+F66+H66</f>
        <v>2</v>
      </c>
      <c r="K66" s="14"/>
    </row>
    <row r="67" customFormat="false" ht="15" hidden="true" customHeight="false" outlineLevel="1" collapsed="false">
      <c r="A67" s="14" t="s">
        <v>114</v>
      </c>
      <c r="B67" s="15" t="s">
        <v>96</v>
      </c>
      <c r="C67" s="5"/>
      <c r="D67" s="5"/>
      <c r="E67" s="7" t="n">
        <v>1</v>
      </c>
      <c r="F67" s="7" t="n">
        <v>1</v>
      </c>
      <c r="G67" s="5"/>
      <c r="H67" s="5"/>
      <c r="I67" s="5" t="n">
        <f aca="false">C67+E67+G67</f>
        <v>1</v>
      </c>
      <c r="J67" s="5" t="n">
        <f aca="false">D67+F67+H67</f>
        <v>1</v>
      </c>
      <c r="K67" s="14"/>
    </row>
    <row r="68" customFormat="false" ht="15" hidden="false" customHeight="false" outlineLevel="0" collapsed="false">
      <c r="A68" s="10" t="s">
        <v>115</v>
      </c>
      <c r="B68" s="11" t="s">
        <v>116</v>
      </c>
      <c r="C68" s="12" t="n">
        <f aca="false">SUM(C69:C74)</f>
        <v>5</v>
      </c>
      <c r="D68" s="12" t="n">
        <f aca="false">SUM(D69:D74)</f>
        <v>6</v>
      </c>
      <c r="E68" s="12" t="n">
        <f aca="false">SUM(E69:E74)</f>
        <v>1</v>
      </c>
      <c r="F68" s="12" t="n">
        <f aca="false">SUM(F69:F74)</f>
        <v>1</v>
      </c>
      <c r="G68" s="12" t="n">
        <f aca="false">SUM(G69:G74)</f>
        <v>0</v>
      </c>
      <c r="H68" s="12" t="n">
        <f aca="false">SUM(H69:H74)</f>
        <v>0</v>
      </c>
      <c r="I68" s="12" t="n">
        <f aca="false">SUM(I69:I74)</f>
        <v>6</v>
      </c>
      <c r="J68" s="12" t="n">
        <f aca="false">SUM(J69:J74)</f>
        <v>7</v>
      </c>
      <c r="K68" s="13"/>
    </row>
    <row r="69" customFormat="false" ht="15" hidden="true" customHeight="false" outlineLevel="1" collapsed="false">
      <c r="A69" s="14" t="s">
        <v>117</v>
      </c>
      <c r="B69" s="15" t="s">
        <v>46</v>
      </c>
      <c r="C69" s="7" t="n">
        <v>1</v>
      </c>
      <c r="D69" s="7" t="n">
        <v>1</v>
      </c>
      <c r="E69" s="5"/>
      <c r="F69" s="5"/>
      <c r="G69" s="5"/>
      <c r="H69" s="5"/>
      <c r="I69" s="5" t="n">
        <f aca="false">C69+E69+G69</f>
        <v>1</v>
      </c>
      <c r="J69" s="5" t="n">
        <f aca="false">D69+F69+H69</f>
        <v>1</v>
      </c>
      <c r="K69" s="14"/>
    </row>
    <row r="70" customFormat="false" ht="15" hidden="true" customHeight="false" outlineLevel="1" collapsed="false">
      <c r="A70" s="14" t="s">
        <v>117</v>
      </c>
      <c r="B70" s="15" t="s">
        <v>118</v>
      </c>
      <c r="C70" s="7" t="n">
        <v>1</v>
      </c>
      <c r="D70" s="7" t="n">
        <v>2</v>
      </c>
      <c r="E70" s="5"/>
      <c r="F70" s="5"/>
      <c r="G70" s="5"/>
      <c r="H70" s="5"/>
      <c r="I70" s="5" t="n">
        <f aca="false">C70+E70+G70</f>
        <v>1</v>
      </c>
      <c r="J70" s="5" t="n">
        <f aca="false">D70+F70+H70</f>
        <v>2</v>
      </c>
      <c r="K70" s="14"/>
    </row>
    <row r="71" customFormat="false" ht="15" hidden="true" customHeight="false" outlineLevel="1" collapsed="false">
      <c r="A71" s="14" t="s">
        <v>117</v>
      </c>
      <c r="B71" s="15" t="s">
        <v>119</v>
      </c>
      <c r="C71" s="7" t="n">
        <v>1</v>
      </c>
      <c r="D71" s="7" t="n">
        <v>1</v>
      </c>
      <c r="E71" s="5"/>
      <c r="F71" s="5"/>
      <c r="G71" s="5"/>
      <c r="H71" s="5"/>
      <c r="I71" s="5" t="n">
        <f aca="false">C71+E71+G71</f>
        <v>1</v>
      </c>
      <c r="J71" s="5" t="n">
        <f aca="false">D71+F71+H71</f>
        <v>1</v>
      </c>
      <c r="K71" s="14"/>
    </row>
    <row r="72" customFormat="false" ht="15" hidden="true" customHeight="false" outlineLevel="1" collapsed="false">
      <c r="A72" s="14" t="s">
        <v>120</v>
      </c>
      <c r="B72" s="15" t="s">
        <v>119</v>
      </c>
      <c r="C72" s="7" t="n">
        <v>1</v>
      </c>
      <c r="D72" s="7" t="n">
        <v>1</v>
      </c>
      <c r="E72" s="5"/>
      <c r="F72" s="5"/>
      <c r="G72" s="5"/>
      <c r="H72" s="5"/>
      <c r="I72" s="5" t="n">
        <f aca="false">C72+E72+G72</f>
        <v>1</v>
      </c>
      <c r="J72" s="5" t="n">
        <f aca="false">D72+F72+H72</f>
        <v>1</v>
      </c>
      <c r="K72" s="14"/>
    </row>
    <row r="73" customFormat="false" ht="15" hidden="true" customHeight="false" outlineLevel="1" collapsed="false">
      <c r="A73" s="14" t="s">
        <v>121</v>
      </c>
      <c r="B73" s="15" t="s">
        <v>122</v>
      </c>
      <c r="C73" s="5"/>
      <c r="D73" s="5"/>
      <c r="E73" s="7" t="n">
        <v>1</v>
      </c>
      <c r="F73" s="7" t="n">
        <v>1</v>
      </c>
      <c r="G73" s="5"/>
      <c r="H73" s="5"/>
      <c r="I73" s="5" t="n">
        <f aca="false">C73+E73+G73</f>
        <v>1</v>
      </c>
      <c r="J73" s="5" t="n">
        <f aca="false">D73+F73+H73</f>
        <v>1</v>
      </c>
      <c r="K73" s="14"/>
    </row>
    <row r="74" customFormat="false" ht="15" hidden="true" customHeight="false" outlineLevel="1" collapsed="false">
      <c r="A74" s="14" t="s">
        <v>121</v>
      </c>
      <c r="B74" s="15" t="s">
        <v>123</v>
      </c>
      <c r="C74" s="7" t="n">
        <v>1</v>
      </c>
      <c r="D74" s="7" t="n">
        <v>1</v>
      </c>
      <c r="E74" s="5"/>
      <c r="F74" s="5"/>
      <c r="G74" s="5"/>
      <c r="H74" s="5"/>
      <c r="I74" s="5" t="n">
        <f aca="false">C74+E74+G74</f>
        <v>1</v>
      </c>
      <c r="J74" s="5" t="n">
        <f aca="false">D74+F74+H74</f>
        <v>1</v>
      </c>
      <c r="K74" s="14"/>
    </row>
    <row r="75" customFormat="false" ht="15" hidden="false" customHeight="false" outlineLevel="0" collapsed="false">
      <c r="A75" s="10" t="s">
        <v>124</v>
      </c>
      <c r="B75" s="11" t="s">
        <v>125</v>
      </c>
      <c r="C75" s="12" t="n">
        <f aca="false">SUM(C76:C76)</f>
        <v>1</v>
      </c>
      <c r="D75" s="12" t="n">
        <f aca="false">SUM(D76:D76)</f>
        <v>1</v>
      </c>
      <c r="E75" s="12" t="n">
        <f aca="false">SUM(E76:E76)</f>
        <v>0</v>
      </c>
      <c r="F75" s="12" t="n">
        <f aca="false">SUM(F76:F76)</f>
        <v>0</v>
      </c>
      <c r="G75" s="12" t="n">
        <f aca="false">SUM(G76:G76)</f>
        <v>0</v>
      </c>
      <c r="H75" s="12" t="n">
        <f aca="false">SUM(H76:H76)</f>
        <v>0</v>
      </c>
      <c r="I75" s="12" t="n">
        <f aca="false">SUM(I76:I76)</f>
        <v>1</v>
      </c>
      <c r="J75" s="12" t="n">
        <f aca="false">SUM(J76:J76)</f>
        <v>1</v>
      </c>
      <c r="K75" s="13"/>
    </row>
    <row r="76" customFormat="false" ht="15" hidden="true" customHeight="false" outlineLevel="1" collapsed="false">
      <c r="A76" s="14" t="s">
        <v>126</v>
      </c>
      <c r="B76" s="15" t="s">
        <v>78</v>
      </c>
      <c r="C76" s="7" t="n">
        <v>1</v>
      </c>
      <c r="D76" s="7" t="n">
        <v>1</v>
      </c>
      <c r="E76" s="5"/>
      <c r="F76" s="5"/>
      <c r="G76" s="5"/>
      <c r="H76" s="5"/>
      <c r="I76" s="5" t="n">
        <f aca="false">C76+E76+G76</f>
        <v>1</v>
      </c>
      <c r="J76" s="5" t="n">
        <f aca="false">D76+F76+H76</f>
        <v>1</v>
      </c>
      <c r="K76" s="14"/>
    </row>
    <row r="77" customFormat="false" ht="15" hidden="false" customHeight="false" outlineLevel="0" collapsed="false">
      <c r="A77" s="10" t="s">
        <v>127</v>
      </c>
      <c r="B77" s="11" t="s">
        <v>128</v>
      </c>
      <c r="C77" s="12" t="n">
        <f aca="false">SUM(C78:C78)</f>
        <v>1</v>
      </c>
      <c r="D77" s="12" t="n">
        <f aca="false">SUM(D78:D78)</f>
        <v>5</v>
      </c>
      <c r="E77" s="12" t="n">
        <f aca="false">SUM(E78:E78)</f>
        <v>0</v>
      </c>
      <c r="F77" s="12" t="n">
        <f aca="false">SUM(F78:F78)</f>
        <v>0</v>
      </c>
      <c r="G77" s="12" t="n">
        <f aca="false">SUM(G78:G78)</f>
        <v>0</v>
      </c>
      <c r="H77" s="12" t="n">
        <f aca="false">SUM(H78:H78)</f>
        <v>0</v>
      </c>
      <c r="I77" s="12" t="n">
        <f aca="false">SUM(I78:I78)</f>
        <v>1</v>
      </c>
      <c r="J77" s="12" t="n">
        <f aca="false">SUM(J78:J78)</f>
        <v>5</v>
      </c>
      <c r="K77" s="13"/>
    </row>
    <row r="78" customFormat="false" ht="15" hidden="true" customHeight="false" outlineLevel="1" collapsed="false">
      <c r="A78" s="14" t="s">
        <v>129</v>
      </c>
      <c r="B78" s="15" t="s">
        <v>130</v>
      </c>
      <c r="C78" s="7" t="n">
        <v>1</v>
      </c>
      <c r="D78" s="7" t="n">
        <v>5</v>
      </c>
      <c r="E78" s="5"/>
      <c r="F78" s="5"/>
      <c r="G78" s="5"/>
      <c r="H78" s="5"/>
      <c r="I78" s="5" t="n">
        <f aca="false">C78+E78+G78</f>
        <v>1</v>
      </c>
      <c r="J78" s="5" t="n">
        <f aca="false">D78+F78+H78</f>
        <v>5</v>
      </c>
      <c r="K78" s="14"/>
    </row>
    <row r="79" customFormat="false" ht="15" hidden="false" customHeight="false" outlineLevel="0" collapsed="false">
      <c r="A79" s="19" t="s">
        <v>131</v>
      </c>
      <c r="B79" s="20" t="s">
        <v>132</v>
      </c>
      <c r="C79" s="21" t="n">
        <f aca="false">SUM(C80:C83)</f>
        <v>1</v>
      </c>
      <c r="D79" s="21" t="n">
        <f aca="false">SUM(D80:D83)</f>
        <v>1</v>
      </c>
      <c r="E79" s="21" t="n">
        <f aca="false">SUM(E80:E83)</f>
        <v>2</v>
      </c>
      <c r="F79" s="21" t="n">
        <f aca="false">SUM(F80:F83)</f>
        <v>6</v>
      </c>
      <c r="G79" s="21" t="n">
        <f aca="false">SUM(G80:G83)</f>
        <v>1</v>
      </c>
      <c r="H79" s="21" t="n">
        <f aca="false">SUM(H80:H83)</f>
        <v>1</v>
      </c>
      <c r="I79" s="21" t="n">
        <f aca="false">SUM(I80:I83)</f>
        <v>4</v>
      </c>
      <c r="J79" s="21" t="n">
        <f aca="false">SUM(J80:J83)</f>
        <v>8</v>
      </c>
      <c r="K79" s="22" t="s">
        <v>133</v>
      </c>
    </row>
    <row r="80" customFormat="false" ht="15" hidden="true" customHeight="false" outlineLevel="1" collapsed="false">
      <c r="A80" s="14" t="s">
        <v>134</v>
      </c>
      <c r="B80" s="15" t="s">
        <v>96</v>
      </c>
      <c r="C80" s="5"/>
      <c r="D80" s="5"/>
      <c r="E80" s="7" t="n">
        <v>1</v>
      </c>
      <c r="F80" s="7" t="n">
        <v>5</v>
      </c>
      <c r="G80" s="5"/>
      <c r="H80" s="5"/>
      <c r="I80" s="5" t="n">
        <f aca="false">C80+E80+G80</f>
        <v>1</v>
      </c>
      <c r="J80" s="5" t="n">
        <f aca="false">D80+F80+H80</f>
        <v>5</v>
      </c>
      <c r="K80" s="14"/>
    </row>
    <row r="81" customFormat="false" ht="15" hidden="true" customHeight="false" outlineLevel="1" collapsed="false">
      <c r="A81" s="14" t="s">
        <v>134</v>
      </c>
      <c r="B81" s="15" t="s">
        <v>38</v>
      </c>
      <c r="C81" s="5"/>
      <c r="D81" s="5"/>
      <c r="E81" s="7" t="n">
        <v>1</v>
      </c>
      <c r="F81" s="7" t="n">
        <v>1</v>
      </c>
      <c r="G81" s="5"/>
      <c r="H81" s="5"/>
      <c r="I81" s="5" t="n">
        <f aca="false">C81+E81+G81</f>
        <v>1</v>
      </c>
      <c r="J81" s="5" t="n">
        <f aca="false">D81+F81+H81</f>
        <v>1</v>
      </c>
      <c r="K81" s="14"/>
    </row>
    <row r="82" customFormat="false" ht="15" hidden="true" customHeight="false" outlineLevel="1" collapsed="false">
      <c r="A82" s="14" t="s">
        <v>134</v>
      </c>
      <c r="B82" s="15" t="s">
        <v>92</v>
      </c>
      <c r="C82" s="5"/>
      <c r="D82" s="5"/>
      <c r="E82" s="5"/>
      <c r="F82" s="5"/>
      <c r="G82" s="7" t="n">
        <v>1</v>
      </c>
      <c r="H82" s="7" t="n">
        <v>1</v>
      </c>
      <c r="I82" s="5" t="n">
        <f aca="false">C82+E82+G82</f>
        <v>1</v>
      </c>
      <c r="J82" s="5" t="n">
        <f aca="false">D82+F82+H82</f>
        <v>1</v>
      </c>
      <c r="K82" s="14"/>
    </row>
    <row r="83" customFormat="false" ht="15" hidden="true" customHeight="false" outlineLevel="1" collapsed="false">
      <c r="A83" s="14" t="s">
        <v>134</v>
      </c>
      <c r="B83" s="15" t="s">
        <v>123</v>
      </c>
      <c r="C83" s="7" t="n">
        <v>1</v>
      </c>
      <c r="D83" s="7" t="n">
        <v>1</v>
      </c>
      <c r="E83" s="5"/>
      <c r="F83" s="5"/>
      <c r="G83" s="5"/>
      <c r="H83" s="5"/>
      <c r="I83" s="5" t="n">
        <f aca="false">C83+E83+G83</f>
        <v>1</v>
      </c>
      <c r="J83" s="5" t="n">
        <f aca="false">D83+F83+H83</f>
        <v>1</v>
      </c>
      <c r="K83" s="14"/>
    </row>
    <row r="84" customFormat="false" ht="15" hidden="false" customHeight="false" outlineLevel="0" collapsed="false">
      <c r="A84" s="16" t="s">
        <v>135</v>
      </c>
      <c r="B84" s="17"/>
      <c r="C84" s="18" t="n">
        <f aca="false">C63+C68+C75+C77+C79</f>
        <v>10</v>
      </c>
      <c r="D84" s="18" t="n">
        <f aca="false">D63+D68+D75+D77+D79</f>
        <v>19</v>
      </c>
      <c r="E84" s="18" t="n">
        <f aca="false">E63+E68+E75+E77+E79</f>
        <v>5</v>
      </c>
      <c r="F84" s="18" t="n">
        <f aca="false">F63+F68+F75+F77+F79</f>
        <v>10</v>
      </c>
      <c r="G84" s="18" t="n">
        <f aca="false">G63+G68+G75+G77+G79</f>
        <v>1</v>
      </c>
      <c r="H84" s="18" t="n">
        <f aca="false">H63+H68+H75+H77+H79</f>
        <v>1</v>
      </c>
      <c r="I84" s="18" t="n">
        <f aca="false">I63+I68+I75+I77+I79</f>
        <v>16</v>
      </c>
      <c r="J84" s="18" t="n">
        <f aca="false">J63+J68+J75+J77+J79</f>
        <v>30</v>
      </c>
      <c r="K84" s="17"/>
    </row>
    <row r="86" customFormat="false" ht="15" hidden="false" customHeight="false" outlineLevel="0" collapsed="false">
      <c r="A86" s="19" t="s">
        <v>136</v>
      </c>
      <c r="B86" s="20" t="s">
        <v>137</v>
      </c>
      <c r="C86" s="21" t="n">
        <f aca="false">SUM(C87:C88)</f>
        <v>1</v>
      </c>
      <c r="D86" s="21" t="n">
        <f aca="false">SUM(D87:D88)</f>
        <v>12</v>
      </c>
      <c r="E86" s="21" t="n">
        <f aca="false">SUM(E87:E88)</f>
        <v>1</v>
      </c>
      <c r="F86" s="21" t="n">
        <f aca="false">SUM(F87:F88)</f>
        <v>1</v>
      </c>
      <c r="G86" s="21" t="n">
        <f aca="false">SUM(G87:G88)</f>
        <v>0</v>
      </c>
      <c r="H86" s="21" t="n">
        <f aca="false">SUM(H87:H88)</f>
        <v>0</v>
      </c>
      <c r="I86" s="21" t="n">
        <f aca="false">SUM(I87:I88)</f>
        <v>2</v>
      </c>
      <c r="J86" s="21" t="n">
        <f aca="false">SUM(J87:J88)</f>
        <v>13</v>
      </c>
      <c r="K86" s="22" t="s">
        <v>133</v>
      </c>
    </row>
    <row r="87" customFormat="false" ht="15" hidden="true" customHeight="false" outlineLevel="1" collapsed="false">
      <c r="A87" s="14" t="s">
        <v>138</v>
      </c>
      <c r="B87" s="15" t="s">
        <v>139</v>
      </c>
      <c r="C87" s="7" t="n">
        <v>1</v>
      </c>
      <c r="D87" s="7" t="n">
        <v>12</v>
      </c>
      <c r="E87" s="5"/>
      <c r="F87" s="5"/>
      <c r="G87" s="5"/>
      <c r="H87" s="5"/>
      <c r="I87" s="5" t="n">
        <f aca="false">C87+E87+G87</f>
        <v>1</v>
      </c>
      <c r="J87" s="5" t="n">
        <f aca="false">D87+F87+H87</f>
        <v>12</v>
      </c>
      <c r="K87" s="14"/>
    </row>
    <row r="88" customFormat="false" ht="15" hidden="true" customHeight="false" outlineLevel="1" collapsed="false">
      <c r="A88" s="14" t="s">
        <v>140</v>
      </c>
      <c r="B88" s="15" t="s">
        <v>38</v>
      </c>
      <c r="C88" s="5"/>
      <c r="D88" s="5"/>
      <c r="E88" s="7" t="n">
        <v>1</v>
      </c>
      <c r="F88" s="7" t="n">
        <v>1</v>
      </c>
      <c r="G88" s="5"/>
      <c r="H88" s="5"/>
      <c r="I88" s="5" t="n">
        <f aca="false">C88+E88+G88</f>
        <v>1</v>
      </c>
      <c r="J88" s="5" t="n">
        <f aca="false">D88+F88+H88</f>
        <v>1</v>
      </c>
      <c r="K88" s="14"/>
    </row>
    <row r="89" customFormat="false" ht="15" hidden="false" customHeight="false" outlineLevel="0" collapsed="false">
      <c r="A89" s="19" t="s">
        <v>141</v>
      </c>
      <c r="B89" s="20" t="s">
        <v>142</v>
      </c>
      <c r="C89" s="21" t="n">
        <f aca="false">SUM(C90:C93)</f>
        <v>2</v>
      </c>
      <c r="D89" s="21" t="n">
        <f aca="false">SUM(D90:D93)</f>
        <v>2</v>
      </c>
      <c r="E89" s="21" t="n">
        <f aca="false">SUM(E90:E93)</f>
        <v>0</v>
      </c>
      <c r="F89" s="21" t="n">
        <f aca="false">SUM(F90:F93)</f>
        <v>0</v>
      </c>
      <c r="G89" s="21" t="n">
        <f aca="false">SUM(G90:G93)</f>
        <v>2</v>
      </c>
      <c r="H89" s="21" t="n">
        <f aca="false">SUM(H90:H93)</f>
        <v>16</v>
      </c>
      <c r="I89" s="21" t="n">
        <f aca="false">SUM(I90:I93)</f>
        <v>4</v>
      </c>
      <c r="J89" s="21" t="n">
        <f aca="false">SUM(J90:J93)</f>
        <v>18</v>
      </c>
      <c r="K89" s="22" t="s">
        <v>133</v>
      </c>
    </row>
    <row r="90" customFormat="false" ht="15" hidden="true" customHeight="false" outlineLevel="1" collapsed="false">
      <c r="A90" s="14" t="s">
        <v>143</v>
      </c>
      <c r="B90" s="15" t="s">
        <v>78</v>
      </c>
      <c r="C90" s="7" t="n">
        <v>1</v>
      </c>
      <c r="D90" s="7" t="n">
        <v>1</v>
      </c>
      <c r="E90" s="5"/>
      <c r="F90" s="5"/>
      <c r="G90" s="5"/>
      <c r="H90" s="5"/>
      <c r="I90" s="5" t="n">
        <f aca="false">C90+E90+G90</f>
        <v>1</v>
      </c>
      <c r="J90" s="5" t="n">
        <f aca="false">D90+F90+H90</f>
        <v>1</v>
      </c>
      <c r="K90" s="14"/>
    </row>
    <row r="91" customFormat="false" ht="15" hidden="true" customHeight="false" outlineLevel="1" collapsed="false">
      <c r="A91" s="14" t="s">
        <v>143</v>
      </c>
      <c r="B91" s="15" t="s">
        <v>78</v>
      </c>
      <c r="C91" s="7" t="n">
        <v>1</v>
      </c>
      <c r="D91" s="7" t="n">
        <v>1</v>
      </c>
      <c r="E91" s="5"/>
      <c r="F91" s="5"/>
      <c r="G91" s="5"/>
      <c r="H91" s="5"/>
      <c r="I91" s="5" t="n">
        <f aca="false">C91+E91+G91</f>
        <v>1</v>
      </c>
      <c r="J91" s="5" t="n">
        <f aca="false">D91+F91+H91</f>
        <v>1</v>
      </c>
      <c r="K91" s="14"/>
    </row>
    <row r="92" customFormat="false" ht="15" hidden="true" customHeight="false" outlineLevel="1" collapsed="false">
      <c r="A92" s="14" t="s">
        <v>143</v>
      </c>
      <c r="B92" s="15" t="s">
        <v>102</v>
      </c>
      <c r="C92" s="5"/>
      <c r="D92" s="5"/>
      <c r="E92" s="5"/>
      <c r="F92" s="5"/>
      <c r="G92" s="7" t="n">
        <v>1</v>
      </c>
      <c r="H92" s="7" t="n">
        <v>10</v>
      </c>
      <c r="I92" s="5" t="n">
        <f aca="false">C92+E92+G92</f>
        <v>1</v>
      </c>
      <c r="J92" s="5" t="n">
        <f aca="false">D92+F92+H92</f>
        <v>10</v>
      </c>
      <c r="K92" s="14"/>
    </row>
    <row r="93" customFormat="false" ht="15" hidden="true" customHeight="false" outlineLevel="1" collapsed="false">
      <c r="A93" s="14" t="s">
        <v>143</v>
      </c>
      <c r="B93" s="15" t="s">
        <v>144</v>
      </c>
      <c r="C93" s="5"/>
      <c r="D93" s="5"/>
      <c r="E93" s="5"/>
      <c r="F93" s="5"/>
      <c r="G93" s="7" t="n">
        <v>1</v>
      </c>
      <c r="H93" s="7" t="n">
        <v>6</v>
      </c>
      <c r="I93" s="5" t="n">
        <f aca="false">C93+E93+G93</f>
        <v>1</v>
      </c>
      <c r="J93" s="5" t="n">
        <f aca="false">D93+F93+H93</f>
        <v>6</v>
      </c>
      <c r="K93" s="14"/>
    </row>
    <row r="94" customFormat="false" ht="15" hidden="false" customHeight="false" outlineLevel="0" collapsed="false">
      <c r="A94" s="16" t="s">
        <v>145</v>
      </c>
      <c r="B94" s="17"/>
      <c r="C94" s="18" t="n">
        <f aca="false">C86+C89</f>
        <v>3</v>
      </c>
      <c r="D94" s="18" t="n">
        <f aca="false">D86+D89</f>
        <v>14</v>
      </c>
      <c r="E94" s="18" t="n">
        <f aca="false">E86+E89</f>
        <v>1</v>
      </c>
      <c r="F94" s="18" t="n">
        <f aca="false">F86+F89</f>
        <v>1</v>
      </c>
      <c r="G94" s="18" t="n">
        <f aca="false">G86+G89</f>
        <v>2</v>
      </c>
      <c r="H94" s="18" t="n">
        <f aca="false">H86+H89</f>
        <v>16</v>
      </c>
      <c r="I94" s="18" t="n">
        <f aca="false">I86+I89</f>
        <v>6</v>
      </c>
      <c r="J94" s="18" t="n">
        <f aca="false">J86+J89</f>
        <v>31</v>
      </c>
      <c r="K94" s="17"/>
    </row>
    <row r="96" customFormat="false" ht="15" hidden="false" customHeight="false" outlineLevel="0" collapsed="false">
      <c r="A96" s="23" t="s">
        <v>146</v>
      </c>
      <c r="B96" s="24"/>
      <c r="C96" s="25" t="n">
        <f aca="false">C15+C28+C37+C61+C84+C94</f>
        <v>18</v>
      </c>
      <c r="D96" s="25" t="n">
        <f aca="false">D15+D28+D37+D61+D84+D94</f>
        <v>71</v>
      </c>
      <c r="E96" s="25" t="n">
        <f aca="false">E15+E28+E37+E61+E84+E94</f>
        <v>25</v>
      </c>
      <c r="F96" s="25" t="n">
        <f aca="false">F15+F28+F37+F61+F84+F94</f>
        <v>123</v>
      </c>
      <c r="G96" s="25" t="n">
        <f aca="false">G15+G28+G37+G61+G84+G94</f>
        <v>5</v>
      </c>
      <c r="H96" s="25" t="n">
        <f aca="false">H15+H28+H37+H61+H84+H94</f>
        <v>34</v>
      </c>
      <c r="I96" s="25" t="n">
        <f aca="false">I15+I28+I37+I61+I84+I94</f>
        <v>48</v>
      </c>
      <c r="J96" s="25" t="n">
        <f aca="false">J15+J28+J37+J61+J84+J94</f>
        <v>228</v>
      </c>
      <c r="K96" s="24"/>
    </row>
    <row r="98" customFormat="false" ht="15" hidden="false" customHeight="false" outlineLevel="0" collapsed="false">
      <c r="A9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J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2" min="1" style="0" width="2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15" hidden="false" customHeight="false" outlineLevel="0" collapsed="false">
      <c r="A4" s="26" t="s">
        <v>150</v>
      </c>
    </row>
    <row r="5" customFormat="false" ht="30" hidden="false" customHeight="true" outlineLevel="0" collapsed="false">
      <c r="A5" s="3" t="s">
        <v>2</v>
      </c>
      <c r="B5" s="3" t="s">
        <v>151</v>
      </c>
      <c r="C5" s="3" t="s">
        <v>152</v>
      </c>
      <c r="D5" s="3" t="s">
        <v>153</v>
      </c>
      <c r="E5" s="3" t="s">
        <v>154</v>
      </c>
      <c r="F5" s="3" t="s">
        <v>155</v>
      </c>
      <c r="G5" s="3" t="s">
        <v>156</v>
      </c>
      <c r="H5" s="3" t="s">
        <v>157</v>
      </c>
      <c r="I5" s="3" t="s">
        <v>158</v>
      </c>
      <c r="J5" s="3" t="s">
        <v>159</v>
      </c>
    </row>
    <row r="6" customFormat="false" ht="15" hidden="false" customHeight="false" outlineLevel="0" collapsed="false">
      <c r="A6" s="4" t="s">
        <v>9</v>
      </c>
      <c r="B6" s="27" t="s">
        <v>160</v>
      </c>
      <c r="C6" s="27" t="s">
        <v>161</v>
      </c>
      <c r="D6" s="28" t="s">
        <v>162</v>
      </c>
      <c r="E6" s="29" t="n">
        <v>2300</v>
      </c>
      <c r="F6" s="29" t="n">
        <v>2300</v>
      </c>
      <c r="G6" s="28" t="s">
        <v>163</v>
      </c>
      <c r="H6" s="30" t="s">
        <v>164</v>
      </c>
      <c r="I6" s="31" t="s">
        <v>165</v>
      </c>
      <c r="J6" s="32" t="s">
        <v>166</v>
      </c>
    </row>
    <row r="7" customFormat="false" ht="15" hidden="false" customHeight="false" outlineLevel="0" collapsed="false">
      <c r="A7" s="4" t="s">
        <v>10</v>
      </c>
      <c r="B7" s="27" t="s">
        <v>167</v>
      </c>
      <c r="C7" s="27" t="s">
        <v>168</v>
      </c>
      <c r="D7" s="28" t="s">
        <v>169</v>
      </c>
      <c r="E7" s="29" t="n">
        <v>3500</v>
      </c>
      <c r="F7" s="29" t="n">
        <v>2800</v>
      </c>
      <c r="G7" s="28" t="s">
        <v>170</v>
      </c>
      <c r="H7" s="30" t="s">
        <v>171</v>
      </c>
      <c r="I7" s="31" t="s">
        <v>172</v>
      </c>
      <c r="J7" s="32" t="s">
        <v>173</v>
      </c>
    </row>
    <row r="8" customFormat="false" ht="15" hidden="false" customHeight="false" outlineLevel="0" collapsed="false">
      <c r="A8" s="4" t="s">
        <v>11</v>
      </c>
      <c r="B8" s="27" t="s">
        <v>174</v>
      </c>
      <c r="C8" s="27" t="s">
        <v>175</v>
      </c>
      <c r="D8" s="28" t="s">
        <v>176</v>
      </c>
      <c r="E8" s="33" t="s">
        <v>177</v>
      </c>
      <c r="F8" s="29" t="n">
        <v>2500</v>
      </c>
      <c r="G8" s="28" t="s">
        <v>163</v>
      </c>
      <c r="H8" s="30" t="s">
        <v>171</v>
      </c>
      <c r="I8" s="31" t="s">
        <v>178</v>
      </c>
      <c r="J8" s="32" t="s">
        <v>179</v>
      </c>
    </row>
    <row r="9" customFormat="false" ht="15" hidden="false" customHeight="false" outlineLevel="0" collapsed="false">
      <c r="A9" s="2" t="s">
        <v>180</v>
      </c>
    </row>
    <row r="11" customFormat="false" ht="17.15" hidden="false" customHeight="false" outlineLevel="0" collapsed="false">
      <c r="A11" s="26" t="s">
        <v>181</v>
      </c>
    </row>
    <row r="12" customFormat="false" ht="43.5" hidden="false" customHeight="true" outlineLevel="0" collapsed="false">
      <c r="A12" s="3" t="s">
        <v>2</v>
      </c>
      <c r="B12" s="3" t="s">
        <v>152</v>
      </c>
      <c r="C12" s="3" t="s">
        <v>182</v>
      </c>
      <c r="D12" s="3" t="s">
        <v>183</v>
      </c>
      <c r="E12" s="3" t="s">
        <v>184</v>
      </c>
      <c r="F12" s="3" t="s">
        <v>185</v>
      </c>
      <c r="G12" s="3" t="s">
        <v>186</v>
      </c>
      <c r="H12" s="3" t="s">
        <v>187</v>
      </c>
      <c r="I12" s="3" t="s">
        <v>188</v>
      </c>
      <c r="J12" s="3" t="s">
        <v>189</v>
      </c>
    </row>
    <row r="13" customFormat="false" ht="15" hidden="false" customHeight="false" outlineLevel="0" collapsed="false">
      <c r="A13" s="4" t="s">
        <v>9</v>
      </c>
      <c r="B13" s="27" t="s">
        <v>190</v>
      </c>
      <c r="C13" s="7" t="n">
        <v>1</v>
      </c>
      <c r="D13" s="7" t="n">
        <v>5</v>
      </c>
      <c r="E13" s="6" t="n">
        <v>4</v>
      </c>
      <c r="F13" s="6" t="n">
        <v>15</v>
      </c>
      <c r="G13" s="34" t="n">
        <f aca="false">E13-C13</f>
        <v>3</v>
      </c>
      <c r="H13" s="34" t="n">
        <f aca="false">F13-D13</f>
        <v>10</v>
      </c>
      <c r="I13" s="7" t="n">
        <v>1</v>
      </c>
      <c r="J13" s="7" t="n">
        <v>1</v>
      </c>
    </row>
    <row r="14" customFormat="false" ht="15" hidden="false" customHeight="false" outlineLevel="0" collapsed="false">
      <c r="A14" s="4" t="s">
        <v>10</v>
      </c>
      <c r="B14" s="27" t="s">
        <v>191</v>
      </c>
      <c r="C14" s="7" t="n">
        <v>0</v>
      </c>
      <c r="D14" s="7" t="n">
        <v>0</v>
      </c>
      <c r="E14" s="6" t="n">
        <v>3</v>
      </c>
      <c r="F14" s="6" t="n">
        <v>7</v>
      </c>
      <c r="G14" s="34" t="n">
        <f aca="false">E14-C14</f>
        <v>3</v>
      </c>
      <c r="H14" s="34" t="n">
        <f aca="false">F14-D14</f>
        <v>7</v>
      </c>
      <c r="I14" s="7" t="n">
        <v>3</v>
      </c>
      <c r="J14" s="7" t="n">
        <v>7</v>
      </c>
    </row>
    <row r="15" customFormat="false" ht="15" hidden="false" customHeight="false" outlineLevel="0" collapsed="false">
      <c r="A15" s="4" t="s">
        <v>11</v>
      </c>
      <c r="B15" s="27" t="s">
        <v>192</v>
      </c>
      <c r="C15" s="7" t="n">
        <v>0</v>
      </c>
      <c r="D15" s="7" t="n">
        <v>0</v>
      </c>
      <c r="E15" s="6" t="n">
        <v>3</v>
      </c>
      <c r="F15" s="6" t="n">
        <v>17</v>
      </c>
      <c r="G15" s="34" t="n">
        <f aca="false">E15-C15</f>
        <v>3</v>
      </c>
      <c r="H15" s="34" t="n">
        <f aca="false">F15-D15</f>
        <v>17</v>
      </c>
      <c r="I15" s="7" t="n">
        <v>0</v>
      </c>
      <c r="J15" s="7" t="n">
        <v>0</v>
      </c>
    </row>
    <row r="16" customFormat="false" ht="15" hidden="false" customHeight="false" outlineLevel="0" collapsed="false">
      <c r="A16" s="8" t="s">
        <v>12</v>
      </c>
      <c r="B16" s="35"/>
      <c r="C16" s="9" t="n">
        <f aca="false">C13+C14+C15</f>
        <v>1</v>
      </c>
      <c r="D16" s="9" t="n">
        <f aca="false">D13+D14+D15</f>
        <v>5</v>
      </c>
      <c r="E16" s="9" t="n">
        <f aca="false">E13+E14+E15</f>
        <v>10</v>
      </c>
      <c r="F16" s="9" t="n">
        <f aca="false">F13+F14+F15</f>
        <v>39</v>
      </c>
      <c r="G16" s="36" t="n">
        <f aca="false">G13+G14+G15</f>
        <v>9</v>
      </c>
      <c r="H16" s="36" t="n">
        <f aca="false">H13+H14+H15</f>
        <v>34</v>
      </c>
      <c r="I16" s="9" t="n">
        <f aca="false">I13+I14+I15</f>
        <v>4</v>
      </c>
      <c r="J16" s="9" t="n">
        <f aca="false">J13+J14+J15</f>
        <v>8</v>
      </c>
    </row>
    <row r="17" customFormat="false" ht="15" hidden="false" customHeight="false" outlineLevel="0" collapsed="false">
      <c r="A17" s="2" t="s">
        <v>193</v>
      </c>
    </row>
    <row r="18" customFormat="false" ht="15" hidden="false" customHeight="false" outlineLevel="0" collapsed="false">
      <c r="A18" s="37" t="s">
        <v>194</v>
      </c>
    </row>
    <row r="20" customFormat="false" ht="17.15" hidden="false" customHeight="false" outlineLevel="0" collapsed="false">
      <c r="A20" s="26" t="s">
        <v>195</v>
      </c>
    </row>
    <row r="21" customFormat="false" ht="15" hidden="false" customHeight="false" outlineLevel="0" collapsed="false">
      <c r="A21" s="23" t="s">
        <v>196</v>
      </c>
      <c r="B21" s="24"/>
      <c r="C21" s="24"/>
      <c r="D21" s="24"/>
      <c r="E21" s="24"/>
      <c r="F21" s="24"/>
      <c r="G21" s="24"/>
      <c r="H21" s="24"/>
      <c r="I21" s="24"/>
      <c r="J21" s="24"/>
    </row>
    <row r="22" customFormat="false" ht="30" hidden="false" customHeight="true" outlineLevel="0" collapsed="false">
      <c r="A22" s="3" t="s">
        <v>197</v>
      </c>
      <c r="B22" s="3" t="s">
        <v>198</v>
      </c>
      <c r="C22" s="3" t="s">
        <v>199</v>
      </c>
      <c r="D22" s="3" t="s">
        <v>200</v>
      </c>
      <c r="E22" s="3" t="s">
        <v>201</v>
      </c>
      <c r="F22" s="3" t="s">
        <v>202</v>
      </c>
      <c r="G22" s="3"/>
      <c r="H22" s="3"/>
      <c r="I22" s="3"/>
      <c r="J22" s="3" t="s">
        <v>203</v>
      </c>
    </row>
    <row r="23" customFormat="false" ht="15" hidden="false" customHeight="false" outlineLevel="0" collapsed="false">
      <c r="A23" s="38" t="n">
        <v>2000</v>
      </c>
      <c r="B23" s="39" t="n">
        <v>1</v>
      </c>
      <c r="C23" s="40" t="s">
        <v>204</v>
      </c>
      <c r="D23" s="11" t="s">
        <v>170</v>
      </c>
      <c r="E23" s="41" t="s">
        <v>205</v>
      </c>
      <c r="F23" s="42" t="s">
        <v>170</v>
      </c>
      <c r="G23" s="11"/>
      <c r="H23" s="11"/>
      <c r="I23" s="11"/>
      <c r="J23" s="11"/>
    </row>
    <row r="24" customFormat="false" ht="15" hidden="true" customHeight="false" outlineLevel="1" collapsed="false">
      <c r="A24" s="14" t="s">
        <v>206</v>
      </c>
      <c r="B24" s="15" t="s">
        <v>207</v>
      </c>
      <c r="C24" s="43" t="s">
        <v>205</v>
      </c>
      <c r="D24" s="43" t="s">
        <v>208</v>
      </c>
      <c r="E24" s="32"/>
      <c r="F24" s="32"/>
      <c r="G24" s="44"/>
      <c r="H24" s="44"/>
      <c r="I24" s="44"/>
      <c r="J24" s="44"/>
    </row>
    <row r="25" customFormat="false" ht="15" hidden="false" customHeight="false" outlineLevel="0" collapsed="false">
      <c r="A25" s="38" t="n">
        <v>2300</v>
      </c>
      <c r="B25" s="39" t="n">
        <v>2</v>
      </c>
      <c r="C25" s="11" t="s">
        <v>209</v>
      </c>
      <c r="D25" s="11" t="s">
        <v>210</v>
      </c>
      <c r="E25" s="45" t="s">
        <v>211</v>
      </c>
      <c r="F25" s="42" t="s">
        <v>212</v>
      </c>
      <c r="G25" s="11"/>
      <c r="H25" s="11"/>
      <c r="I25" s="11"/>
      <c r="J25" s="11"/>
    </row>
    <row r="26" customFormat="false" ht="15" hidden="true" customHeight="false" outlineLevel="1" collapsed="false">
      <c r="A26" s="14" t="s">
        <v>213</v>
      </c>
      <c r="B26" s="15" t="s">
        <v>214</v>
      </c>
      <c r="C26" s="43" t="s">
        <v>208</v>
      </c>
      <c r="D26" s="43" t="s">
        <v>215</v>
      </c>
      <c r="E26" s="32"/>
      <c r="F26" s="32"/>
      <c r="G26" s="46" t="s">
        <v>216</v>
      </c>
      <c r="H26" s="46"/>
      <c r="I26" s="46"/>
      <c r="J26" s="46"/>
    </row>
    <row r="27" customFormat="false" ht="15" hidden="true" customHeight="false" outlineLevel="1" collapsed="false">
      <c r="A27" s="14" t="s">
        <v>217</v>
      </c>
      <c r="B27" s="15" t="s">
        <v>207</v>
      </c>
      <c r="C27" s="43" t="s">
        <v>218</v>
      </c>
      <c r="D27" s="43" t="s">
        <v>215</v>
      </c>
      <c r="E27" s="32"/>
      <c r="F27" s="32"/>
      <c r="G27" s="46" t="s">
        <v>219</v>
      </c>
      <c r="H27" s="46"/>
      <c r="I27" s="46"/>
      <c r="J27" s="46"/>
    </row>
    <row r="28" customFormat="false" ht="15" hidden="false" customHeight="false" outlineLevel="0" collapsed="false">
      <c r="A28" s="38" t="n">
        <v>2600</v>
      </c>
      <c r="B28" s="39" t="n">
        <v>1</v>
      </c>
      <c r="C28" s="11" t="s">
        <v>170</v>
      </c>
      <c r="D28" s="11" t="s">
        <v>170</v>
      </c>
      <c r="E28" s="41" t="s">
        <v>220</v>
      </c>
      <c r="F28" s="42" t="s">
        <v>170</v>
      </c>
      <c r="G28" s="11"/>
      <c r="H28" s="11"/>
      <c r="I28" s="11"/>
      <c r="J28" s="11"/>
    </row>
    <row r="29" customFormat="false" ht="15" hidden="true" customHeight="false" outlineLevel="1" collapsed="false">
      <c r="A29" s="14" t="s">
        <v>221</v>
      </c>
      <c r="B29" s="15" t="s">
        <v>222</v>
      </c>
      <c r="C29" s="43" t="s">
        <v>208</v>
      </c>
      <c r="D29" s="43" t="s">
        <v>208</v>
      </c>
      <c r="E29" s="32"/>
      <c r="F29" s="32"/>
      <c r="G29" s="46" t="s">
        <v>223</v>
      </c>
      <c r="H29" s="46"/>
      <c r="I29" s="46"/>
      <c r="J29" s="46"/>
    </row>
    <row r="30" customFormat="false" ht="15" hidden="false" customHeight="false" outlineLevel="0" collapsed="false">
      <c r="A30" s="38" t="n">
        <v>2800</v>
      </c>
      <c r="B30" s="39" t="n">
        <v>1</v>
      </c>
      <c r="C30" s="11" t="s">
        <v>163</v>
      </c>
      <c r="D30" s="11" t="s">
        <v>170</v>
      </c>
      <c r="E30" s="45" t="s">
        <v>211</v>
      </c>
      <c r="F30" s="42" t="s">
        <v>170</v>
      </c>
      <c r="G30" s="11"/>
      <c r="H30" s="11"/>
      <c r="I30" s="11"/>
      <c r="J30" s="11"/>
    </row>
    <row r="31" customFormat="false" ht="15" hidden="true" customHeight="false" outlineLevel="1" collapsed="false">
      <c r="A31" s="14" t="s">
        <v>224</v>
      </c>
      <c r="B31" s="15" t="s">
        <v>222</v>
      </c>
      <c r="C31" s="43" t="s">
        <v>218</v>
      </c>
      <c r="D31" s="43" t="s">
        <v>208</v>
      </c>
      <c r="E31" s="32"/>
      <c r="F31" s="32"/>
      <c r="G31" s="46" t="s">
        <v>219</v>
      </c>
      <c r="H31" s="46"/>
      <c r="I31" s="46"/>
      <c r="J31" s="46"/>
    </row>
    <row r="32" customFormat="false" ht="15" hidden="false" customHeight="false" outlineLevel="0" collapsed="false">
      <c r="A32" s="38" t="n">
        <v>3000</v>
      </c>
      <c r="B32" s="39" t="n">
        <v>3</v>
      </c>
      <c r="C32" s="11" t="s">
        <v>163</v>
      </c>
      <c r="D32" s="11" t="s">
        <v>225</v>
      </c>
      <c r="E32" s="45" t="s">
        <v>211</v>
      </c>
      <c r="F32" s="42" t="s">
        <v>163</v>
      </c>
      <c r="G32" s="11"/>
      <c r="H32" s="11"/>
      <c r="I32" s="11"/>
      <c r="J32" s="11"/>
    </row>
    <row r="33" customFormat="false" ht="15" hidden="true" customHeight="false" outlineLevel="1" collapsed="false">
      <c r="A33" s="14" t="s">
        <v>226</v>
      </c>
      <c r="B33" s="15" t="s">
        <v>222</v>
      </c>
      <c r="C33" s="43" t="s">
        <v>205</v>
      </c>
      <c r="D33" s="43" t="s">
        <v>218</v>
      </c>
      <c r="E33" s="32"/>
      <c r="F33" s="32"/>
      <c r="G33" s="44"/>
      <c r="H33" s="44"/>
      <c r="I33" s="44"/>
      <c r="J33" s="44"/>
    </row>
    <row r="34" customFormat="false" ht="15" hidden="true" customHeight="false" outlineLevel="1" collapsed="false">
      <c r="A34" s="14" t="s">
        <v>227</v>
      </c>
      <c r="B34" s="15" t="s">
        <v>214</v>
      </c>
      <c r="C34" s="43" t="s">
        <v>205</v>
      </c>
      <c r="D34" s="43" t="s">
        <v>228</v>
      </c>
      <c r="E34" s="32"/>
      <c r="F34" s="32"/>
      <c r="G34" s="44"/>
      <c r="H34" s="44"/>
      <c r="I34" s="44"/>
      <c r="J34" s="44"/>
    </row>
    <row r="35" customFormat="false" ht="15" hidden="true" customHeight="false" outlineLevel="1" collapsed="false">
      <c r="A35" s="14" t="s">
        <v>229</v>
      </c>
      <c r="B35" s="15" t="s">
        <v>214</v>
      </c>
      <c r="C35" s="43" t="s">
        <v>218</v>
      </c>
      <c r="D35" s="43" t="s">
        <v>208</v>
      </c>
      <c r="E35" s="32"/>
      <c r="F35" s="32"/>
      <c r="G35" s="44"/>
      <c r="H35" s="44"/>
      <c r="I35" s="44"/>
      <c r="J35" s="44"/>
    </row>
    <row r="37" customFormat="false" ht="15" hidden="false" customHeight="false" outlineLevel="0" collapsed="false">
      <c r="A37" s="23" t="s">
        <v>230</v>
      </c>
      <c r="B37" s="24"/>
      <c r="C37" s="24"/>
      <c r="D37" s="24"/>
      <c r="E37" s="24"/>
      <c r="F37" s="24"/>
      <c r="G37" s="24"/>
      <c r="H37" s="24"/>
      <c r="I37" s="24"/>
      <c r="J37" s="24"/>
    </row>
    <row r="38" customFormat="false" ht="30" hidden="false" customHeight="true" outlineLevel="0" collapsed="false">
      <c r="A38" s="3" t="s">
        <v>197</v>
      </c>
      <c r="B38" s="3" t="s">
        <v>198</v>
      </c>
      <c r="C38" s="3" t="s">
        <v>199</v>
      </c>
      <c r="D38" s="3" t="s">
        <v>200</v>
      </c>
      <c r="E38" s="3" t="s">
        <v>201</v>
      </c>
      <c r="F38" s="3" t="s">
        <v>202</v>
      </c>
      <c r="G38" s="3"/>
      <c r="H38" s="3"/>
      <c r="I38" s="3"/>
      <c r="J38" s="3" t="s">
        <v>203</v>
      </c>
    </row>
    <row r="39" customFormat="false" ht="15" hidden="false" customHeight="false" outlineLevel="0" collapsed="false">
      <c r="A39" s="38" t="n">
        <v>1500</v>
      </c>
      <c r="B39" s="39" t="n">
        <v>1</v>
      </c>
      <c r="C39" s="40" t="s">
        <v>204</v>
      </c>
      <c r="D39" s="11" t="s">
        <v>231</v>
      </c>
      <c r="E39" s="41" t="s">
        <v>205</v>
      </c>
      <c r="F39" s="42" t="s">
        <v>205</v>
      </c>
      <c r="G39" s="11"/>
      <c r="H39" s="11"/>
      <c r="I39" s="11"/>
      <c r="J39" s="11"/>
    </row>
    <row r="40" customFormat="false" ht="15" hidden="true" customHeight="false" outlineLevel="1" collapsed="false">
      <c r="A40" s="14" t="s">
        <v>232</v>
      </c>
      <c r="B40" s="15" t="s">
        <v>222</v>
      </c>
      <c r="C40" s="43" t="s">
        <v>205</v>
      </c>
      <c r="D40" s="43" t="s">
        <v>233</v>
      </c>
      <c r="E40" s="32"/>
      <c r="F40" s="32"/>
      <c r="G40" s="46" t="s">
        <v>234</v>
      </c>
      <c r="H40" s="46"/>
      <c r="I40" s="46"/>
      <c r="J40" s="46"/>
    </row>
    <row r="41" customFormat="false" ht="15" hidden="false" customHeight="false" outlineLevel="0" collapsed="false">
      <c r="A41" s="38" t="n">
        <v>2000</v>
      </c>
      <c r="B41" s="39" t="n">
        <v>1</v>
      </c>
      <c r="C41" s="40" t="s">
        <v>204</v>
      </c>
      <c r="D41" s="11" t="s">
        <v>231</v>
      </c>
      <c r="E41" s="41" t="s">
        <v>205</v>
      </c>
      <c r="F41" s="42" t="s">
        <v>205</v>
      </c>
      <c r="G41" s="11"/>
      <c r="H41" s="11"/>
      <c r="I41" s="11"/>
      <c r="J41" s="11"/>
    </row>
    <row r="42" customFormat="false" ht="15" hidden="true" customHeight="false" outlineLevel="1" collapsed="false">
      <c r="A42" s="14" t="s">
        <v>235</v>
      </c>
      <c r="B42" s="15" t="s">
        <v>214</v>
      </c>
      <c r="C42" s="43" t="s">
        <v>205</v>
      </c>
      <c r="D42" s="43" t="s">
        <v>233</v>
      </c>
      <c r="E42" s="32"/>
      <c r="F42" s="32"/>
      <c r="G42" s="44"/>
      <c r="H42" s="44"/>
      <c r="I42" s="44"/>
      <c r="J42" s="44"/>
    </row>
    <row r="43" customFormat="false" ht="15" hidden="false" customHeight="false" outlineLevel="0" collapsed="false">
      <c r="A43" s="38" t="n">
        <v>2500</v>
      </c>
      <c r="B43" s="39" t="n">
        <v>1</v>
      </c>
      <c r="C43" s="40" t="s">
        <v>204</v>
      </c>
      <c r="D43" s="11" t="s">
        <v>231</v>
      </c>
      <c r="E43" s="41" t="s">
        <v>205</v>
      </c>
      <c r="F43" s="42" t="s">
        <v>205</v>
      </c>
      <c r="G43" s="11"/>
      <c r="H43" s="11"/>
      <c r="I43" s="11"/>
      <c r="J43" s="11"/>
    </row>
    <row r="44" customFormat="false" ht="15" hidden="true" customHeight="false" outlineLevel="1" collapsed="false">
      <c r="A44" s="14" t="s">
        <v>236</v>
      </c>
      <c r="B44" s="15" t="s">
        <v>214</v>
      </c>
      <c r="C44" s="43" t="s">
        <v>205</v>
      </c>
      <c r="D44" s="43" t="s">
        <v>233</v>
      </c>
      <c r="E44" s="32"/>
      <c r="F44" s="32"/>
      <c r="G44" s="44"/>
      <c r="H44" s="44"/>
      <c r="I44" s="44"/>
      <c r="J44" s="44"/>
    </row>
    <row r="45" customFormat="false" ht="15" hidden="false" customHeight="false" outlineLevel="0" collapsed="false">
      <c r="A45" s="38" t="n">
        <v>2800</v>
      </c>
      <c r="B45" s="39" t="n">
        <v>1</v>
      </c>
      <c r="C45" s="11" t="s">
        <v>170</v>
      </c>
      <c r="D45" s="11" t="s">
        <v>212</v>
      </c>
      <c r="E45" s="41" t="s">
        <v>220</v>
      </c>
      <c r="F45" s="42" t="s">
        <v>212</v>
      </c>
      <c r="G45" s="11"/>
      <c r="H45" s="11"/>
      <c r="I45" s="11"/>
      <c r="J45" s="11"/>
    </row>
    <row r="46" customFormat="false" ht="15" hidden="true" customHeight="false" outlineLevel="1" collapsed="false">
      <c r="A46" s="14" t="s">
        <v>237</v>
      </c>
      <c r="B46" s="15" t="s">
        <v>222</v>
      </c>
      <c r="C46" s="43" t="s">
        <v>208</v>
      </c>
      <c r="D46" s="43" t="s">
        <v>215</v>
      </c>
      <c r="E46" s="32"/>
      <c r="F46" s="32"/>
      <c r="G46" s="46" t="s">
        <v>238</v>
      </c>
      <c r="H46" s="46"/>
      <c r="I46" s="46"/>
      <c r="J46" s="46"/>
    </row>
    <row r="47" customFormat="false" ht="15" hidden="false" customHeight="false" outlineLevel="0" collapsed="false">
      <c r="A47" s="38" t="n">
        <v>3000</v>
      </c>
      <c r="B47" s="39" t="n">
        <v>2</v>
      </c>
      <c r="C47" s="40" t="s">
        <v>204</v>
      </c>
      <c r="D47" s="11" t="s">
        <v>239</v>
      </c>
      <c r="E47" s="41" t="s">
        <v>205</v>
      </c>
      <c r="F47" s="42" t="s">
        <v>170</v>
      </c>
      <c r="G47" s="11"/>
      <c r="H47" s="11"/>
      <c r="I47" s="11"/>
      <c r="J47" s="11"/>
    </row>
    <row r="48" customFormat="false" ht="15" hidden="true" customHeight="false" outlineLevel="1" collapsed="false">
      <c r="A48" s="14" t="s">
        <v>240</v>
      </c>
      <c r="B48" s="15" t="s">
        <v>214</v>
      </c>
      <c r="C48" s="43" t="s">
        <v>205</v>
      </c>
      <c r="D48" s="43" t="s">
        <v>208</v>
      </c>
      <c r="E48" s="32"/>
      <c r="F48" s="32"/>
      <c r="G48" s="46" t="s">
        <v>241</v>
      </c>
      <c r="H48" s="46"/>
      <c r="I48" s="46"/>
      <c r="J48" s="46"/>
    </row>
    <row r="49" customFormat="false" ht="15" hidden="true" customHeight="false" outlineLevel="1" collapsed="false">
      <c r="A49" s="14" t="s">
        <v>227</v>
      </c>
      <c r="B49" s="15" t="s">
        <v>214</v>
      </c>
      <c r="C49" s="43" t="s">
        <v>205</v>
      </c>
      <c r="D49" s="43" t="s">
        <v>215</v>
      </c>
      <c r="E49" s="32"/>
      <c r="F49" s="32"/>
      <c r="G49" s="44"/>
      <c r="H49" s="44"/>
      <c r="I49" s="44"/>
      <c r="J49" s="44"/>
    </row>
    <row r="50" customFormat="false" ht="15" hidden="false" customHeight="false" outlineLevel="0" collapsed="false">
      <c r="A50" s="38" t="n">
        <v>3100</v>
      </c>
      <c r="B50" s="39" t="n">
        <v>1</v>
      </c>
      <c r="C50" s="11" t="s">
        <v>170</v>
      </c>
      <c r="D50" s="11" t="s">
        <v>212</v>
      </c>
      <c r="E50" s="41" t="s">
        <v>220</v>
      </c>
      <c r="F50" s="42" t="s">
        <v>212</v>
      </c>
      <c r="G50" s="11"/>
      <c r="H50" s="11"/>
      <c r="I50" s="11"/>
      <c r="J50" s="11"/>
    </row>
    <row r="51" customFormat="false" ht="15" hidden="true" customHeight="false" outlineLevel="1" collapsed="false">
      <c r="A51" s="14" t="s">
        <v>242</v>
      </c>
      <c r="B51" s="15" t="s">
        <v>222</v>
      </c>
      <c r="C51" s="43" t="s">
        <v>208</v>
      </c>
      <c r="D51" s="43" t="s">
        <v>215</v>
      </c>
      <c r="E51" s="32"/>
      <c r="F51" s="32"/>
      <c r="G51" s="46" t="s">
        <v>243</v>
      </c>
      <c r="H51" s="46"/>
      <c r="I51" s="46"/>
      <c r="J51" s="46"/>
    </row>
    <row r="52" customFormat="false" ht="15" hidden="false" customHeight="false" outlineLevel="0" collapsed="false">
      <c r="A52" s="38" t="n">
        <v>3500</v>
      </c>
      <c r="B52" s="39" t="n">
        <v>4</v>
      </c>
      <c r="C52" s="11" t="s">
        <v>244</v>
      </c>
      <c r="D52" s="11" t="s">
        <v>245</v>
      </c>
      <c r="E52" s="45" t="s">
        <v>211</v>
      </c>
      <c r="F52" s="42" t="s">
        <v>170</v>
      </c>
      <c r="G52" s="11"/>
      <c r="H52" s="11"/>
      <c r="I52" s="11"/>
      <c r="J52" s="11"/>
    </row>
    <row r="53" customFormat="false" ht="15" hidden="true" customHeight="false" outlineLevel="1" collapsed="false">
      <c r="A53" s="14" t="s">
        <v>246</v>
      </c>
      <c r="B53" s="15" t="s">
        <v>214</v>
      </c>
      <c r="C53" s="43" t="s">
        <v>205</v>
      </c>
      <c r="D53" s="43" t="s">
        <v>208</v>
      </c>
      <c r="E53" s="32"/>
      <c r="F53" s="32"/>
      <c r="G53" s="44"/>
      <c r="H53" s="44"/>
      <c r="I53" s="44"/>
      <c r="J53" s="44"/>
    </row>
    <row r="54" customFormat="false" ht="15" hidden="true" customHeight="false" outlineLevel="1" collapsed="false">
      <c r="A54" s="14" t="s">
        <v>247</v>
      </c>
      <c r="B54" s="15" t="s">
        <v>248</v>
      </c>
      <c r="C54" s="43" t="s">
        <v>205</v>
      </c>
      <c r="D54" s="43" t="s">
        <v>208</v>
      </c>
      <c r="E54" s="32"/>
      <c r="F54" s="32"/>
      <c r="G54" s="44"/>
      <c r="H54" s="44"/>
      <c r="I54" s="44"/>
      <c r="J54" s="44"/>
    </row>
    <row r="55" customFormat="false" ht="15" hidden="true" customHeight="false" outlineLevel="1" collapsed="false">
      <c r="A55" s="14" t="s">
        <v>249</v>
      </c>
      <c r="B55" s="15" t="s">
        <v>214</v>
      </c>
      <c r="C55" s="43" t="s">
        <v>228</v>
      </c>
      <c r="D55" s="43" t="s">
        <v>208</v>
      </c>
      <c r="E55" s="32"/>
      <c r="F55" s="32"/>
      <c r="G55" s="46" t="s">
        <v>243</v>
      </c>
      <c r="H55" s="46"/>
      <c r="I55" s="46"/>
      <c r="J55" s="46"/>
    </row>
    <row r="56" customFormat="false" ht="15" hidden="true" customHeight="false" outlineLevel="1" collapsed="false">
      <c r="A56" s="14" t="s">
        <v>217</v>
      </c>
      <c r="B56" s="15" t="s">
        <v>207</v>
      </c>
      <c r="C56" s="43" t="s">
        <v>218</v>
      </c>
      <c r="D56" s="43" t="s">
        <v>215</v>
      </c>
      <c r="E56" s="32"/>
      <c r="F56" s="32"/>
      <c r="G56" s="46" t="s">
        <v>250</v>
      </c>
      <c r="H56" s="46"/>
      <c r="I56" s="46"/>
      <c r="J56" s="46"/>
    </row>
    <row r="57" customFormat="false" ht="15" hidden="false" customHeight="false" outlineLevel="0" collapsed="false">
      <c r="A57" s="38" t="n">
        <v>4000</v>
      </c>
      <c r="B57" s="39" t="n">
        <v>1</v>
      </c>
      <c r="C57" s="11" t="s">
        <v>163</v>
      </c>
      <c r="D57" s="11" t="s">
        <v>170</v>
      </c>
      <c r="E57" s="45" t="s">
        <v>211</v>
      </c>
      <c r="F57" s="42" t="s">
        <v>170</v>
      </c>
      <c r="G57" s="11"/>
      <c r="H57" s="11"/>
      <c r="I57" s="11"/>
      <c r="J57" s="11"/>
    </row>
    <row r="58" customFormat="false" ht="15" hidden="true" customHeight="false" outlineLevel="1" collapsed="false">
      <c r="A58" s="14" t="s">
        <v>229</v>
      </c>
      <c r="B58" s="15" t="s">
        <v>214</v>
      </c>
      <c r="C58" s="43" t="s">
        <v>218</v>
      </c>
      <c r="D58" s="43" t="s">
        <v>208</v>
      </c>
      <c r="E58" s="32"/>
      <c r="F58" s="32"/>
      <c r="G58" s="44"/>
      <c r="H58" s="44"/>
      <c r="I58" s="44"/>
      <c r="J58" s="44"/>
    </row>
    <row r="59" customFormat="false" ht="15" hidden="false" customHeight="false" outlineLevel="0" collapsed="false">
      <c r="A59" s="38" t="n">
        <v>5000</v>
      </c>
      <c r="B59" s="39" t="n">
        <v>1</v>
      </c>
      <c r="C59" s="40" t="s">
        <v>204</v>
      </c>
      <c r="D59" s="11" t="s">
        <v>170</v>
      </c>
      <c r="E59" s="41" t="s">
        <v>205</v>
      </c>
      <c r="F59" s="42" t="s">
        <v>170</v>
      </c>
      <c r="G59" s="11"/>
      <c r="H59" s="11"/>
      <c r="I59" s="11"/>
      <c r="J59" s="11"/>
    </row>
    <row r="60" customFormat="false" ht="15" hidden="true" customHeight="false" outlineLevel="1" collapsed="false">
      <c r="A60" s="14" t="s">
        <v>226</v>
      </c>
      <c r="B60" s="15" t="s">
        <v>222</v>
      </c>
      <c r="C60" s="43" t="s">
        <v>205</v>
      </c>
      <c r="D60" s="43" t="s">
        <v>208</v>
      </c>
      <c r="E60" s="32"/>
      <c r="F60" s="32"/>
      <c r="G60" s="44"/>
      <c r="H60" s="44"/>
      <c r="I60" s="44"/>
      <c r="J60" s="44"/>
    </row>
    <row r="61" customFormat="false" ht="15" hidden="false" customHeight="false" outlineLevel="0" collapsed="false">
      <c r="A61" s="38" t="n">
        <v>5500</v>
      </c>
      <c r="B61" s="39" t="n">
        <v>2</v>
      </c>
      <c r="C61" s="40" t="s">
        <v>204</v>
      </c>
      <c r="D61" s="11" t="s">
        <v>251</v>
      </c>
      <c r="E61" s="41" t="s">
        <v>205</v>
      </c>
      <c r="F61" s="42" t="s">
        <v>170</v>
      </c>
      <c r="G61" s="11"/>
      <c r="H61" s="11"/>
      <c r="I61" s="11"/>
      <c r="J61" s="11"/>
    </row>
    <row r="62" customFormat="false" ht="15" hidden="true" customHeight="false" outlineLevel="1" collapsed="false">
      <c r="A62" s="14" t="s">
        <v>252</v>
      </c>
      <c r="B62" s="15" t="s">
        <v>214</v>
      </c>
      <c r="C62" s="43" t="s">
        <v>205</v>
      </c>
      <c r="D62" s="43" t="s">
        <v>208</v>
      </c>
      <c r="E62" s="32"/>
      <c r="F62" s="32"/>
      <c r="G62" s="44"/>
      <c r="H62" s="44"/>
      <c r="I62" s="44"/>
      <c r="J62" s="44"/>
    </row>
    <row r="63" customFormat="false" ht="15" hidden="true" customHeight="false" outlineLevel="1" collapsed="false">
      <c r="A63" s="14" t="s">
        <v>253</v>
      </c>
      <c r="B63" s="15" t="s">
        <v>214</v>
      </c>
      <c r="C63" s="43" t="s">
        <v>205</v>
      </c>
      <c r="D63" s="43" t="s">
        <v>208</v>
      </c>
      <c r="E63" s="32"/>
      <c r="F63" s="32"/>
      <c r="G63" s="44"/>
      <c r="H63" s="44"/>
      <c r="I63" s="44"/>
      <c r="J63" s="44"/>
    </row>
    <row r="64" customFormat="false" ht="15" hidden="false" customHeight="false" outlineLevel="0" collapsed="false">
      <c r="A64" s="38" t="n">
        <v>6000</v>
      </c>
      <c r="B64" s="39" t="n">
        <v>1</v>
      </c>
      <c r="C64" s="40" t="s">
        <v>204</v>
      </c>
      <c r="D64" s="11" t="s">
        <v>170</v>
      </c>
      <c r="E64" s="41" t="s">
        <v>205</v>
      </c>
      <c r="F64" s="42" t="s">
        <v>170</v>
      </c>
      <c r="G64" s="11"/>
      <c r="H64" s="11"/>
      <c r="I64" s="11"/>
      <c r="J64" s="11"/>
    </row>
    <row r="65" customFormat="false" ht="15" hidden="true" customHeight="false" outlineLevel="1" collapsed="false">
      <c r="A65" s="14" t="s">
        <v>254</v>
      </c>
      <c r="B65" s="15" t="s">
        <v>214</v>
      </c>
      <c r="C65" s="43" t="s">
        <v>205</v>
      </c>
      <c r="D65" s="43" t="s">
        <v>208</v>
      </c>
      <c r="E65" s="32"/>
      <c r="F65" s="32"/>
      <c r="G65" s="44"/>
      <c r="H65" s="44"/>
      <c r="I65" s="44"/>
      <c r="J65" s="44"/>
    </row>
    <row r="67" customFormat="false" ht="15" hidden="false" customHeight="false" outlineLevel="0" collapsed="false">
      <c r="A67" s="23" t="s">
        <v>255</v>
      </c>
      <c r="B67" s="24"/>
      <c r="C67" s="24"/>
      <c r="D67" s="24"/>
      <c r="E67" s="24"/>
      <c r="F67" s="24"/>
      <c r="G67" s="24"/>
      <c r="H67" s="24"/>
      <c r="I67" s="24"/>
      <c r="J67" s="24"/>
    </row>
    <row r="68" customFormat="false" ht="30" hidden="false" customHeight="true" outlineLevel="0" collapsed="false">
      <c r="A68" s="3" t="s">
        <v>197</v>
      </c>
      <c r="B68" s="3" t="s">
        <v>198</v>
      </c>
      <c r="C68" s="3" t="s">
        <v>199</v>
      </c>
      <c r="D68" s="3" t="s">
        <v>200</v>
      </c>
      <c r="E68" s="3" t="s">
        <v>201</v>
      </c>
      <c r="F68" s="3" t="s">
        <v>202</v>
      </c>
      <c r="G68" s="3"/>
      <c r="H68" s="3"/>
      <c r="I68" s="3"/>
      <c r="J68" s="3" t="s">
        <v>203</v>
      </c>
    </row>
    <row r="69" customFormat="false" ht="15" hidden="false" customHeight="false" outlineLevel="0" collapsed="false">
      <c r="A69" s="38" t="n">
        <v>2000</v>
      </c>
      <c r="B69" s="39" t="n">
        <v>2</v>
      </c>
      <c r="C69" s="40" t="s">
        <v>204</v>
      </c>
      <c r="D69" s="11" t="s">
        <v>256</v>
      </c>
      <c r="E69" s="41" t="s">
        <v>205</v>
      </c>
      <c r="F69" s="42" t="s">
        <v>205</v>
      </c>
      <c r="G69" s="11"/>
      <c r="H69" s="11"/>
      <c r="I69" s="11"/>
      <c r="J69" s="11"/>
    </row>
    <row r="70" customFormat="false" ht="15" hidden="true" customHeight="false" outlineLevel="1" collapsed="false">
      <c r="A70" s="14" t="s">
        <v>227</v>
      </c>
      <c r="B70" s="15" t="s">
        <v>214</v>
      </c>
      <c r="C70" s="43" t="s">
        <v>205</v>
      </c>
      <c r="D70" s="43" t="s">
        <v>233</v>
      </c>
      <c r="E70" s="32"/>
      <c r="F70" s="32"/>
      <c r="G70" s="44"/>
      <c r="H70" s="44"/>
      <c r="I70" s="44"/>
      <c r="J70" s="44"/>
    </row>
    <row r="71" customFormat="false" ht="15" hidden="true" customHeight="false" outlineLevel="1" collapsed="false">
      <c r="A71" s="14" t="s">
        <v>229</v>
      </c>
      <c r="B71" s="15" t="s">
        <v>214</v>
      </c>
      <c r="C71" s="43" t="s">
        <v>205</v>
      </c>
      <c r="D71" s="43" t="s">
        <v>233</v>
      </c>
      <c r="E71" s="32"/>
      <c r="F71" s="32"/>
      <c r="G71" s="44"/>
      <c r="H71" s="44"/>
      <c r="I71" s="44"/>
      <c r="J71" s="44"/>
    </row>
    <row r="72" customFormat="false" ht="15" hidden="false" customHeight="false" outlineLevel="0" collapsed="false">
      <c r="A72" s="38" t="n">
        <v>2500</v>
      </c>
      <c r="B72" s="39" t="n">
        <v>1</v>
      </c>
      <c r="C72" s="11" t="s">
        <v>170</v>
      </c>
      <c r="D72" s="11" t="s">
        <v>163</v>
      </c>
      <c r="E72" s="41" t="s">
        <v>220</v>
      </c>
      <c r="F72" s="42" t="s">
        <v>163</v>
      </c>
      <c r="G72" s="11"/>
      <c r="H72" s="11"/>
      <c r="I72" s="11"/>
      <c r="J72" s="11"/>
    </row>
    <row r="73" customFormat="false" ht="15" hidden="true" customHeight="false" outlineLevel="1" collapsed="false">
      <c r="A73" s="14" t="s">
        <v>257</v>
      </c>
      <c r="B73" s="15" t="s">
        <v>214</v>
      </c>
      <c r="C73" s="43" t="s">
        <v>208</v>
      </c>
      <c r="D73" s="43" t="s">
        <v>218</v>
      </c>
      <c r="E73" s="32"/>
      <c r="F73" s="32"/>
      <c r="G73" s="44"/>
      <c r="H73" s="44"/>
      <c r="I73" s="44"/>
      <c r="J73" s="44"/>
    </row>
    <row r="74" customFormat="false" ht="15" hidden="false" customHeight="false" outlineLevel="0" collapsed="false">
      <c r="A74" s="38" t="n">
        <v>2800</v>
      </c>
      <c r="B74" s="39" t="n">
        <v>1</v>
      </c>
      <c r="C74" s="11" t="s">
        <v>170</v>
      </c>
      <c r="D74" s="11" t="s">
        <v>258</v>
      </c>
      <c r="E74" s="41" t="s">
        <v>220</v>
      </c>
      <c r="F74" s="42" t="s">
        <v>258</v>
      </c>
      <c r="G74" s="11"/>
      <c r="H74" s="11"/>
      <c r="I74" s="11"/>
      <c r="J74" s="11"/>
    </row>
    <row r="75" customFormat="false" ht="15" hidden="true" customHeight="false" outlineLevel="1" collapsed="false">
      <c r="A75" s="14" t="s">
        <v>259</v>
      </c>
      <c r="B75" s="15" t="s">
        <v>222</v>
      </c>
      <c r="C75" s="43" t="s">
        <v>208</v>
      </c>
      <c r="D75" s="43" t="s">
        <v>260</v>
      </c>
      <c r="E75" s="32"/>
      <c r="F75" s="32"/>
      <c r="G75" s="46" t="s">
        <v>261</v>
      </c>
      <c r="H75" s="46"/>
      <c r="I75" s="46"/>
      <c r="J75" s="46"/>
    </row>
    <row r="76" customFormat="false" ht="15" hidden="false" customHeight="false" outlineLevel="0" collapsed="false">
      <c r="A76" s="38" t="n">
        <v>3100</v>
      </c>
      <c r="B76" s="39" t="n">
        <v>1</v>
      </c>
      <c r="C76" s="11" t="s">
        <v>262</v>
      </c>
      <c r="D76" s="11" t="s">
        <v>212</v>
      </c>
      <c r="E76" s="41" t="s">
        <v>263</v>
      </c>
      <c r="F76" s="42" t="s">
        <v>212</v>
      </c>
      <c r="G76" s="11"/>
      <c r="H76" s="11"/>
      <c r="I76" s="11"/>
      <c r="J76" s="11"/>
    </row>
    <row r="77" customFormat="false" ht="15" hidden="true" customHeight="false" outlineLevel="1" collapsed="false">
      <c r="A77" s="14" t="s">
        <v>264</v>
      </c>
      <c r="B77" s="15" t="s">
        <v>222</v>
      </c>
      <c r="C77" s="43" t="s">
        <v>228</v>
      </c>
      <c r="D77" s="43" t="s">
        <v>215</v>
      </c>
      <c r="E77" s="32"/>
      <c r="F77" s="32"/>
      <c r="G77" s="46" t="s">
        <v>265</v>
      </c>
      <c r="H77" s="46"/>
      <c r="I77" s="46"/>
      <c r="J77" s="46"/>
    </row>
    <row r="78" customFormat="false" ht="15" hidden="false" customHeight="false" outlineLevel="0" collapsed="false">
      <c r="A78" s="38" t="n">
        <v>3500</v>
      </c>
      <c r="B78" s="39" t="n">
        <v>2</v>
      </c>
      <c r="C78" s="11" t="s">
        <v>251</v>
      </c>
      <c r="D78" s="11" t="s">
        <v>251</v>
      </c>
      <c r="E78" s="41" t="s">
        <v>220</v>
      </c>
      <c r="F78" s="42" t="s">
        <v>170</v>
      </c>
      <c r="G78" s="11"/>
      <c r="H78" s="11"/>
      <c r="I78" s="11"/>
      <c r="J78" s="11"/>
    </row>
    <row r="79" customFormat="false" ht="15" hidden="true" customHeight="false" outlineLevel="1" collapsed="false">
      <c r="A79" s="14" t="s">
        <v>249</v>
      </c>
      <c r="B79" s="15" t="s">
        <v>214</v>
      </c>
      <c r="C79" s="43" t="s">
        <v>208</v>
      </c>
      <c r="D79" s="43" t="s">
        <v>208</v>
      </c>
      <c r="E79" s="32"/>
      <c r="F79" s="32"/>
      <c r="G79" s="46" t="s">
        <v>266</v>
      </c>
      <c r="H79" s="46"/>
      <c r="I79" s="46"/>
      <c r="J79" s="46"/>
    </row>
    <row r="80" customFormat="false" ht="15" hidden="true" customHeight="false" outlineLevel="1" collapsed="false">
      <c r="A80" s="14" t="s">
        <v>217</v>
      </c>
      <c r="B80" s="15" t="s">
        <v>207</v>
      </c>
      <c r="C80" s="43" t="s">
        <v>208</v>
      </c>
      <c r="D80" s="43" t="s">
        <v>208</v>
      </c>
      <c r="E80" s="32"/>
      <c r="F80" s="32"/>
      <c r="G80" s="46" t="s">
        <v>267</v>
      </c>
      <c r="H80" s="46"/>
      <c r="I80" s="46"/>
      <c r="J80" s="46"/>
    </row>
    <row r="81" customFormat="false" ht="15" hidden="false" customHeight="false" outlineLevel="0" collapsed="false">
      <c r="A81" s="38" t="n">
        <v>3700</v>
      </c>
      <c r="B81" s="39" t="n">
        <v>1</v>
      </c>
      <c r="C81" s="11" t="s">
        <v>262</v>
      </c>
      <c r="D81" s="11" t="s">
        <v>170</v>
      </c>
      <c r="E81" s="41" t="s">
        <v>263</v>
      </c>
      <c r="F81" s="42" t="s">
        <v>170</v>
      </c>
      <c r="G81" s="11"/>
      <c r="H81" s="11"/>
      <c r="I81" s="11"/>
      <c r="J81" s="11"/>
    </row>
    <row r="82" customFormat="false" ht="15" hidden="true" customHeight="false" outlineLevel="1" collapsed="false">
      <c r="A82" s="14" t="s">
        <v>268</v>
      </c>
      <c r="B82" s="15" t="s">
        <v>214</v>
      </c>
      <c r="C82" s="43" t="s">
        <v>228</v>
      </c>
      <c r="D82" s="43" t="s">
        <v>208</v>
      </c>
      <c r="E82" s="32"/>
      <c r="F82" s="32"/>
      <c r="G82" s="46" t="s">
        <v>265</v>
      </c>
      <c r="H82" s="46"/>
      <c r="I82" s="46"/>
      <c r="J82" s="46"/>
    </row>
    <row r="83" customFormat="false" ht="15" hidden="false" customHeight="false" outlineLevel="0" collapsed="false">
      <c r="A83" s="38" t="n">
        <v>3900</v>
      </c>
      <c r="B83" s="39" t="n">
        <v>1</v>
      </c>
      <c r="C83" s="11" t="s">
        <v>170</v>
      </c>
      <c r="D83" s="11" t="s">
        <v>170</v>
      </c>
      <c r="E83" s="41" t="s">
        <v>220</v>
      </c>
      <c r="F83" s="42" t="s">
        <v>170</v>
      </c>
      <c r="G83" s="11"/>
      <c r="H83" s="11"/>
      <c r="I83" s="11"/>
      <c r="J83" s="11"/>
    </row>
    <row r="84" customFormat="false" ht="15" hidden="true" customHeight="false" outlineLevel="1" collapsed="false">
      <c r="A84" s="14" t="s">
        <v>269</v>
      </c>
      <c r="B84" s="15" t="s">
        <v>214</v>
      </c>
      <c r="C84" s="43" t="s">
        <v>208</v>
      </c>
      <c r="D84" s="43" t="s">
        <v>208</v>
      </c>
      <c r="E84" s="32"/>
      <c r="F84" s="32"/>
      <c r="G84" s="46" t="s">
        <v>267</v>
      </c>
      <c r="H84" s="46"/>
      <c r="I84" s="46"/>
      <c r="J84" s="46"/>
    </row>
    <row r="86" customFormat="false" ht="15" hidden="false" customHeight="false" outlineLevel="0" collapsed="false">
      <c r="A86" s="2" t="s">
        <v>270</v>
      </c>
    </row>
  </sheetData>
  <mergeCells count="33">
    <mergeCell ref="G24:J24"/>
    <mergeCell ref="G26:J26"/>
    <mergeCell ref="G27:J27"/>
    <mergeCell ref="G29:J29"/>
    <mergeCell ref="G31:J31"/>
    <mergeCell ref="G33:J33"/>
    <mergeCell ref="G34:J34"/>
    <mergeCell ref="G35:J35"/>
    <mergeCell ref="G40:J40"/>
    <mergeCell ref="G42:J42"/>
    <mergeCell ref="G44:J44"/>
    <mergeCell ref="G46:J46"/>
    <mergeCell ref="G48:J48"/>
    <mergeCell ref="G49:J49"/>
    <mergeCell ref="G51:J51"/>
    <mergeCell ref="G53:J53"/>
    <mergeCell ref="G54:J54"/>
    <mergeCell ref="G55:J55"/>
    <mergeCell ref="G56:J56"/>
    <mergeCell ref="G58:J58"/>
    <mergeCell ref="G60:J60"/>
    <mergeCell ref="G62:J62"/>
    <mergeCell ref="G63:J63"/>
    <mergeCell ref="G65:J65"/>
    <mergeCell ref="G70:J70"/>
    <mergeCell ref="G71:J71"/>
    <mergeCell ref="G73:J73"/>
    <mergeCell ref="G75:J75"/>
    <mergeCell ref="G77:J77"/>
    <mergeCell ref="G79:J79"/>
    <mergeCell ref="G80:J80"/>
    <mergeCell ref="G82:J82"/>
    <mergeCell ref="G84:J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2026-10-07T05:00:10Z</dcterms:created>
  <dc:creator>openpyxl</dc:creator>
  <dc:description/>
  <dc:language>en-US</dc:language>
  <cp:lastModifiedBy/>
  <dcterms:modified xsi:type="dcterms:W3CDTF">2026-10-07T05:00:11Z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