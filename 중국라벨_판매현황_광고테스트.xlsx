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매현황 (주별·월별)" sheetId="1" state="visible" r:id="rId3"/>
    <sheet name="광고 입찰가 테스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<sst xmlns="http://schemas.openxmlformats.org/spreadsheetml/2006/main" count="596" uniqueCount="338">
  <si>
    <r>
      <rPr>
        <b val="true"/>
        <sz val="15"/>
        <color rgb="FF1F2A44"/>
        <rFont val="WenQuanYi Zen Hei"/>
        <family val="2"/>
      </rPr>
      <t xml:space="preserve">중국라벨 판매현황 — 아트지 </t>
    </r>
    <r>
      <rPr>
        <b val="true"/>
        <sz val="15"/>
        <color rgb="FF1F2A44"/>
        <rFont val="맑은 고딕"/>
        <family val="0"/>
        <charset val="1"/>
      </rPr>
      <t xml:space="preserve">· </t>
    </r>
    <r>
      <rPr>
        <b val="true"/>
        <sz val="15"/>
        <color rgb="FF1F2A44"/>
        <rFont val="WenQuanYi Zen Hei"/>
        <family val="2"/>
      </rPr>
      <t xml:space="preserve">유포지 </t>
    </r>
    <r>
      <rPr>
        <b val="true"/>
        <sz val="15"/>
        <color rgb="FF1F2A44"/>
        <rFont val="맑은 고딕"/>
        <family val="0"/>
        <charset val="1"/>
      </rPr>
      <t xml:space="preserve">· </t>
    </r>
    <r>
      <rPr>
        <b val="true"/>
        <sz val="15"/>
        <color rgb="FF1F2A44"/>
        <rFont val="WenQuanYi Zen Hei"/>
        <family val="2"/>
      </rPr>
      <t xml:space="preserve">감열지</t>
    </r>
  </si>
  <si>
    <r>
      <rPr>
        <sz val="9"/>
        <color rgb="FF5A6270"/>
        <rFont val="WenQuanYi Zen Hei"/>
        <family val="2"/>
      </rPr>
      <t xml:space="preserve">오픈마켓 판매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판매현황 기록</t>
    </r>
    <r>
      <rPr>
        <sz val="9"/>
        <color rgb="FF5A6270"/>
        <rFont val="맑은 고딕"/>
        <family val="0"/>
        <charset val="1"/>
      </rPr>
      <t xml:space="preserve">) </t>
    </r>
    <r>
      <rPr>
        <sz val="9"/>
        <color rgb="FF5A6270"/>
        <rFont val="WenQuanYi Zen Hei"/>
        <family val="2"/>
      </rPr>
      <t xml:space="preserve">기준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건수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판매 기록 수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수량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왼쪽 </t>
    </r>
    <r>
      <rPr>
        <sz val="9"/>
        <color rgb="FF5A6270"/>
        <rFont val="맑은 고딕"/>
        <family val="0"/>
        <charset val="1"/>
      </rPr>
      <t xml:space="preserve">[+]</t>
    </r>
    <r>
      <rPr>
        <sz val="9"/>
        <color rgb="FF5A6270"/>
        <rFont val="WenQuanYi Zen Hei"/>
        <family val="2"/>
      </rPr>
      <t xml:space="preserve">를 누르면 펼쳐집니다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규격별 판매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월→주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주→판매 기록</t>
    </r>
    <r>
      <rPr>
        <sz val="9"/>
        <color rgb="FF5A6270"/>
        <rFont val="맑은 고딕"/>
        <family val="0"/>
        <charset val="1"/>
      </rPr>
      <t xml:space="preserve">) · </t>
    </r>
    <r>
      <rPr>
        <sz val="9"/>
        <color rgb="FF5A6270"/>
        <rFont val="WenQuanYi Zen Hei"/>
        <family val="2"/>
      </rPr>
      <t xml:space="preserve">주황 줄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입찰가 테스트 기간</t>
    </r>
    <r>
      <rPr>
        <sz val="9"/>
        <color rgb="FF5A6270"/>
        <rFont val="맑은 고딕"/>
        <family val="0"/>
        <charset val="1"/>
      </rPr>
      <t xml:space="preserve">(9/28~10/6)</t>
    </r>
  </si>
  <si>
    <t xml:space="preserve">재질</t>
  </si>
  <si>
    <t xml:space="preserve">규격 수</t>
  </si>
  <si>
    <r>
      <rPr>
        <b val="true"/>
        <sz val="10"/>
        <color rgb="FFFFFFFF"/>
        <rFont val="WenQuanYi Zen Hei"/>
        <family val="2"/>
      </rPr>
      <t xml:space="preserve">실재고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
10/7 </t>
    </r>
    <r>
      <rPr>
        <b val="true"/>
        <sz val="10"/>
        <color rgb="FFFFFFFF"/>
        <rFont val="WenQuanYi Zen Hei"/>
        <family val="2"/>
      </rPr>
      <t xml:space="preserve">기준</t>
    </r>
  </si>
  <si>
    <t xml:space="preserve">오픈마켓 판매
건수</t>
  </si>
  <si>
    <t xml:space="preserve">오픈마켓 판매
롤</t>
  </si>
  <si>
    <t xml:space="preserve">품절 규격</t>
  </si>
  <si>
    <r>
      <rPr>
        <b val="true"/>
        <sz val="10"/>
        <color rgb="FFFFFFFF"/>
        <rFont val="WenQuanYi Zen Hei"/>
        <family val="2"/>
      </rPr>
      <t xml:space="preserve">부족 규격
</t>
    </r>
    <r>
      <rPr>
        <b val="true"/>
        <sz val="10"/>
        <color rgb="FFFFFFFF"/>
        <rFont val="맑은 고딕"/>
        <family val="0"/>
        <charset val="1"/>
      </rPr>
      <t xml:space="preserve">(10</t>
    </r>
    <r>
      <rPr>
        <b val="true"/>
        <sz val="10"/>
        <color rgb="FFFFFFFF"/>
        <rFont val="WenQuanYi Zen Hei"/>
        <family val="2"/>
      </rPr>
      <t xml:space="preserve">롤 이하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</si>
  <si>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아트지</t>
  </si>
  <si>
    <t xml:space="preserve">유포지</t>
  </si>
  <si>
    <t xml:space="preserve">감열지</t>
  </si>
  <si>
    <t xml:space="preserve">합계</t>
  </si>
  <si>
    <r>
      <rPr>
        <sz val="9"/>
        <color rgb="FF5A6270"/>
        <rFont val="WenQuanYi Zen Hei"/>
        <family val="2"/>
      </rPr>
      <t xml:space="preserve">품절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맑은 고딕"/>
        <family val="0"/>
        <charset val="1"/>
      </rPr>
      <t xml:space="preserve">70*40,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50*30,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100*70,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100*100   ·   </t>
    </r>
    <r>
      <rPr>
        <sz val="9"/>
        <color rgb="FF5A6270"/>
        <rFont val="WenQuanYi Zen Hei"/>
        <family val="2"/>
      </rPr>
      <t xml:space="preserve">부족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맑은 고딕"/>
        <family val="0"/>
        <charset val="1"/>
      </rPr>
      <t xml:space="preserve">100*60 8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맑은 고딕"/>
        <family val="0"/>
        <charset val="1"/>
      </rPr>
      <t xml:space="preserve">100*70 2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60*40 2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100*80 8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100*150 2</t>
    </r>
    <r>
      <rPr>
        <sz val="9"/>
        <color rgb="FF5A6270"/>
        <rFont val="WenQuanYi Zen Hei"/>
        <family val="2"/>
      </rPr>
      <t xml:space="preserve">롤</t>
    </r>
  </si>
  <si>
    <r>
      <rPr>
        <b val="true"/>
        <sz val="12"/>
        <color rgb="FF1F2A44"/>
        <rFont val="WenQuanYi Zen Hei"/>
        <family val="2"/>
      </rPr>
      <t xml:space="preserve">판매처별 한눈에 보기 </t>
    </r>
    <r>
      <rPr>
        <b val="true"/>
        <sz val="12"/>
        <color rgb="FF1F2A44"/>
        <rFont val="맑은 고딕"/>
        <family val="0"/>
        <charset val="1"/>
      </rPr>
      <t xml:space="preserve">(5/25 ~ 10/6 </t>
    </r>
    <r>
      <rPr>
        <b val="true"/>
        <sz val="12"/>
        <color rgb="FF1F2A44"/>
        <rFont val="WenQuanYi Zen Hei"/>
        <family val="2"/>
      </rPr>
      <t xml:space="preserve">오픈마켓 판매 전체</t>
    </r>
    <r>
      <rPr>
        <b val="true"/>
        <sz val="12"/>
        <color rgb="FF1F2A44"/>
        <rFont val="맑은 고딕"/>
        <family val="0"/>
        <charset val="1"/>
      </rPr>
      <t xml:space="preserve">)</t>
    </r>
  </si>
  <si>
    <t xml:space="preserve">판매처</t>
  </si>
  <si>
    <t xml:space="preserve">아트지
건수</t>
  </si>
  <si>
    <t xml:space="preserve">아트지
롤</t>
  </si>
  <si>
    <t xml:space="preserve">유포지
건수</t>
  </si>
  <si>
    <t xml:space="preserve">유포지
롤</t>
  </si>
  <si>
    <t xml:space="preserve">감열지
건수</t>
  </si>
  <si>
    <t xml:space="preserve">감열지
롤</t>
  </si>
  <si>
    <t xml:space="preserve">합계
건수</t>
  </si>
  <si>
    <t xml:space="preserve">합계
롤</t>
  </si>
  <si>
    <t xml:space="preserve">롤 비중</t>
  </si>
  <si>
    <t xml:space="preserve">쿠팡</t>
  </si>
  <si>
    <t xml:space="preserve">지마켓</t>
  </si>
  <si>
    <r>
      <rPr>
        <b val="true"/>
        <sz val="10"/>
        <rFont val="맑은 고딕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번가</t>
    </r>
  </si>
  <si>
    <t xml:space="preserve">전문몰</t>
  </si>
  <si>
    <r>
      <rPr>
        <sz val="10"/>
        <color rgb="FF5A6270"/>
        <rFont val="맑은 고딕"/>
        <family val="0"/>
        <charset val="1"/>
      </rPr>
      <t xml:space="preserve">(</t>
    </r>
    <r>
      <rPr>
        <sz val="10"/>
        <color rgb="FF5A6270"/>
        <rFont val="WenQuanYi Zen Hei"/>
        <family val="2"/>
      </rPr>
      <t xml:space="preserve">우리 </t>
    </r>
    <r>
      <rPr>
        <sz val="10"/>
        <color rgb="FF5A6270"/>
        <rFont val="맑은 고딕"/>
        <family val="0"/>
        <charset val="1"/>
      </rPr>
      <t xml:space="preserve">· </t>
    </r>
    <r>
      <rPr>
        <sz val="10"/>
        <color rgb="FF5A6270"/>
        <rFont val="WenQuanYi Zen Hei"/>
        <family val="2"/>
      </rPr>
      <t xml:space="preserve">광고</t>
    </r>
    <r>
      <rPr>
        <sz val="10"/>
        <color rgb="FF5A6270"/>
        <rFont val="맑은 고딕"/>
        <family val="0"/>
        <charset val="1"/>
      </rPr>
      <t xml:space="preserve">)</t>
    </r>
  </si>
  <si>
    <t xml:space="preserve">코스모스몰</t>
  </si>
  <si>
    <r>
      <rPr>
        <b val="true"/>
        <sz val="12"/>
        <color rgb="FF1F2A44"/>
        <rFont val="WenQuanYi Zen Hei"/>
        <family val="2"/>
      </rPr>
      <t xml:space="preserve">규격별 판매 </t>
    </r>
    <r>
      <rPr>
        <b val="true"/>
        <sz val="12"/>
        <color rgb="FF1F2A44"/>
        <rFont val="맑은 고딕"/>
        <family val="0"/>
        <charset val="1"/>
      </rPr>
      <t xml:space="preserve">(</t>
    </r>
    <r>
      <rPr>
        <b val="true"/>
        <sz val="12"/>
        <color rgb="FF1F2A44"/>
        <rFont val="WenQuanYi Zen Hei"/>
        <family val="2"/>
      </rPr>
      <t xml:space="preserve">재질 왼쪽 </t>
    </r>
    <r>
      <rPr>
        <b val="true"/>
        <sz val="12"/>
        <color rgb="FF1F2A44"/>
        <rFont val="맑은 고딕"/>
        <family val="0"/>
        <charset val="1"/>
      </rPr>
      <t xml:space="preserve">[+]</t>
    </r>
    <r>
      <rPr>
        <b val="true"/>
        <sz val="12"/>
        <color rgb="FF1F2A44"/>
        <rFont val="WenQuanYi Zen Hei"/>
        <family val="2"/>
      </rPr>
      <t xml:space="preserve">를 누르면 규격별로 펼쳐집니다 </t>
    </r>
    <r>
      <rPr>
        <b val="true"/>
        <sz val="12"/>
        <color rgb="FF1F2A44"/>
        <rFont val="맑은 고딕"/>
        <family val="0"/>
        <charset val="1"/>
      </rPr>
      <t xml:space="preserve">· </t>
    </r>
    <r>
      <rPr>
        <b val="true"/>
        <sz val="12"/>
        <color rgb="FF1F2A44"/>
        <rFont val="WenQuanYi Zen Hei"/>
        <family val="2"/>
      </rPr>
      <t xml:space="preserve">많이 팔린 순</t>
    </r>
    <r>
      <rPr>
        <b val="true"/>
        <sz val="12"/>
        <color rgb="FF1F2A4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</si>
  <si>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재질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규격</t>
    </r>
  </si>
  <si>
    <r>
      <rPr>
        <b val="true"/>
        <sz val="10"/>
        <color rgb="FFFFFFFF"/>
        <rFont val="WenQuanYi Zen Hei"/>
        <family val="2"/>
      </rPr>
      <t xml:space="preserve">실재고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롤</t>
    </r>
    <r>
      <rPr>
        <b val="true"/>
        <sz val="10"/>
        <color rgb="FFFFFFFF"/>
        <rFont val="맑은 고딕"/>
        <family val="0"/>
        <charset val="1"/>
      </rPr>
      <t xml:space="preserve">)
10/7</t>
    </r>
  </si>
  <si>
    <t xml:space="preserve">판매
건수</t>
  </si>
  <si>
    <t xml:space="preserve">판매
롤</t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</si>
  <si>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
롤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</si>
  <si>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
롤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</si>
  <si>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
롤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</si>
  <si>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
롤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</si>
  <si>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
롤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</si>
  <si>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
롤</t>
    </r>
  </si>
  <si>
    <t xml:space="preserve">쿠팡
롤</t>
  </si>
  <si>
    <t xml:space="preserve">지마켓
롤</t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</si>
  <si>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번가
롤</t>
    </r>
  </si>
  <si>
    <t xml:space="preserve">전문몰
롤</t>
  </si>
  <si>
    <t xml:space="preserve">코스모스몰
롤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</si>
  <si>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
</t>
    </r>
    <r>
      <rPr>
        <b val="true"/>
        <sz val="10"/>
        <color rgb="FFFFFFFF"/>
        <rFont val="맑은 고딕"/>
        <family val="0"/>
        <charset val="1"/>
      </rPr>
      <t xml:space="preserve">9/9~10/6 </t>
    </r>
    <r>
      <rPr>
        <b val="true"/>
        <sz val="10"/>
        <color rgb="FFFFFFFF"/>
        <rFont val="WenQuanYi Zen Hei"/>
        <family val="2"/>
      </rPr>
      <t xml:space="preserve">롤</t>
    </r>
  </si>
  <si>
    <t xml:space="preserve">상태</t>
  </si>
  <si>
    <r>
      <rPr>
        <b val="true"/>
        <sz val="10"/>
        <rFont val="WenQuanYi Zen Hei"/>
        <family val="2"/>
      </rPr>
      <t xml:space="preserve">아트지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개 규격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</si>
  <si>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50*50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</si>
  <si>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40*20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</si>
  <si>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100*60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</si>
  <si>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100*100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</si>
  <si>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60*40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</si>
  <si>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80*60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</si>
  <si>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35*20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</si>
  <si>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50*30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</si>
  <si>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100*70</t>
    </r>
  </si>
  <si>
    <r>
      <rPr>
        <sz val="10"/>
        <rFont val="WenQuanYi Zen Hei"/>
        <family val="2"/>
      </rPr>
      <t xml:space="preserve">   아트지 </t>
    </r>
    <r>
      <rPr>
        <sz val="10"/>
        <rFont val="맑은 고딕"/>
        <family val="0"/>
        <charset val="1"/>
      </rPr>
      <t xml:space="preserve">70*40</t>
    </r>
  </si>
  <si>
    <r>
      <rPr>
        <b val="true"/>
        <sz val="10"/>
        <rFont val="WenQuanYi Zen Hei"/>
        <family val="2"/>
      </rPr>
      <t xml:space="preserve">유포지 </t>
    </r>
    <r>
      <rPr>
        <b val="true"/>
        <sz val="10"/>
        <rFont val="맑은 고딕"/>
        <family val="0"/>
        <charset val="1"/>
      </rPr>
      <t xml:space="preserve">(12</t>
    </r>
    <r>
      <rPr>
        <b val="true"/>
        <sz val="10"/>
        <rFont val="WenQuanYi Zen Hei"/>
        <family val="2"/>
      </rPr>
      <t xml:space="preserve">개 규격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</si>
  <si>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50*30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</si>
  <si>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100*80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</si>
  <si>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100*100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</si>
  <si>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30*15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</si>
  <si>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70*50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</si>
  <si>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60*40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</si>
  <si>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100*150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</si>
  <si>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100*90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</si>
  <si>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100*70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</si>
  <si>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100*35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</si>
  <si>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40*20</t>
    </r>
  </si>
  <si>
    <r>
      <rPr>
        <sz val="10"/>
        <rFont val="WenQuanYi Zen Hei"/>
        <family val="2"/>
      </rPr>
      <t xml:space="preserve">   유포지 </t>
    </r>
    <r>
      <rPr>
        <sz val="10"/>
        <rFont val="맑은 고딕"/>
        <family val="0"/>
        <charset val="1"/>
      </rPr>
      <t xml:space="preserve">70*60</t>
    </r>
  </si>
  <si>
    <r>
      <rPr>
        <b val="true"/>
        <sz val="10"/>
        <rFont val="WenQuanYi Zen Hei"/>
        <family val="2"/>
      </rPr>
      <t xml:space="preserve">감열지 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개 규격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</si>
  <si>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 감열지 </t>
    </r>
    <r>
      <rPr>
        <sz val="10"/>
        <rFont val="맑은 고딕"/>
        <family val="0"/>
        <charset val="1"/>
      </rPr>
      <t xml:space="preserve">100*100</t>
    </r>
  </si>
  <si>
    <r>
      <rPr>
        <sz val="10"/>
        <rFont val="WenQuanYi Zen Hei"/>
        <family val="2"/>
      </rPr>
      <t xml:space="preserve">   감열지 </t>
    </r>
    <r>
      <rPr>
        <sz val="10"/>
        <rFont val="맑은 고딕"/>
        <family val="0"/>
        <charset val="1"/>
      </rPr>
      <t xml:space="preserve">80*70</t>
    </r>
  </si>
  <si>
    <r>
      <rPr>
        <sz val="9"/>
        <color rgb="FF5A6270"/>
        <rFont val="WenQuanYi Zen Hei"/>
        <family val="2"/>
      </rPr>
      <t xml:space="preserve">판매 롤 </t>
    </r>
    <r>
      <rPr>
        <sz val="9"/>
        <color rgb="FF5A6270"/>
        <rFont val="맑은 고딕"/>
        <family val="0"/>
        <charset val="1"/>
      </rPr>
      <t xml:space="preserve">= 5~10</t>
    </r>
    <r>
      <rPr>
        <sz val="9"/>
        <color rgb="FF5A6270"/>
        <rFont val="WenQuanYi Zen Hei"/>
        <family val="2"/>
      </rPr>
      <t xml:space="preserve">월 합계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판매처별 롤을 더해도 같은 값입니다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상태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실재고 </t>
    </r>
    <r>
      <rPr>
        <sz val="9"/>
        <color rgb="FF5A6270"/>
        <rFont val="맑은 고딕"/>
        <family val="0"/>
        <charset val="1"/>
      </rPr>
      <t xml:space="preserve">0 = </t>
    </r>
    <r>
      <rPr>
        <sz val="9"/>
        <color rgb="FF5A6270"/>
        <rFont val="WenQuanYi Zen Hei"/>
        <family val="2"/>
      </rPr>
      <t xml:space="preserve">품절</t>
    </r>
    <r>
      <rPr>
        <sz val="9"/>
        <color rgb="FF5A6270"/>
        <rFont val="맑은 고딕"/>
        <family val="0"/>
        <charset val="1"/>
      </rPr>
      <t xml:space="preserve">, 10</t>
    </r>
    <r>
      <rPr>
        <sz val="9"/>
        <color rgb="FF5A6270"/>
        <rFont val="WenQuanYi Zen Hei"/>
        <family val="2"/>
      </rPr>
      <t xml:space="preserve">롤 이하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부족</t>
    </r>
    <r>
      <rPr>
        <sz val="9"/>
        <color rgb="FF5A6270"/>
        <rFont val="맑은 고딕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판매 기록 </t>
    </r>
    <r>
      <rPr>
        <sz val="9"/>
        <color rgb="FF5A6270"/>
        <rFont val="맑은 고딕"/>
        <family val="0"/>
        <charset val="1"/>
      </rPr>
      <t xml:space="preserve">0 = </t>
    </r>
    <r>
      <rPr>
        <sz val="9"/>
        <color rgb="FF5A6270"/>
        <rFont val="WenQuanYi Zen Hei"/>
        <family val="2"/>
      </rPr>
      <t xml:space="preserve">판매 없음</t>
    </r>
  </si>
  <si>
    <t xml:space="preserve">재질별</t>
  </si>
  <si>
    <r>
      <rPr>
        <b val="true"/>
        <sz val="10"/>
        <rFont val="WenQuanYi Zen Hei"/>
        <family val="2"/>
      </rPr>
      <t xml:space="preserve">판매처별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같은 판매를 판매처 기준으로 나눈 것</t>
    </r>
    <r>
      <rPr>
        <b val="true"/>
        <sz val="10"/>
        <rFont val="맑은 고딕"/>
        <family val="0"/>
        <charset val="1"/>
      </rPr>
      <t xml:space="preserve">)</t>
    </r>
  </si>
  <si>
    <t xml:space="preserve">기간</t>
  </si>
  <si>
    <r>
      <rPr>
        <b val="true"/>
        <sz val="10"/>
        <color rgb="FFFFFFFF"/>
        <rFont val="WenQuanYi Zen Hei"/>
        <family val="2"/>
      </rPr>
      <t xml:space="preserve">구분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판매 내용</t>
    </r>
  </si>
  <si>
    <t xml:space="preserve">쿠팡
건수</t>
  </si>
  <si>
    <t xml:space="preserve">지마켓
건수</t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</si>
  <si>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번가
건수</t>
    </r>
  </si>
  <si>
    <t xml:space="preserve">전문몰
건수</t>
  </si>
  <si>
    <t xml:space="preserve">코스모스몰
건수</t>
  </si>
  <si>
    <t xml:space="preserve">비고</t>
  </si>
  <si>
    <t xml:space="preserve">전체 합계</t>
  </si>
  <si>
    <t xml:space="preserve">5/25 ~ 10/6</t>
  </si>
  <si>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월 합계</t>
    </r>
  </si>
  <si>
    <r>
      <rPr>
        <sz val="10"/>
        <color rgb="FF5A6270"/>
        <rFont val="WenQuanYi Zen Hei"/>
        <family val="2"/>
      </rPr>
      <t xml:space="preserve">주 </t>
    </r>
    <r>
      <rPr>
        <sz val="10"/>
        <color rgb="FF5A6270"/>
        <rFont val="맑은 고딕"/>
        <family val="0"/>
        <charset val="1"/>
      </rPr>
      <t xml:space="preserve">1</t>
    </r>
    <r>
      <rPr>
        <sz val="10"/>
        <color rgb="FF5A6270"/>
        <rFont val="WenQuanYi Zen Hei"/>
        <family val="2"/>
      </rPr>
      <t xml:space="preserve">개</t>
    </r>
  </si>
  <si>
    <r>
      <rPr>
        <b val="true"/>
        <sz val="10"/>
        <rFont val="맑은 고딕"/>
        <family val="0"/>
        <charset val="1"/>
      </rPr>
      <t xml:space="preserve">  5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주</t>
    </r>
  </si>
  <si>
    <t xml:space="preserve">5/25 ~ 5/31</t>
  </si>
  <si>
    <t xml:space="preserve">      5/26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</si>
  <si>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50*30 · </t>
    </r>
    <r>
      <rPr>
        <sz val="10"/>
        <color rgb="FF5A6270"/>
        <rFont val="WenQuanYi Zen Hei"/>
        <family val="2"/>
      </rPr>
      <t xml:space="preserve">전문몰</t>
    </r>
  </si>
  <si>
    <r>
      <rPr>
        <sz val="10"/>
        <color rgb="FF5A6270"/>
        <rFont val="WenQuanYi Zen Hei"/>
        <family val="2"/>
      </rPr>
      <t xml:space="preserve">품절</t>
    </r>
    <r>
      <rPr>
        <sz val="10"/>
        <color rgb="FF5A6270"/>
        <rFont val="맑은 고딕"/>
        <family val="0"/>
        <charset val="1"/>
      </rPr>
      <t xml:space="preserve">/</t>
    </r>
    <r>
      <rPr>
        <sz val="10"/>
        <color rgb="FF5A6270"/>
        <rFont val="WenQuanYi Zen Hei"/>
        <family val="2"/>
      </rPr>
      <t xml:space="preserve">광고안함</t>
    </r>
  </si>
  <si>
    <t xml:space="preserve">      5/27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</si>
  <si>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50*50 · </t>
    </r>
    <r>
      <rPr>
        <sz val="10"/>
        <color rgb="FF5A6270"/>
        <rFont val="WenQuanYi Zen Hei"/>
        <family val="2"/>
      </rPr>
      <t xml:space="preserve">지마켓</t>
    </r>
  </si>
  <si>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월 합계</t>
    </r>
  </si>
  <si>
    <r>
      <rPr>
        <sz val="10"/>
        <color rgb="FF5A6270"/>
        <rFont val="WenQuanYi Zen Hei"/>
        <family val="2"/>
      </rPr>
      <t xml:space="preserve">주 </t>
    </r>
    <r>
      <rPr>
        <sz val="10"/>
        <color rgb="FF5A6270"/>
        <rFont val="맑은 고딕"/>
        <family val="0"/>
        <charset val="1"/>
      </rPr>
      <t xml:space="preserve">5</t>
    </r>
    <r>
      <rPr>
        <sz val="10"/>
        <color rgb="FF5A6270"/>
        <rFont val="WenQuanYi Zen Hei"/>
        <family val="2"/>
      </rPr>
      <t xml:space="preserve">개</t>
    </r>
  </si>
  <si>
    <r>
      <rPr>
        <b val="true"/>
        <sz val="10"/>
        <rFont val="맑은 고딕"/>
        <family val="0"/>
        <charset val="1"/>
      </rPr>
      <t xml:space="preserve">  6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</t>
    </r>
  </si>
  <si>
    <t xml:space="preserve">6/1 ~ 6/7</t>
  </si>
  <si>
    <r>
      <rPr>
        <b val="true"/>
        <sz val="10"/>
        <rFont val="맑은 고딕"/>
        <family val="0"/>
        <charset val="1"/>
      </rPr>
      <t xml:space="preserve">  6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</si>
  <si>
    <t xml:space="preserve">6/8 ~ 6/14</t>
  </si>
  <si>
    <t xml:space="preserve">      6/10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</si>
  <si>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30*15 · </t>
    </r>
    <r>
      <rPr>
        <sz val="10"/>
        <color rgb="FF5A6270"/>
        <rFont val="WenQuanYi Zen Hei"/>
        <family val="2"/>
      </rPr>
      <t xml:space="preserve">전문몰</t>
    </r>
  </si>
  <si>
    <t xml:space="preserve">왁스레진 함께 출고</t>
  </si>
  <si>
    <t xml:space="preserve">      6/11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</si>
  <si>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100*70 · </t>
    </r>
    <r>
      <rPr>
        <sz val="10"/>
        <color rgb="FF5A6270"/>
        <rFont val="WenQuanYi Zen Hei"/>
        <family val="2"/>
      </rPr>
      <t xml:space="preserve">전문몰</t>
    </r>
  </si>
  <si>
    <t xml:space="preserve">      6/12</t>
  </si>
  <si>
    <r>
      <rPr>
        <b val="true"/>
        <sz val="10"/>
        <rFont val="맑은 고딕"/>
        <family val="0"/>
        <charset val="1"/>
      </rPr>
      <t xml:space="preserve">  6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주</t>
    </r>
  </si>
  <si>
    <t xml:space="preserve">6/15 ~ 6/21</t>
  </si>
  <si>
    <t xml:space="preserve">      6/18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</si>
  <si>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100*100 · </t>
    </r>
    <r>
      <rPr>
        <sz val="10"/>
        <color rgb="FF5A6270"/>
        <rFont val="WenQuanYi Zen Hei"/>
        <family val="2"/>
      </rPr>
      <t xml:space="preserve">전문몰</t>
    </r>
  </si>
  <si>
    <r>
      <rPr>
        <sz val="10"/>
        <color rgb="FF5A6270"/>
        <rFont val="WenQuanYi Zen Hei"/>
        <family val="2"/>
      </rPr>
      <t xml:space="preserve">오픈몰</t>
    </r>
    <r>
      <rPr>
        <sz val="10"/>
        <color rgb="FF5A6270"/>
        <rFont val="맑은 고딕"/>
        <family val="0"/>
        <charset val="1"/>
      </rPr>
      <t xml:space="preserve">x</t>
    </r>
    <r>
      <rPr>
        <sz val="10"/>
        <color rgb="FF5A6270"/>
        <rFont val="WenQuanYi Zen Hei"/>
        <family val="2"/>
      </rPr>
      <t xml:space="preserve">재고 없어서</t>
    </r>
    <r>
      <rPr>
        <sz val="10"/>
        <color rgb="FF5A6270"/>
        <rFont val="맑은 고딕"/>
        <family val="0"/>
        <charset val="1"/>
      </rPr>
      <t xml:space="preserve">/</t>
    </r>
    <r>
      <rPr>
        <sz val="10"/>
        <color rgb="FF5A6270"/>
        <rFont val="WenQuanYi Zen Hei"/>
        <family val="2"/>
      </rPr>
      <t xml:space="preserve">퀵</t>
    </r>
  </si>
  <si>
    <r>
      <rPr>
        <b val="true"/>
        <sz val="10"/>
        <rFont val="맑은 고딕"/>
        <family val="0"/>
        <charset val="1"/>
      </rPr>
      <t xml:space="preserve">  6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</t>
    </r>
  </si>
  <si>
    <t xml:space="preserve">6/22 ~ 6/28</t>
  </si>
  <si>
    <t xml:space="preserve">      6/22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</si>
  <si>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60*40 · </t>
    </r>
    <r>
      <rPr>
        <sz val="10"/>
        <color rgb="FF5A6270"/>
        <rFont val="WenQuanYi Zen Hei"/>
        <family val="2"/>
      </rPr>
      <t xml:space="preserve">전문몰</t>
    </r>
  </si>
  <si>
    <t xml:space="preserve">레진과 함께 출고</t>
  </si>
  <si>
    <r>
      <rPr>
        <b val="true"/>
        <sz val="10"/>
        <rFont val="맑은 고딕"/>
        <family val="0"/>
        <charset val="1"/>
      </rPr>
      <t xml:space="preserve">  6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주</t>
    </r>
  </si>
  <si>
    <t xml:space="preserve">6/29 ~ 6/30</t>
  </si>
  <si>
    <t xml:space="preserve">      6/30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</si>
  <si>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100*150 · </t>
    </r>
    <r>
      <rPr>
        <sz val="10"/>
        <color rgb="FF5A6270"/>
        <rFont val="WenQuanYi Zen Hei"/>
        <family val="2"/>
      </rPr>
      <t xml:space="preserve">전문몰</t>
    </r>
  </si>
  <si>
    <r>
      <rPr>
        <b val="true"/>
        <sz val="10"/>
        <rFont val="맑은 고딕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월 합계</t>
    </r>
  </si>
  <si>
    <r>
      <rPr>
        <b val="true"/>
        <sz val="10"/>
        <rFont val="맑은 고딕"/>
        <family val="0"/>
        <charset val="1"/>
      </rPr>
      <t xml:space="preserve">  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</t>
    </r>
  </si>
  <si>
    <t xml:space="preserve">7/1 ~ 7/5</t>
  </si>
  <si>
    <r>
      <rPr>
        <b val="true"/>
        <sz val="10"/>
        <rFont val="맑은 고딕"/>
        <family val="0"/>
        <charset val="1"/>
      </rPr>
      <t xml:space="preserve">  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</si>
  <si>
    <t xml:space="preserve">7/6 ~ 7/12</t>
  </si>
  <si>
    <t xml:space="preserve">      7/8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</si>
  <si>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70*50 · </t>
    </r>
    <r>
      <rPr>
        <sz val="10"/>
        <color rgb="FF5A6270"/>
        <rFont val="WenQuanYi Zen Hei"/>
        <family val="2"/>
      </rPr>
      <t xml:space="preserve">쿠팡</t>
    </r>
  </si>
  <si>
    <r>
      <rPr>
        <b val="true"/>
        <sz val="10"/>
        <rFont val="맑은 고딕"/>
        <family val="0"/>
        <charset val="1"/>
      </rPr>
      <t xml:space="preserve">  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주</t>
    </r>
  </si>
  <si>
    <t xml:space="preserve">7/13 ~ 7/19</t>
  </si>
  <si>
    <r>
      <rPr>
        <b val="true"/>
        <sz val="10"/>
        <rFont val="맑은 고딕"/>
        <family val="0"/>
        <charset val="1"/>
      </rPr>
      <t xml:space="preserve">  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</t>
    </r>
  </si>
  <si>
    <t xml:space="preserve">7/20 ~ 7/26</t>
  </si>
  <si>
    <r>
      <rPr>
        <b val="true"/>
        <sz val="10"/>
        <rFont val="맑은 고딕"/>
        <family val="0"/>
        <charset val="1"/>
      </rPr>
      <t xml:space="preserve">  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주</t>
    </r>
  </si>
  <si>
    <t xml:space="preserve">7/27 ~ 7/31</t>
  </si>
  <si>
    <t xml:space="preserve">      7/31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</si>
  <si>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100*90 · </t>
    </r>
    <r>
      <rPr>
        <sz val="10"/>
        <color rgb="FF5A6270"/>
        <rFont val="WenQuanYi Zen Hei"/>
        <family val="2"/>
      </rPr>
      <t xml:space="preserve">쿠팡</t>
    </r>
  </si>
  <si>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합계</t>
    </r>
  </si>
  <si>
    <r>
      <rPr>
        <sz val="10"/>
        <color rgb="FF5A6270"/>
        <rFont val="WenQuanYi Zen Hei"/>
        <family val="2"/>
      </rPr>
      <t xml:space="preserve">주 </t>
    </r>
    <r>
      <rPr>
        <sz val="10"/>
        <color rgb="FF5A6270"/>
        <rFont val="맑은 고딕"/>
        <family val="0"/>
        <charset val="1"/>
      </rPr>
      <t xml:space="preserve">6</t>
    </r>
    <r>
      <rPr>
        <sz val="10"/>
        <color rgb="FF5A6270"/>
        <rFont val="WenQuanYi Zen Hei"/>
        <family val="2"/>
      </rPr>
      <t xml:space="preserve">개</t>
    </r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</si>
  <si>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</t>
    </r>
  </si>
  <si>
    <t xml:space="preserve">8/1 ~ 8/2</t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</si>
  <si>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</si>
  <si>
    <t xml:space="preserve">8/3 ~ 8/9</t>
  </si>
  <si>
    <t xml:space="preserve">      8/3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</si>
  <si>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60*40 · </t>
    </r>
    <r>
      <rPr>
        <sz val="10"/>
        <color rgb="FF5A6270"/>
        <rFont val="WenQuanYi Zen Hei"/>
        <family val="2"/>
      </rPr>
      <t xml:space="preserve">쿠팡</t>
    </r>
  </si>
  <si>
    <t xml:space="preserve">      8/4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</si>
  <si>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100*90 · </t>
    </r>
    <r>
      <rPr>
        <sz val="10"/>
        <color rgb="FF5A6270"/>
        <rFont val="WenQuanYi Zen Hei"/>
        <family val="2"/>
      </rPr>
      <t xml:space="preserve">전문몰</t>
    </r>
  </si>
  <si>
    <t xml:space="preserve">      8/7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</si>
  <si>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100*35 · </t>
    </r>
    <r>
      <rPr>
        <sz val="10"/>
        <color rgb="FF5A6270"/>
        <rFont val="WenQuanYi Zen Hei"/>
        <family val="2"/>
      </rPr>
      <t xml:space="preserve">전문몰</t>
    </r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</si>
  <si>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주</t>
    </r>
  </si>
  <si>
    <t xml:space="preserve">8/10 ~ 8/16</t>
  </si>
  <si>
    <t xml:space="preserve">      8/13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</si>
  <si>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100*100 · </t>
    </r>
    <r>
      <rPr>
        <sz val="10"/>
        <color rgb="FF5A6270"/>
        <rFont val="WenQuanYi Zen Hei"/>
        <family val="2"/>
      </rPr>
      <t xml:space="preserve">전문몰</t>
    </r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</si>
  <si>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</t>
    </r>
  </si>
  <si>
    <t xml:space="preserve">8/17 ~ 8/23</t>
  </si>
  <si>
    <t xml:space="preserve">      8/20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</si>
  <si>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100*60 · </t>
    </r>
    <r>
      <rPr>
        <sz val="10"/>
        <color rgb="FF5A6270"/>
        <rFont val="WenQuanYi Zen Hei"/>
        <family val="2"/>
      </rPr>
      <t xml:space="preserve">지마켓</t>
    </r>
  </si>
  <si>
    <t xml:space="preserve">      8/21</t>
  </si>
  <si>
    <r>
      <rPr>
        <sz val="10"/>
        <color rgb="FF5A6270"/>
        <rFont val="WenQuanYi Zen Hei"/>
        <family val="2"/>
      </rPr>
      <t xml:space="preserve">감열지 </t>
    </r>
    <r>
      <rPr>
        <sz val="10"/>
        <color rgb="FF5A6270"/>
        <rFont val="맑은 고딕"/>
        <family val="0"/>
        <charset val="1"/>
      </rPr>
      <t xml:space="preserve">100*100 · </t>
    </r>
    <r>
      <rPr>
        <sz val="10"/>
        <color rgb="FF5A6270"/>
        <rFont val="WenQuanYi Zen Hei"/>
        <family val="2"/>
      </rPr>
      <t xml:space="preserve">지마켓</t>
    </r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</si>
  <si>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주</t>
    </r>
  </si>
  <si>
    <t xml:space="preserve">8/24 ~ 8/30</t>
  </si>
  <si>
    <t xml:space="preserve">      8/24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</si>
  <si>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70*50 · </t>
    </r>
    <r>
      <rPr>
        <sz val="10"/>
        <color rgb="FF5A6270"/>
        <rFont val="WenQuanYi Zen Hei"/>
        <family val="2"/>
      </rPr>
      <t xml:space="preserve">전문몰</t>
    </r>
  </si>
  <si>
    <t xml:space="preserve">      8/26</t>
  </si>
  <si>
    <r>
      <rPr>
        <sz val="10"/>
        <color rgb="FF5A6270"/>
        <rFont val="WenQuanYi Zen Hei"/>
        <family val="2"/>
      </rPr>
      <t xml:space="preserve">전문몰 총 </t>
    </r>
    <r>
      <rPr>
        <sz val="10"/>
        <color rgb="FF5A6270"/>
        <rFont val="맑은 고딕"/>
        <family val="0"/>
        <charset val="1"/>
      </rPr>
      <t xml:space="preserve">99</t>
    </r>
    <r>
      <rPr>
        <sz val="10"/>
        <color rgb="FF5A6270"/>
        <rFont val="WenQuanYi Zen Hei"/>
        <family val="2"/>
      </rPr>
      <t xml:space="preserve">롤</t>
    </r>
  </si>
  <si>
    <t xml:space="preserve">      8/27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</si>
  <si>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100*80 · </t>
    </r>
    <r>
      <rPr>
        <sz val="10"/>
        <color rgb="FF5A6270"/>
        <rFont val="WenQuanYi Zen Hei"/>
        <family val="2"/>
      </rPr>
      <t xml:space="preserve">지마켓</t>
    </r>
  </si>
  <si>
    <r>
      <rPr>
        <sz val="10"/>
        <color rgb="FF5A6270"/>
        <rFont val="WenQuanYi Zen Hei"/>
        <family val="2"/>
      </rPr>
      <t xml:space="preserve">지마켓 총 </t>
    </r>
    <r>
      <rPr>
        <sz val="10"/>
        <color rgb="FF5A6270"/>
        <rFont val="맑은 고딕"/>
        <family val="0"/>
        <charset val="1"/>
      </rPr>
      <t xml:space="preserve">63</t>
    </r>
    <r>
      <rPr>
        <sz val="10"/>
        <color rgb="FF5A6270"/>
        <rFont val="WenQuanYi Zen Hei"/>
        <family val="2"/>
      </rPr>
      <t xml:space="preserve">롤</t>
    </r>
  </si>
  <si>
    <r>
      <rPr>
        <sz val="10"/>
        <color rgb="FF5A6270"/>
        <rFont val="WenQuanYi Zen Hei"/>
        <family val="2"/>
      </rPr>
      <t xml:space="preserve">감열지 </t>
    </r>
    <r>
      <rPr>
        <sz val="10"/>
        <color rgb="FF5A6270"/>
        <rFont val="맑은 고딕"/>
        <family val="0"/>
        <charset val="1"/>
      </rPr>
      <t xml:space="preserve">80*70 · </t>
    </r>
    <r>
      <rPr>
        <sz val="10"/>
        <color rgb="FF5A6270"/>
        <rFont val="WenQuanYi Zen Hei"/>
        <family val="2"/>
      </rPr>
      <t xml:space="preserve">쿠팡</t>
    </r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</si>
  <si>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30*15 · </t>
    </r>
    <r>
      <rPr>
        <sz val="10"/>
        <color rgb="FF5A6270"/>
        <rFont val="WenQuanYi Zen Hei"/>
        <family val="2"/>
      </rPr>
      <t xml:space="preserve">쿠팡</t>
    </r>
  </si>
  <si>
    <r>
      <rPr>
        <sz val="10"/>
        <color rgb="FF5A6270"/>
        <rFont val="WenQuanYi Zen Hei"/>
        <family val="2"/>
      </rPr>
      <t xml:space="preserve">쿠팡 총 </t>
    </r>
    <r>
      <rPr>
        <sz val="10"/>
        <color rgb="FF5A6270"/>
        <rFont val="맑은 고딕"/>
        <family val="0"/>
        <charset val="1"/>
      </rPr>
      <t xml:space="preserve">14</t>
    </r>
    <r>
      <rPr>
        <sz val="10"/>
        <color rgb="FF5A6270"/>
        <rFont val="WenQuanYi Zen Hei"/>
        <family val="2"/>
      </rPr>
      <t xml:space="preserve">롤</t>
    </r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</si>
  <si>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100*60 · </t>
    </r>
    <r>
      <rPr>
        <sz val="10"/>
        <color rgb="FF5A6270"/>
        <rFont val="WenQuanYi Zen Hei"/>
        <family val="2"/>
      </rPr>
      <t xml:space="preserve">쿠팡</t>
    </r>
  </si>
  <si>
    <r>
      <rPr>
        <b val="true"/>
        <sz val="10"/>
        <rFont val="맑은 고딕"/>
        <family val="0"/>
        <charset val="1"/>
      </rPr>
      <t xml:space="preserve">  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주</t>
    </r>
  </si>
  <si>
    <t xml:space="preserve">8/31 ~ 8/31</t>
  </si>
  <si>
    <r>
      <rPr>
        <b val="true"/>
        <sz val="10"/>
        <rFont val="맑은 고딕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월 합계</t>
    </r>
  </si>
  <si>
    <r>
      <rPr>
        <b val="true"/>
        <sz val="10"/>
        <rFont val="맑은 고딕"/>
        <family val="0"/>
        <charset val="1"/>
      </rPr>
      <t xml:space="preserve">  9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</t>
    </r>
  </si>
  <si>
    <t xml:space="preserve">9/1 ~ 9/6</t>
  </si>
  <si>
    <t xml:space="preserve">      9/2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</si>
  <si>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100*60 · </t>
    </r>
    <r>
      <rPr>
        <sz val="10"/>
        <color rgb="FF5A6270"/>
        <rFont val="WenQuanYi Zen Hei"/>
        <family val="2"/>
      </rPr>
      <t xml:space="preserve">전문몰</t>
    </r>
  </si>
  <si>
    <t xml:space="preserve">      9/3</t>
  </si>
  <si>
    <t xml:space="preserve">      9/4</t>
  </si>
  <si>
    <r>
      <rPr>
        <b val="true"/>
        <sz val="10"/>
        <rFont val="맑은 고딕"/>
        <family val="0"/>
        <charset val="1"/>
      </rPr>
      <t xml:space="preserve">  9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</si>
  <si>
    <t xml:space="preserve">9/7 ~ 9/13</t>
  </si>
  <si>
    <t xml:space="preserve">      9/7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</si>
  <si>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40*20 · </t>
    </r>
    <r>
      <rPr>
        <sz val="10"/>
        <color rgb="FF5A6270"/>
        <rFont val="WenQuanYi Zen Hei"/>
        <family val="2"/>
      </rPr>
      <t xml:space="preserve">전문몰</t>
    </r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</si>
  <si>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50*50 · </t>
    </r>
    <r>
      <rPr>
        <sz val="10"/>
        <color rgb="FF5A6270"/>
        <rFont val="WenQuanYi Zen Hei"/>
        <family val="2"/>
      </rPr>
      <t xml:space="preserve">쿠팡</t>
    </r>
  </si>
  <si>
    <t xml:space="preserve">      9/9</t>
  </si>
  <si>
    <t xml:space="preserve">      9/10</t>
  </si>
  <si>
    <r>
      <rPr>
        <sz val="10"/>
        <color rgb="FF5A6270"/>
        <rFont val="WenQuanYi Zen Hei"/>
        <family val="2"/>
      </rPr>
      <t xml:space="preserve">유포지 </t>
    </r>
    <r>
      <rPr>
        <sz val="10"/>
        <color rgb="FF5A6270"/>
        <rFont val="맑은 고딕"/>
        <family val="0"/>
        <charset val="1"/>
      </rPr>
      <t xml:space="preserve">100*70 · </t>
    </r>
    <r>
      <rPr>
        <sz val="10"/>
        <color rgb="FF5A6270"/>
        <rFont val="WenQuanYi Zen Hei"/>
        <family val="2"/>
      </rPr>
      <t xml:space="preserve">쿠팡</t>
    </r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</si>
  <si>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80*60 · </t>
    </r>
    <r>
      <rPr>
        <sz val="10"/>
        <color rgb="FF5A6270"/>
        <rFont val="WenQuanYi Zen Hei"/>
        <family val="2"/>
      </rPr>
      <t xml:space="preserve">전문몰</t>
    </r>
  </si>
  <si>
    <r>
      <rPr>
        <b val="true"/>
        <sz val="10"/>
        <rFont val="맑은 고딕"/>
        <family val="0"/>
        <charset val="1"/>
      </rPr>
      <t xml:space="preserve">  9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주</t>
    </r>
  </si>
  <si>
    <t xml:space="preserve">9/14 ~ 9/20</t>
  </si>
  <si>
    <t xml:space="preserve">      9/14</t>
  </si>
  <si>
    <r>
      <rPr>
        <b val="true"/>
        <sz val="10"/>
        <rFont val="맑은 고딕"/>
        <family val="0"/>
        <charset val="1"/>
      </rPr>
      <t xml:space="preserve">  9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</t>
    </r>
  </si>
  <si>
    <t xml:space="preserve">9/21 ~ 9/27</t>
  </si>
  <si>
    <t xml:space="preserve">      9/21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</si>
  <si>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60*40 · </t>
    </r>
    <r>
      <rPr>
        <sz val="10"/>
        <color rgb="FF5A6270"/>
        <rFont val="WenQuanYi Zen Hei"/>
        <family val="2"/>
      </rPr>
      <t xml:space="preserve">전문몰</t>
    </r>
  </si>
  <si>
    <r>
      <rPr>
        <b val="true"/>
        <sz val="10"/>
        <rFont val="맑은 고딕"/>
        <family val="0"/>
        <charset val="1"/>
      </rPr>
      <t xml:space="preserve">  9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주</t>
    </r>
  </si>
  <si>
    <t xml:space="preserve">9/28 ~ 9/30</t>
  </si>
  <si>
    <t xml:space="preserve">입찰가 테스트 기간</t>
  </si>
  <si>
    <t xml:space="preserve">      9/30</t>
  </si>
  <si>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월 합계</t>
    </r>
  </si>
  <si>
    <r>
      <rPr>
        <sz val="10"/>
        <color rgb="FF5A6270"/>
        <rFont val="WenQuanYi Zen Hei"/>
        <family val="2"/>
      </rPr>
      <t xml:space="preserve">주 </t>
    </r>
    <r>
      <rPr>
        <sz val="10"/>
        <color rgb="FF5A6270"/>
        <rFont val="맑은 고딕"/>
        <family val="0"/>
        <charset val="1"/>
      </rPr>
      <t xml:space="preserve">2</t>
    </r>
    <r>
      <rPr>
        <sz val="10"/>
        <color rgb="FF5A6270"/>
        <rFont val="WenQuanYi Zen Hei"/>
        <family val="2"/>
      </rPr>
      <t xml:space="preserve">개</t>
    </r>
  </si>
  <si>
    <r>
      <rPr>
        <b val="true"/>
        <sz val="10"/>
        <rFont val="맑은 고딕"/>
        <family val="0"/>
        <charset val="1"/>
      </rPr>
      <t xml:space="preserve">  10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</t>
    </r>
  </si>
  <si>
    <t xml:space="preserve">10/1 ~ 10/4</t>
  </si>
  <si>
    <t xml:space="preserve">      10/1</t>
  </si>
  <si>
    <r>
      <rPr>
        <sz val="10"/>
        <color rgb="FF5A6270"/>
        <rFont val="WenQuanYi Zen Hei"/>
        <family val="2"/>
      </rPr>
      <t xml:space="preserve">아트지 </t>
    </r>
    <r>
      <rPr>
        <sz val="10"/>
        <color rgb="FF5A6270"/>
        <rFont val="맑은 고딕"/>
        <family val="0"/>
        <charset val="1"/>
      </rPr>
      <t xml:space="preserve">40*20 · </t>
    </r>
    <r>
      <rPr>
        <sz val="10"/>
        <color rgb="FF5A6270"/>
        <rFont val="WenQuanYi Zen Hei"/>
        <family val="2"/>
      </rPr>
      <t xml:space="preserve">쿠팡</t>
    </r>
  </si>
  <si>
    <t xml:space="preserve">      10/2</t>
  </si>
  <si>
    <r>
      <rPr>
        <b val="true"/>
        <sz val="10"/>
        <rFont val="맑은 고딕"/>
        <family val="0"/>
        <charset val="1"/>
      </rPr>
      <t xml:space="preserve">  10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</si>
  <si>
    <t xml:space="preserve">10/5 ~ 10/11</t>
  </si>
  <si>
    <t xml:space="preserve">      10/6</t>
  </si>
  <si>
    <r>
      <rPr>
        <sz val="10"/>
        <color rgb="FF5A6270"/>
        <rFont val="WenQuanYi Zen Hei"/>
        <family val="2"/>
      </rPr>
      <t xml:space="preserve">감열지 </t>
    </r>
    <r>
      <rPr>
        <sz val="10"/>
        <color rgb="FF5A6270"/>
        <rFont val="맑은 고딕"/>
        <family val="0"/>
        <charset val="1"/>
      </rPr>
      <t xml:space="preserve">100*100 · </t>
    </r>
    <r>
      <rPr>
        <sz val="10"/>
        <color rgb="FF5A6270"/>
        <rFont val="WenQuanYi Zen Hei"/>
        <family val="2"/>
      </rPr>
      <t xml:space="preserve">코스모스몰</t>
    </r>
  </si>
  <si>
    <r>
      <rPr>
        <sz val="9"/>
        <color rgb="FF5A6270"/>
        <rFont val="WenQuanYi Zen Hei"/>
        <family val="2"/>
      </rPr>
      <t xml:space="preserve">숫자는 라벨 마스터 판매현황 시트에서 옮겨 적은 값입니다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파란 글씨</t>
    </r>
    <r>
      <rPr>
        <sz val="9"/>
        <color rgb="FF5A6270"/>
        <rFont val="맑은 고딕"/>
        <family val="0"/>
        <charset val="1"/>
      </rPr>
      <t xml:space="preserve">). 80*40</t>
    </r>
    <r>
      <rPr>
        <sz val="9"/>
        <color rgb="FF5A6270"/>
        <rFont val="WenQuanYi Zen Hei"/>
        <family val="2"/>
      </rPr>
      <t xml:space="preserve">은 중국라벨이 아니라 뺐습니다</t>
    </r>
    <r>
      <rPr>
        <sz val="9"/>
        <color rgb="FF5A6270"/>
        <rFont val="맑은 고딕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일반 판매</t>
    </r>
    <r>
      <rPr>
        <sz val="9"/>
        <color rgb="FF5A6270"/>
        <rFont val="맑은 고딕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오픈마켓 외</t>
    </r>
    <r>
      <rPr>
        <sz val="9"/>
        <color rgb="FF5A6270"/>
        <rFont val="맑은 고딕"/>
        <family val="0"/>
        <charset val="1"/>
      </rPr>
      <t xml:space="preserve">)</t>
    </r>
    <r>
      <rPr>
        <sz val="9"/>
        <color rgb="FF5A6270"/>
        <rFont val="WenQuanYi Zen Hei"/>
        <family val="2"/>
      </rPr>
      <t xml:space="preserve">는 기록이 없어 들어가지 않습니다</t>
    </r>
    <r>
      <rPr>
        <sz val="9"/>
        <color rgb="FF5A6270"/>
        <rFont val="맑은 고딕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재질별 합계와 판매처별 합계는 같은 판매를 다르게 나눈 것이라 항상 같습니다</t>
    </r>
    <r>
      <rPr>
        <sz val="9"/>
        <color rgb="FF5A6270"/>
        <rFont val="맑은 고딕"/>
        <family val="0"/>
        <charset val="1"/>
      </rPr>
      <t xml:space="preserve">.</t>
    </r>
  </si>
  <si>
    <r>
      <rPr>
        <b val="true"/>
        <sz val="15"/>
        <color rgb="FF1F2A44"/>
        <rFont val="WenQuanYi Zen Hei"/>
        <family val="2"/>
      </rPr>
      <t xml:space="preserve">쇼핑검색 광고 입찰가 테스트 </t>
    </r>
    <r>
      <rPr>
        <b val="true"/>
        <sz val="15"/>
        <color rgb="FF1F2A44"/>
        <rFont val="맑은 고딕"/>
        <family val="0"/>
        <charset val="1"/>
      </rPr>
      <t xml:space="preserve">(9/28 ~ 10/6)</t>
    </r>
  </si>
  <si>
    <r>
      <rPr>
        <sz val="9"/>
        <color rgb="FF5A6270"/>
        <rFont val="WenQuanYi Zen Hei"/>
        <family val="2"/>
      </rPr>
      <t xml:space="preserve">기존에 광고하던 상품으로 입찰가만 바꿔 가며 순위를 확인한 테스트입니다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우리 판매처 </t>
    </r>
    <r>
      <rPr>
        <sz val="9"/>
        <color rgb="FF5A6270"/>
        <rFont val="맑은 고딕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메인페이지 순위를 우선으로 봅니다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입찰가 왼쪽 </t>
    </r>
    <r>
      <rPr>
        <sz val="9"/>
        <color rgb="FF5A6270"/>
        <rFont val="맑은 고딕"/>
        <family val="0"/>
        <charset val="1"/>
      </rPr>
      <t xml:space="preserve">[+]</t>
    </r>
    <r>
      <rPr>
        <sz val="9"/>
        <color rgb="FF5A6270"/>
        <rFont val="WenQuanYi Zen Hei"/>
        <family val="2"/>
      </rPr>
      <t xml:space="preserve">를 누르면 조사한 시각별 기록이 펼쳐집니다</t>
    </r>
  </si>
  <si>
    <t xml:space="preserve">한눈에 보기</t>
  </si>
  <si>
    <t xml:space="preserve">키워드</t>
  </si>
  <si>
    <t xml:space="preserve">광고 상품</t>
  </si>
  <si>
    <t xml:space="preserve">테스트한
입찰가</t>
  </si>
  <si>
    <r>
      <rPr>
        <b val="true"/>
        <sz val="10"/>
        <color rgb="FFFFFFFF"/>
        <rFont val="WenQuanYi Zen Hei"/>
        <family val="2"/>
      </rPr>
      <t xml:space="preserve">메인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
최저 입찰가</t>
    </r>
  </si>
  <si>
    <r>
      <rPr>
        <b val="true"/>
        <sz val="10"/>
        <color rgb="FFFFFFFF"/>
        <rFont val="WenQuanYi Zen Hei"/>
        <family val="2"/>
      </rPr>
      <t xml:space="preserve">메인 </t>
    </r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위 이내
최저 입찰가</t>
    </r>
  </si>
  <si>
    <t xml:space="preserve">가격비교
최고 순위</t>
  </si>
  <si>
    <r>
      <rPr>
        <b val="true"/>
        <sz val="10"/>
        <color rgb="FFFFFFFF"/>
        <rFont val="WenQuanYi Zen Hei"/>
        <family val="2"/>
      </rPr>
      <t xml:space="preserve">메인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위
주로 차지한 업체</t>
    </r>
  </si>
  <si>
    <t xml:space="preserve">권장 입찰가</t>
  </si>
  <si>
    <t xml:space="preserve">정리</t>
  </si>
  <si>
    <t xml:space="preserve">아트라벨</t>
  </si>
  <si>
    <r>
      <rPr>
        <sz val="10"/>
        <rFont val="WenQuanYi Zen Hei"/>
        <family val="2"/>
      </rPr>
      <t xml:space="preserve">아트지 </t>
    </r>
    <r>
      <rPr>
        <sz val="10"/>
        <rFont val="맑은 고딕"/>
        <family val="0"/>
        <charset val="1"/>
      </rPr>
      <t xml:space="preserve">60*40</t>
    </r>
  </si>
  <si>
    <r>
      <rPr>
        <sz val="10"/>
        <rFont val="맑은 고딕"/>
        <family val="0"/>
        <charset val="1"/>
      </rPr>
      <t xml:space="preserve">2,000~3,000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</si>
  <si>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</si>
  <si>
    <r>
      <rPr>
        <sz val="10"/>
        <rFont val="WenQuanYi Zen Hei"/>
        <family val="2"/>
      </rPr>
      <t xml:space="preserve">전문몰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우리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</si>
  <si>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color rgb="FF0000FF"/>
        <rFont val="맑은 고딕"/>
        <family val="0"/>
        <charset val="1"/>
      </rPr>
      <t xml:space="preserve">2,300~2,800</t>
    </r>
    <r>
      <rPr>
        <b val="true"/>
        <sz val="10"/>
        <color rgb="FF0000FF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</si>
  <si>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2,300</t>
    </r>
    <r>
      <rPr>
        <sz val="10"/>
        <rFont val="WenQuanYi Zen Hei"/>
        <family val="2"/>
      </rPr>
      <t xml:space="preserve">원에도 메인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(10/6 </t>
    </r>
    <r>
      <rPr>
        <sz val="10"/>
        <rFont val="WenQuanYi Zen Hei"/>
        <family val="2"/>
      </rPr>
      <t xml:space="preserve">오전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같은 </t>
    </r>
    <r>
      <rPr>
        <sz val="10"/>
        <rFont val="맑은 고딕"/>
        <family val="0"/>
        <charset val="1"/>
      </rPr>
      <t xml:space="preserve">2,300</t>
    </r>
    <r>
      <rPr>
        <sz val="10"/>
        <rFont val="WenQuanYi Zen Hei"/>
        <family val="2"/>
      </rPr>
      <t xml:space="preserve">원이 </t>
    </r>
    <r>
      <rPr>
        <sz val="10"/>
        <rFont val="맑은 고딕"/>
        <family val="0"/>
        <charset val="1"/>
      </rPr>
      <t xml:space="preserve">10/2 </t>
    </r>
    <r>
      <rPr>
        <sz val="10"/>
        <rFont val="WenQuanYi Zen Hei"/>
        <family val="2"/>
      </rPr>
      <t xml:space="preserve">오후엔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.</t>
    </r>
  </si>
  <si>
    <t xml:space="preserve">유포라벨</t>
  </si>
  <si>
    <r>
      <rPr>
        <sz val="10"/>
        <rFont val="WenQuanYi Zen Hei"/>
        <family val="2"/>
      </rPr>
      <t xml:space="preserve">유포지 </t>
    </r>
    <r>
      <rPr>
        <sz val="10"/>
        <rFont val="맑은 고딕"/>
        <family val="0"/>
        <charset val="1"/>
      </rPr>
      <t xml:space="preserve">30*15</t>
    </r>
  </si>
  <si>
    <r>
      <rPr>
        <sz val="10"/>
        <rFont val="맑은 고딕"/>
        <family val="0"/>
        <charset val="1"/>
      </rPr>
      <t xml:space="preserve">1,500~6,000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</si>
  <si>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</si>
  <si>
    <t xml:space="preserve">디엘에스피</t>
  </si>
  <si>
    <r>
      <rPr>
        <b val="true"/>
        <sz val="10"/>
        <color rgb="FF0000FF"/>
        <rFont val="맑은 고딕"/>
        <family val="0"/>
        <charset val="1"/>
      </rPr>
      <t xml:space="preserve">3,500</t>
    </r>
    <r>
      <rPr>
        <b val="true"/>
        <sz val="10"/>
        <color rgb="FF0000FF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</si>
  <si>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3,500·4,000</t>
    </r>
    <r>
      <rPr>
        <sz val="10"/>
        <rFont val="WenQuanYi Zen Hei"/>
        <family val="2"/>
      </rPr>
      <t xml:space="preserve">원에서 메인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. 2,800~3,100</t>
    </r>
    <r>
      <rPr>
        <sz val="10"/>
        <rFont val="WenQuanYi Zen Hei"/>
        <family val="2"/>
      </rPr>
      <t xml:space="preserve">원은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가격비교는 </t>
    </r>
    <r>
      <rPr>
        <sz val="10"/>
        <rFont val="맑은 고딕"/>
        <family val="0"/>
        <charset val="1"/>
      </rPr>
      <t xml:space="preserve">6,000</t>
    </r>
    <r>
      <rPr>
        <sz val="10"/>
        <rFont val="WenQuanYi Zen Hei"/>
        <family val="2"/>
      </rPr>
      <t xml:space="preserve">원까지 올려도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.</t>
    </r>
  </si>
  <si>
    <t xml:space="preserve">감열라벨</t>
  </si>
  <si>
    <r>
      <rPr>
        <sz val="10"/>
        <rFont val="WenQuanYi Zen Hei"/>
        <family val="2"/>
      </rPr>
      <t xml:space="preserve">감열지 </t>
    </r>
    <r>
      <rPr>
        <sz val="10"/>
        <rFont val="맑은 고딕"/>
        <family val="0"/>
        <charset val="1"/>
      </rPr>
      <t xml:space="preserve">100*100</t>
    </r>
  </si>
  <si>
    <r>
      <rPr>
        <sz val="10"/>
        <rFont val="맑은 고딕"/>
        <family val="0"/>
        <charset val="1"/>
      </rPr>
      <t xml:space="preserve">2,000~3,900</t>
    </r>
    <r>
      <rPr>
        <sz val="10"/>
        <rFont val="WenQuanYi Zen Hei"/>
        <family val="2"/>
      </rPr>
      <t xml:space="preserve">원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</si>
  <si>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없음</t>
    </r>
  </si>
  <si>
    <r>
      <rPr>
        <b val="true"/>
        <sz val="10"/>
        <color rgb="FF0000FF"/>
        <rFont val="맑은 고딕"/>
        <family val="0"/>
        <charset val="1"/>
      </rPr>
      <t xml:space="preserve">2,500~2,800</t>
    </r>
    <r>
      <rPr>
        <b val="true"/>
        <sz val="10"/>
        <color rgb="FF0000FF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</si>
  <si>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2,500~3,900</t>
    </r>
    <r>
      <rPr>
        <sz val="10"/>
        <rFont val="WenQuanYi Zen Hei"/>
        <family val="2"/>
      </rPr>
      <t xml:space="preserve">원 모두 메인 </t>
    </r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위 디엘에스피</t>
    </r>
    <r>
      <rPr>
        <sz val="10"/>
        <rFont val="맑은 고딕"/>
        <family val="0"/>
        <charset val="1"/>
      </rPr>
      <t xml:space="preserve">(2,000</t>
    </r>
    <r>
      <rPr>
        <sz val="10"/>
        <rFont val="WenQuanYi Zen Hei"/>
        <family val="2"/>
      </rPr>
      <t xml:space="preserve">원 상품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라 입찰가로는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위가 어려움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</si>
  <si>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5A6270"/>
        <rFont val="WenQuanYi Zen Hei"/>
        <family val="2"/>
      </rPr>
      <t xml:space="preserve">권장 입찰가는 테스트 결과를 보고 정한 값입니다</t>
    </r>
    <r>
      <rPr>
        <sz val="9"/>
        <color rgb="FF5A6270"/>
        <rFont val="맑은 고딕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같은 입찰가라도 시간대에 따라 순위가 </t>
    </r>
    <r>
      <rPr>
        <sz val="9"/>
        <color rgb="FF5A6270"/>
        <rFont val="맑은 고딕"/>
        <family val="0"/>
        <charset val="1"/>
      </rPr>
      <t xml:space="preserve">1~2</t>
    </r>
    <r>
      <rPr>
        <sz val="9"/>
        <color rgb="FF5A6270"/>
        <rFont val="WenQuanYi Zen Hei"/>
        <family val="2"/>
      </rPr>
      <t xml:space="preserve">단계 바뀌었습니다</t>
    </r>
    <r>
      <rPr>
        <sz val="9"/>
        <color rgb="FF5A6270"/>
        <rFont val="맑은 고딕"/>
        <family val="0"/>
        <charset val="1"/>
      </rPr>
      <t xml:space="preserve">.</t>
    </r>
  </si>
  <si>
    <r>
      <rPr>
        <b val="true"/>
        <sz val="12"/>
        <color rgb="FF1F2A44"/>
        <rFont val="WenQuanYi Zen Hei"/>
        <family val="2"/>
      </rPr>
      <t xml:space="preserve">테스트 기간 판매 변화 </t>
    </r>
    <r>
      <rPr>
        <b val="true"/>
        <sz val="12"/>
        <color rgb="FF1F2A44"/>
        <rFont val="맑은 고딕"/>
        <family val="0"/>
        <charset val="1"/>
      </rPr>
      <t xml:space="preserve">(</t>
    </r>
    <r>
      <rPr>
        <b val="true"/>
        <sz val="12"/>
        <color rgb="FF1F2A44"/>
        <rFont val="WenQuanYi Zen Hei"/>
        <family val="2"/>
      </rPr>
      <t xml:space="preserve">테스트 전 </t>
    </r>
    <r>
      <rPr>
        <b val="true"/>
        <sz val="12"/>
        <color rgb="FF1F2A44"/>
        <rFont val="맑은 고딕"/>
        <family val="0"/>
        <charset val="1"/>
      </rPr>
      <t xml:space="preserve">9</t>
    </r>
    <r>
      <rPr>
        <b val="true"/>
        <sz val="12"/>
        <color rgb="FF1F2A44"/>
        <rFont val="WenQuanYi Zen Hei"/>
        <family val="2"/>
      </rPr>
      <t xml:space="preserve">일 </t>
    </r>
    <r>
      <rPr>
        <b val="true"/>
        <sz val="12"/>
        <color rgb="FF1F2A44"/>
        <rFont val="맑은 고딕"/>
        <family val="0"/>
        <charset val="1"/>
      </rPr>
      <t xml:space="preserve">vs </t>
    </r>
    <r>
      <rPr>
        <b val="true"/>
        <sz val="12"/>
        <color rgb="FF1F2A44"/>
        <rFont val="WenQuanYi Zen Hei"/>
        <family val="2"/>
      </rPr>
      <t xml:space="preserve">테스트 </t>
    </r>
    <r>
      <rPr>
        <b val="true"/>
        <sz val="12"/>
        <color rgb="FF1F2A44"/>
        <rFont val="맑은 고딕"/>
        <family val="0"/>
        <charset val="1"/>
      </rPr>
      <t xml:space="preserve">9</t>
    </r>
    <r>
      <rPr>
        <b val="true"/>
        <sz val="12"/>
        <color rgb="FF1F2A44"/>
        <rFont val="WenQuanYi Zen Hei"/>
        <family val="2"/>
      </rPr>
      <t xml:space="preserve">일</t>
    </r>
    <r>
      <rPr>
        <b val="true"/>
        <sz val="12"/>
        <color rgb="FF1F2A4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</si>
  <si>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테스트 전
</t>
    </r>
    <r>
      <rPr>
        <b val="true"/>
        <sz val="10"/>
        <color rgb="FFFFFFFF"/>
        <rFont val="맑은 고딕"/>
        <family val="0"/>
        <charset val="1"/>
      </rPr>
      <t xml:space="preserve">9/19~9/27
</t>
    </r>
    <r>
      <rPr>
        <b val="true"/>
        <sz val="10"/>
        <color rgb="FFFFFFFF"/>
        <rFont val="WenQuanYi Zen Hei"/>
        <family val="2"/>
      </rPr>
      <t xml:space="preserve">건수</t>
    </r>
  </si>
  <si>
    <t xml:space="preserve">테스트 전
롤</t>
  </si>
  <si>
    <r>
      <rPr>
        <b val="true"/>
        <sz val="10"/>
        <color rgb="FFFFFFFF"/>
        <rFont val="WenQuanYi Zen Hei"/>
        <family val="2"/>
      </rPr>
      <t xml:space="preserve">테스트 중
</t>
    </r>
    <r>
      <rPr>
        <b val="true"/>
        <sz val="10"/>
        <color rgb="FFFFFFFF"/>
        <rFont val="맑은 고딕"/>
        <family val="0"/>
        <charset val="1"/>
      </rPr>
      <t xml:space="preserve">9/28~10/6
</t>
    </r>
    <r>
      <rPr>
        <b val="true"/>
        <sz val="10"/>
        <color rgb="FFFFFFFF"/>
        <rFont val="WenQuanYi Zen Hei"/>
        <family val="2"/>
      </rPr>
      <t xml:space="preserve">건수</t>
    </r>
  </si>
  <si>
    <t xml:space="preserve">테스트 중
롤</t>
  </si>
  <si>
    <t xml:space="preserve">건수 변화</t>
  </si>
  <si>
    <t xml:space="preserve">롤 변화</t>
  </si>
  <si>
    <t xml:space="preserve">그중 전문몰
테스트 중 건수</t>
  </si>
  <si>
    <t xml:space="preserve">그중 전문몰
테스트 중 롤</t>
  </si>
  <si>
    <r>
      <rPr>
        <sz val="10"/>
        <rFont val="WenQuanYi Zen Hei"/>
        <family val="2"/>
      </rPr>
      <t xml:space="preserve">아트라벨 → 아트지 </t>
    </r>
    <r>
      <rPr>
        <sz val="10"/>
        <rFont val="맑은 고딕"/>
        <family val="0"/>
        <charset val="1"/>
      </rPr>
      <t xml:space="preserve">60*40</t>
    </r>
  </si>
  <si>
    <r>
      <rPr>
        <sz val="10"/>
        <rFont val="WenQuanYi Zen Hei"/>
        <family val="2"/>
      </rPr>
      <t xml:space="preserve">유포라벨 → 유포지 </t>
    </r>
    <r>
      <rPr>
        <sz val="10"/>
        <rFont val="맑은 고딕"/>
        <family val="0"/>
        <charset val="1"/>
      </rPr>
      <t xml:space="preserve">30*15</t>
    </r>
  </si>
  <si>
    <r>
      <rPr>
        <sz val="10"/>
        <rFont val="WenQuanYi Zen Hei"/>
        <family val="2"/>
      </rPr>
      <t xml:space="preserve">감열라벨 → 감열지 </t>
    </r>
    <r>
      <rPr>
        <sz val="10"/>
        <rFont val="맑은 고딕"/>
        <family val="0"/>
        <charset val="1"/>
      </rPr>
      <t xml:space="preserve">100*100</t>
    </r>
  </si>
  <si>
    <r>
      <rPr>
        <sz val="9"/>
        <color rgb="FF5A6270"/>
        <rFont val="WenQuanYi Zen Hei"/>
        <family val="2"/>
      </rPr>
      <t xml:space="preserve">광고 상품만 보면 → 아트지 </t>
    </r>
    <r>
      <rPr>
        <sz val="9"/>
        <color rgb="FF5A6270"/>
        <rFont val="맑은 고딕"/>
        <family val="0"/>
        <charset val="1"/>
      </rPr>
      <t xml:space="preserve">60*40: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맑은 고딕"/>
        <family val="0"/>
        <charset val="1"/>
      </rPr>
      <t xml:space="preserve">1</t>
    </r>
    <r>
      <rPr>
        <sz val="9"/>
        <color rgb="FF5A6270"/>
        <rFont val="WenQuanYi Zen Hei"/>
        <family val="2"/>
      </rPr>
      <t xml:space="preserve">건 → </t>
    </r>
    <r>
      <rPr>
        <sz val="9"/>
        <color rgb="FF5A6270"/>
        <rFont val="맑은 고딕"/>
        <family val="0"/>
        <charset val="1"/>
      </rPr>
      <t xml:space="preserve">0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(0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), </t>
    </r>
    <r>
      <rPr>
        <sz val="9"/>
        <color rgb="FF5A6270"/>
        <rFont val="WenQuanYi Zen Hei"/>
        <family val="2"/>
      </rPr>
      <t xml:space="preserve">전체 판매처 테스트 중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유포지 </t>
    </r>
    <r>
      <rPr>
        <sz val="9"/>
        <color rgb="FF5A6270"/>
        <rFont val="맑은 고딕"/>
        <family val="0"/>
        <charset val="1"/>
      </rPr>
      <t xml:space="preserve">30*15: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맑은 고딕"/>
        <family val="0"/>
        <charset val="1"/>
      </rPr>
      <t xml:space="preserve">0</t>
    </r>
    <r>
      <rPr>
        <sz val="9"/>
        <color rgb="FF5A6270"/>
        <rFont val="WenQuanYi Zen Hei"/>
        <family val="2"/>
      </rPr>
      <t xml:space="preserve">건 →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(2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), </t>
    </r>
    <r>
      <rPr>
        <sz val="9"/>
        <color rgb="FF5A6270"/>
        <rFont val="WenQuanYi Zen Hei"/>
        <family val="2"/>
      </rPr>
      <t xml:space="preserve">전체 판매처 테스트 중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롤 </t>
    </r>
    <r>
      <rPr>
        <sz val="9"/>
        <color rgb="FF5A6270"/>
        <rFont val="맑은 고딕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감열지 </t>
    </r>
    <r>
      <rPr>
        <sz val="9"/>
        <color rgb="FF5A6270"/>
        <rFont val="맑은 고딕"/>
        <family val="0"/>
        <charset val="1"/>
      </rPr>
      <t xml:space="preserve">100*100: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맑은 고딕"/>
        <family val="0"/>
        <charset val="1"/>
      </rPr>
      <t xml:space="preserve">0</t>
    </r>
    <r>
      <rPr>
        <sz val="9"/>
        <color rgb="FF5A6270"/>
        <rFont val="WenQuanYi Zen Hei"/>
        <family val="2"/>
      </rPr>
      <t xml:space="preserve">건 → </t>
    </r>
    <r>
      <rPr>
        <sz val="9"/>
        <color rgb="FF5A6270"/>
        <rFont val="맑은 고딕"/>
        <family val="0"/>
        <charset val="1"/>
      </rPr>
      <t xml:space="preserve">0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(0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맑은 고딕"/>
        <family val="0"/>
        <charset val="1"/>
      </rPr>
      <t xml:space="preserve">), </t>
    </r>
    <r>
      <rPr>
        <sz val="9"/>
        <color rgb="FF5A6270"/>
        <rFont val="WenQuanYi Zen Hei"/>
        <family val="2"/>
      </rPr>
      <t xml:space="preserve">전체 판매처 테스트 중 </t>
    </r>
    <r>
      <rPr>
        <sz val="9"/>
        <color rgb="FF5A6270"/>
        <rFont val="맑은 고딕"/>
        <family val="0"/>
        <charset val="1"/>
      </rPr>
      <t xml:space="preserve">2</t>
    </r>
    <r>
      <rPr>
        <sz val="9"/>
        <color rgb="FF5A6270"/>
        <rFont val="WenQuanYi Zen Hei"/>
        <family val="2"/>
      </rPr>
      <t xml:space="preserve">건 </t>
    </r>
    <r>
      <rPr>
        <sz val="9"/>
        <color rgb="FF5A6270"/>
        <rFont val="맑은 고딕"/>
        <family val="0"/>
        <charset val="1"/>
      </rPr>
      <t xml:space="preserve">7</t>
    </r>
    <r>
      <rPr>
        <sz val="9"/>
        <color rgb="FF5A6270"/>
        <rFont val="WenQuanYi Zen Hei"/>
        <family val="2"/>
      </rPr>
      <t xml:space="preserve">롤</t>
    </r>
  </si>
  <si>
    <r>
      <rPr>
        <sz val="10"/>
        <color rgb="FF1F2A44"/>
        <rFont val="WenQuanYi Zen Hei"/>
        <family val="2"/>
      </rPr>
      <t xml:space="preserve">정리</t>
    </r>
    <r>
      <rPr>
        <sz val="10"/>
        <color rgb="FF1F2A44"/>
        <rFont val="맑은 고딕"/>
        <family val="0"/>
        <charset val="1"/>
      </rPr>
      <t xml:space="preserve">: </t>
    </r>
    <r>
      <rPr>
        <sz val="10"/>
        <color rgb="FF1F2A44"/>
        <rFont val="WenQuanYi Zen Hei"/>
        <family val="2"/>
      </rPr>
      <t xml:space="preserve">테스트 기간에 판매가 늘었지만</t>
    </r>
    <r>
      <rPr>
        <sz val="10"/>
        <color rgb="FF1F2A44"/>
        <rFont val="맑은 고딕"/>
        <family val="0"/>
        <charset val="1"/>
      </rPr>
      <t xml:space="preserve">, </t>
    </r>
    <r>
      <rPr>
        <sz val="10"/>
        <color rgb="FF1F2A44"/>
        <rFont val="WenQuanYi Zen Hei"/>
        <family val="2"/>
      </rPr>
      <t xml:space="preserve">쿠팡 대량 주문</t>
    </r>
    <r>
      <rPr>
        <sz val="10"/>
        <color rgb="FF1F2A44"/>
        <rFont val="맑은 고딕"/>
        <family val="0"/>
        <charset val="1"/>
      </rPr>
      <t xml:space="preserve">(</t>
    </r>
    <r>
      <rPr>
        <sz val="10"/>
        <color rgb="FF1F2A44"/>
        <rFont val="WenQuanYi Zen Hei"/>
        <family val="2"/>
      </rPr>
      <t xml:space="preserve">아트지 </t>
    </r>
    <r>
      <rPr>
        <sz val="10"/>
        <color rgb="FF1F2A44"/>
        <rFont val="맑은 고딕"/>
        <family val="0"/>
        <charset val="1"/>
      </rPr>
      <t xml:space="preserve">40*20 12</t>
    </r>
    <r>
      <rPr>
        <sz val="10"/>
        <color rgb="FF1F2A44"/>
        <rFont val="WenQuanYi Zen Hei"/>
        <family val="2"/>
      </rPr>
      <t xml:space="preserve">롤</t>
    </r>
    <r>
      <rPr>
        <sz val="10"/>
        <color rgb="FF1F2A44"/>
        <rFont val="맑은 고딕"/>
        <family val="0"/>
        <charset val="1"/>
      </rPr>
      <t xml:space="preserve">, </t>
    </r>
    <r>
      <rPr>
        <sz val="10"/>
        <color rgb="FF1F2A44"/>
        <rFont val="WenQuanYi Zen Hei"/>
        <family val="2"/>
      </rPr>
      <t xml:space="preserve">감열지 </t>
    </r>
    <r>
      <rPr>
        <sz val="10"/>
        <color rgb="FF1F2A44"/>
        <rFont val="맑은 고딕"/>
        <family val="0"/>
        <charset val="1"/>
      </rPr>
      <t xml:space="preserve">80*70 10</t>
    </r>
    <r>
      <rPr>
        <sz val="10"/>
        <color rgb="FF1F2A44"/>
        <rFont val="WenQuanYi Zen Hei"/>
        <family val="2"/>
      </rPr>
      <t xml:space="preserve">롤</t>
    </r>
    <r>
      <rPr>
        <sz val="10"/>
        <color rgb="FF1F2A44"/>
        <rFont val="맑은 고딕"/>
        <family val="0"/>
        <charset val="1"/>
      </rPr>
      <t xml:space="preserve">)</t>
    </r>
    <r>
      <rPr>
        <sz val="10"/>
        <color rgb="FF1F2A44"/>
        <rFont val="WenQuanYi Zen Hei"/>
        <family val="2"/>
      </rPr>
      <t xml:space="preserve">과 코스모스몰 </t>
    </r>
    <r>
      <rPr>
        <sz val="10"/>
        <color rgb="FF1F2A44"/>
        <rFont val="맑은 고딕"/>
        <family val="0"/>
        <charset val="1"/>
      </rPr>
      <t xml:space="preserve">6</t>
    </r>
    <r>
      <rPr>
        <sz val="10"/>
        <color rgb="FF1F2A44"/>
        <rFont val="WenQuanYi Zen Hei"/>
        <family val="2"/>
      </rPr>
      <t xml:space="preserve">롤이 커서 입찰가 변경 효과로만 보기는 어렵습니다</t>
    </r>
    <r>
      <rPr>
        <sz val="10"/>
        <color rgb="FF1F2A44"/>
        <rFont val="맑은 고딕"/>
        <family val="0"/>
        <charset val="1"/>
      </rPr>
      <t xml:space="preserve">. </t>
    </r>
    <r>
      <rPr>
        <sz val="10"/>
        <color rgb="FF1F2A44"/>
        <rFont val="WenQuanYi Zen Hei"/>
        <family val="2"/>
      </rPr>
      <t xml:space="preserve">전문몰에서는 유포지</t>
    </r>
    <r>
      <rPr>
        <sz val="10"/>
        <color rgb="FF1F2A44"/>
        <rFont val="맑은 고딕"/>
        <family val="0"/>
        <charset val="1"/>
      </rPr>
      <t xml:space="preserve">(</t>
    </r>
    <r>
      <rPr>
        <sz val="10"/>
        <color rgb="FF1F2A44"/>
        <rFont val="WenQuanYi Zen Hei"/>
        <family val="2"/>
      </rPr>
      <t xml:space="preserve">유포라벨</t>
    </r>
    <r>
      <rPr>
        <sz val="10"/>
        <color rgb="FF1F2A44"/>
        <rFont val="맑은 고딕"/>
        <family val="0"/>
        <charset val="1"/>
      </rPr>
      <t xml:space="preserve">) </t>
    </r>
    <r>
      <rPr>
        <sz val="10"/>
        <color rgb="FF1F2A44"/>
        <rFont val="WenQuanYi Zen Hei"/>
        <family val="2"/>
      </rPr>
      <t xml:space="preserve">판매가 </t>
    </r>
    <r>
      <rPr>
        <sz val="10"/>
        <color rgb="FF1F2A44"/>
        <rFont val="맑은 고딕"/>
        <family val="0"/>
        <charset val="1"/>
      </rPr>
      <t xml:space="preserve">3</t>
    </r>
    <r>
      <rPr>
        <sz val="10"/>
        <color rgb="FF1F2A44"/>
        <rFont val="WenQuanYi Zen Hei"/>
        <family val="2"/>
      </rPr>
      <t xml:space="preserve">건 생겼습니다</t>
    </r>
    <r>
      <rPr>
        <sz val="10"/>
        <color rgb="FF1F2A44"/>
        <rFont val="맑은 고딕"/>
        <family val="0"/>
        <charset val="1"/>
      </rPr>
      <t xml:space="preserve">.</t>
    </r>
  </si>
  <si>
    <r>
      <rPr>
        <b val="true"/>
        <sz val="12"/>
        <color rgb="FF1F2A44"/>
        <rFont val="WenQuanYi Zen Hei"/>
        <family val="2"/>
      </rPr>
      <t xml:space="preserve">재질별 입찰가 → 순위 </t>
    </r>
    <r>
      <rPr>
        <b val="true"/>
        <sz val="12"/>
        <color rgb="FF1F2A44"/>
        <rFont val="맑은 고딕"/>
        <family val="0"/>
        <charset val="1"/>
      </rPr>
      <t xml:space="preserve">(</t>
    </r>
    <r>
      <rPr>
        <b val="true"/>
        <sz val="12"/>
        <color rgb="FF1F2A44"/>
        <rFont val="WenQuanYi Zen Hei"/>
        <family val="2"/>
      </rPr>
      <t xml:space="preserve">입찰가 낮은 순</t>
    </r>
    <r>
      <rPr>
        <b val="true"/>
        <sz val="12"/>
        <color rgb="FF1F2A4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</si>
  <si>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아트지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아트라벨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아트지 </t>
    </r>
    <r>
      <rPr>
        <b val="true"/>
        <sz val="10"/>
        <color rgb="FFFFFFFF"/>
        <rFont val="맑은 고딕"/>
        <family val="0"/>
        <charset val="1"/>
      </rPr>
      <t xml:space="preserve">60*40</t>
    </r>
  </si>
  <si>
    <t xml:space="preserve">입찰가</t>
  </si>
  <si>
    <t xml:space="preserve">조사 횟수</t>
  </si>
  <si>
    <r>
      <rPr>
        <b val="true"/>
        <sz val="10"/>
        <color rgb="FFFFFFFF"/>
        <rFont val="WenQuanYi Zen Hei"/>
        <family val="2"/>
      </rPr>
      <t xml:space="preserve">메인 순위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조사한 순서대로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</si>
  <si>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가격비교 순위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조사한 순서대로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</si>
  <si>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메인 최고</t>
  </si>
  <si>
    <t xml:space="preserve">가격비교 최고</t>
  </si>
  <si>
    <t xml:space="preserve">메모</t>
  </si>
  <si>
    <t xml:space="preserve">조사 안 함</t>
  </si>
  <si>
    <t xml:space="preserve">-</t>
  </si>
  <si>
    <t xml:space="preserve">  9/29 10:39</t>
  </si>
  <si>
    <r>
      <rPr>
        <sz val="10"/>
        <color rgb="FF5A6270"/>
        <rFont val="WenQuanYi Zen Hei"/>
        <family val="2"/>
      </rPr>
      <t xml:space="preserve">오전</t>
    </r>
    <r>
      <rPr>
        <sz val="10"/>
        <color rgb="FF5A6270"/>
        <rFont val="맑은 고딕"/>
        <family val="0"/>
        <charset val="1"/>
      </rPr>
      <t xml:space="preserve">(09~12)</t>
    </r>
  </si>
  <si>
    <r>
      <rPr>
        <sz val="10"/>
        <color rgb="FF5A6270"/>
        <rFont val="맑은 고딕"/>
        <family val="0"/>
        <charset val="1"/>
      </rPr>
      <t xml:space="preserve">2</t>
    </r>
    <r>
      <rPr>
        <sz val="10"/>
        <color rgb="FF5A6270"/>
        <rFont val="WenQuanYi Zen Hei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</si>
  <si>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</si>
  <si>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위</t>
    </r>
  </si>
  <si>
    <r>
      <rPr>
        <b val="true"/>
        <sz val="10"/>
        <color rgb="FF1D7A3E"/>
        <rFont val="맑은 고딕"/>
        <family val="0"/>
        <charset val="1"/>
      </rPr>
      <t xml:space="preserve">1</t>
    </r>
    <r>
      <rPr>
        <b val="true"/>
        <sz val="10"/>
        <color rgb="FF1D7A3E"/>
        <rFont val="WenQuanYi Zen Hei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</si>
  <si>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위</t>
    </r>
  </si>
  <si>
    <t xml:space="preserve">  10/2 15:18</t>
  </si>
  <si>
    <r>
      <rPr>
        <sz val="10"/>
        <color rgb="FF5A6270"/>
        <rFont val="WenQuanYi Zen Hei"/>
        <family val="2"/>
      </rPr>
      <t xml:space="preserve">오후</t>
    </r>
    <r>
      <rPr>
        <sz val="10"/>
        <color rgb="FF5A6270"/>
        <rFont val="맑은 고딕"/>
        <family val="0"/>
        <charset val="1"/>
      </rPr>
      <t xml:space="preserve">(14~18)</t>
    </r>
  </si>
  <si>
    <r>
      <rPr>
        <sz val="10"/>
        <color rgb="FF5A6270"/>
        <rFont val="맑은 고딕"/>
        <family val="0"/>
        <charset val="1"/>
      </rPr>
      <t xml:space="preserve">4</t>
    </r>
    <r>
      <rPr>
        <sz val="10"/>
        <color rgb="FF5A6270"/>
        <rFont val="WenQuanYi Zen Hei"/>
        <family val="2"/>
      </rPr>
      <t xml:space="preserve">위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</si>
  <si>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포스틱라벨스토어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하이하이몰</t>
    </r>
  </si>
  <si>
    <t xml:space="preserve">  10/6 10:59</t>
  </si>
  <si>
    <r>
      <rPr>
        <sz val="10"/>
        <color rgb="FF5A6270"/>
        <rFont val="맑은 고딕"/>
        <family val="0"/>
        <charset val="1"/>
      </rPr>
      <t xml:space="preserve">1</t>
    </r>
    <r>
      <rPr>
        <sz val="10"/>
        <color rgb="FF5A6270"/>
        <rFont val="WenQuanYi Zen Hei"/>
        <family val="2"/>
      </rPr>
      <t xml:space="preserve">위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</si>
  <si>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포스틱라벨스토어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아이플랜스토어</t>
    </r>
  </si>
  <si>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</t>
    </r>
  </si>
  <si>
    <t xml:space="preserve">  10/2 13:01</t>
  </si>
  <si>
    <r>
      <rPr>
        <sz val="10"/>
        <color rgb="FF5A6270"/>
        <rFont val="WenQuanYi Zen Hei"/>
        <family val="2"/>
      </rPr>
      <t xml:space="preserve">점심</t>
    </r>
    <r>
      <rPr>
        <sz val="10"/>
        <color rgb="FF5A6270"/>
        <rFont val="맑은 고딕"/>
        <family val="0"/>
        <charset val="1"/>
      </rPr>
      <t xml:space="preserve">(12~14)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</si>
  <si>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하이하이몰</t>
    </r>
  </si>
  <si>
    <t xml:space="preserve">  10/2 11:35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</si>
  <si>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위</t>
    </r>
  </si>
  <si>
    <t xml:space="preserve">  9/29 14:03</t>
  </si>
  <si>
    <t xml:space="preserve">  9/30 15:47</t>
  </si>
  <si>
    <r>
      <rPr>
        <sz val="10"/>
        <color rgb="FF5A6270"/>
        <rFont val="맑은 고딕"/>
        <family val="0"/>
        <charset val="1"/>
      </rPr>
      <t xml:space="preserve">3</t>
    </r>
    <r>
      <rPr>
        <sz val="10"/>
        <color rgb="FF5A6270"/>
        <rFont val="WenQuanYi Zen Hei"/>
        <family val="2"/>
      </rPr>
      <t xml:space="preserve">위</t>
    </r>
  </si>
  <si>
    <t xml:space="preserve">  10/1 15:43</t>
  </si>
  <si>
    <r>
      <rPr>
        <b val="true"/>
        <sz val="10"/>
        <color rgb="FFFFFFFF"/>
        <rFont val="WenQuanYi Zen Hei"/>
        <family val="2"/>
      </rPr>
      <t xml:space="preserve">유포지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유포라벨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유포지 </t>
    </r>
    <r>
      <rPr>
        <b val="true"/>
        <sz val="10"/>
        <color rgb="FFFFFFFF"/>
        <rFont val="맑은 고딕"/>
        <family val="0"/>
        <charset val="1"/>
      </rPr>
      <t xml:space="preserve">30*15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</si>
  <si>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페이지 중단</t>
    </r>
  </si>
  <si>
    <t xml:space="preserve">  9/28 13:42</t>
  </si>
  <si>
    <r>
      <rPr>
        <sz val="10"/>
        <color rgb="FF5A6270"/>
        <rFont val="맑은 고딕"/>
        <family val="0"/>
        <charset val="1"/>
      </rPr>
      <t xml:space="preserve">1</t>
    </r>
    <r>
      <rPr>
        <sz val="10"/>
        <color rgb="FF5A6270"/>
        <rFont val="WenQuanYi Zen Hei"/>
        <family val="2"/>
      </rPr>
      <t xml:space="preserve">페이지 중단</t>
    </r>
  </si>
  <si>
    <r>
      <rPr>
        <sz val="10"/>
        <color rgb="FF5A6270"/>
        <rFont val="WenQuanYi Zen Hei"/>
        <family val="2"/>
      </rPr>
      <t xml:space="preserve">가격비교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포스틱라벨스토어</t>
    </r>
  </si>
  <si>
    <t xml:space="preserve">  9/28 15:37</t>
  </si>
  <si>
    <t xml:space="preserve">  9/28 15:50</t>
  </si>
  <si>
    <t xml:space="preserve">  10/2 11:39</t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</si>
  <si>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디엘에스피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</si>
  <si>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위</t>
    </r>
  </si>
  <si>
    <t xml:space="preserve">  9/28 15:56</t>
  </si>
  <si>
    <r>
      <rPr>
        <sz val="10"/>
        <color rgb="FF5A6270"/>
        <rFont val="WenQuanYi Zen Hei"/>
        <family val="2"/>
      </rPr>
      <t xml:space="preserve">가격비교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포스틱라벨스토어</t>
    </r>
  </si>
  <si>
    <t xml:space="preserve">  10/2 13:05</t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</si>
  <si>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포스틱라벨스토어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</si>
  <si>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</si>
  <si>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위</t>
    </r>
  </si>
  <si>
    <t xml:space="preserve">  9/28 </t>
  </si>
  <si>
    <t xml:space="preserve">  9/29 10:40</t>
  </si>
  <si>
    <r>
      <rPr>
        <sz val="10"/>
        <color rgb="FF5A6270"/>
        <rFont val="WenQuanYi Zen Hei"/>
        <family val="2"/>
      </rPr>
      <t xml:space="preserve">오전</t>
    </r>
    <r>
      <rPr>
        <sz val="10"/>
        <color rgb="FF5A6270"/>
        <rFont val="맑은 고딕"/>
        <family val="0"/>
        <charset val="1"/>
      </rPr>
      <t xml:space="preserve">(09~13)</t>
    </r>
  </si>
  <si>
    <t xml:space="preserve">  10/2 15:19</t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</si>
  <si>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디엘에스피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</si>
  <si>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위</t>
    </r>
  </si>
  <si>
    <t xml:space="preserve">  9/29 14:04</t>
  </si>
  <si>
    <t xml:space="preserve">  9/29 14:53</t>
  </si>
  <si>
    <t xml:space="preserve">  9/29 17:01</t>
  </si>
  <si>
    <r>
      <rPr>
        <b val="true"/>
        <sz val="10"/>
        <color rgb="FFFFFFFF"/>
        <rFont val="WenQuanYi Zen Hei"/>
        <family val="2"/>
      </rPr>
      <t xml:space="preserve">감열지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감열라벨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감열지 </t>
    </r>
    <r>
      <rPr>
        <b val="true"/>
        <sz val="10"/>
        <color rgb="FFFFFFFF"/>
        <rFont val="맑은 고딕"/>
        <family val="0"/>
        <charset val="1"/>
      </rPr>
      <t xml:space="preserve">100*100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</si>
  <si>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페이지 중단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페이지 중단</t>
    </r>
  </si>
  <si>
    <t xml:space="preserve">  10/1 16:43</t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</si>
  <si>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위</t>
    </r>
  </si>
  <si>
    <t xml:space="preserve">  10/2 11:37</t>
  </si>
  <si>
    <r>
      <rPr>
        <sz val="10"/>
        <color rgb="FF5A6270"/>
        <rFont val="맑은 고딕"/>
        <family val="0"/>
        <charset val="1"/>
      </rPr>
      <t xml:space="preserve">5</t>
    </r>
    <r>
      <rPr>
        <sz val="10"/>
        <color rgb="FF5A6270"/>
        <rFont val="WenQuanYi Zen Hei"/>
        <family val="2"/>
      </rPr>
      <t xml:space="preserve">위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</si>
  <si>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조타라벨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</si>
  <si>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위</t>
    </r>
  </si>
  <si>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위</t>
    </r>
  </si>
  <si>
    <t xml:space="preserve">  10/2 13:03</t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</si>
  <si>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우주사무기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</si>
  <si>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우주사무기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우주사무기</t>
    </r>
  </si>
  <si>
    <r>
      <rPr>
        <sz val="10"/>
        <color rgb="FF5A6270"/>
        <rFont val="WenQuanYi Zen Hei"/>
        <family val="2"/>
      </rPr>
      <t xml:space="preserve">메인 </t>
    </r>
    <r>
      <rPr>
        <sz val="10"/>
        <color rgb="FF5A6270"/>
        <rFont val="맑은 고딕"/>
        <family val="0"/>
        <charset val="1"/>
      </rPr>
      <t xml:space="preserve">1~3</t>
    </r>
    <r>
      <rPr>
        <sz val="10"/>
        <color rgb="FF5A6270"/>
        <rFont val="WenQuanYi Zen Hei"/>
        <family val="2"/>
      </rPr>
      <t xml:space="preserve">위</t>
    </r>
    <r>
      <rPr>
        <sz val="10"/>
        <color rgb="FF5A6270"/>
        <rFont val="맑은 고딕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디엘에스피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전문몰 </t>
    </r>
    <r>
      <rPr>
        <sz val="10"/>
        <color rgb="FF5A6270"/>
        <rFont val="맑은 고딕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우주사무기</t>
    </r>
  </si>
  <si>
    <t xml:space="preserve">  10/6 14:23</t>
  </si>
  <si>
    <t xml:space="preserve">  10/6 16:56</t>
  </si>
  <si>
    <r>
      <rPr>
        <sz val="9"/>
        <color rgb="FF5A6270"/>
        <rFont val="WenQuanYi Zen Hei"/>
        <family val="2"/>
      </rPr>
      <t xml:space="preserve">출처</t>
    </r>
    <r>
      <rPr>
        <sz val="9"/>
        <color rgb="FF5A6270"/>
        <rFont val="맑은 고딕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바코드프린터 네이버쇼핑 광고 입찰 관리 엑셀 ‘</t>
    </r>
    <r>
      <rPr>
        <sz val="9"/>
        <color rgb="FF5A6270"/>
        <rFont val="맑은 고딕"/>
        <family val="0"/>
        <charset val="1"/>
      </rPr>
      <t xml:space="preserve">02_</t>
    </r>
    <r>
      <rPr>
        <sz val="9"/>
        <color rgb="FF5A6270"/>
        <rFont val="WenQuanYi Zen Hei"/>
        <family val="2"/>
      </rPr>
      <t xml:space="preserve">입찰조사</t>
    </r>
    <r>
      <rPr>
        <sz val="9"/>
        <color rgb="FF5A6270"/>
        <rFont val="맑은 고딕"/>
        <family val="0"/>
        <charset val="1"/>
      </rPr>
      <t xml:space="preserve">_RAW’ (</t>
    </r>
    <r>
      <rPr>
        <sz val="9"/>
        <color rgb="FF5A6270"/>
        <rFont val="WenQuanYi Zen Hei"/>
        <family val="2"/>
      </rPr>
      <t xml:space="preserve">유포</t>
    </r>
    <r>
      <rPr>
        <sz val="9"/>
        <color rgb="FF5A6270"/>
        <rFont val="맑은 고딕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감열</t>
    </r>
    <r>
      <rPr>
        <sz val="9"/>
        <color rgb="FF5A6270"/>
        <rFont val="맑은 고딕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아트라벨</t>
    </r>
    <r>
      <rPr>
        <sz val="9"/>
        <color rgb="FF5A6270"/>
        <rFont val="맑은 고딕"/>
        <family val="0"/>
        <charset val="1"/>
      </rPr>
      <t xml:space="preserve">, 9/28~10/6 33</t>
    </r>
    <r>
      <rPr>
        <sz val="9"/>
        <color rgb="FF5A6270"/>
        <rFont val="WenQuanYi Zen Hei"/>
        <family val="2"/>
      </rPr>
      <t xml:space="preserve">회 조사</t>
    </r>
    <r>
      <rPr>
        <sz val="9"/>
        <color rgb="FF5A6270"/>
        <rFont val="맑은 고딕"/>
        <family val="0"/>
        <charset val="1"/>
      </rPr>
      <t xml:space="preserve">). </t>
    </r>
    <r>
      <rPr>
        <sz val="9"/>
        <color rgb="FF5A6270"/>
        <rFont val="WenQuanYi Zen Hei"/>
        <family val="2"/>
      </rPr>
      <t xml:space="preserve">순위가 “</t>
    </r>
    <r>
      <rPr>
        <sz val="9"/>
        <color rgb="FF5A6270"/>
        <rFont val="맑은 고딕"/>
        <family val="0"/>
        <charset val="1"/>
      </rPr>
      <t xml:space="preserve">1</t>
    </r>
    <r>
      <rPr>
        <sz val="9"/>
        <color rgb="FF5A6270"/>
        <rFont val="WenQuanYi Zen Hei"/>
        <family val="2"/>
      </rPr>
      <t xml:space="preserve">페이지 중단”처럼 적힌 조사는 숫자 순위 없음으로 봤습니다</t>
    </r>
    <r>
      <rPr>
        <sz val="9"/>
        <color rgb="FF5A627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</si>
</sst>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\-"/>
    <numFmt numFmtId="166" formatCode="0%"/>
    <numFmt numFmtId="167" formatCode="#,##0;\-#,##0;&quot;-원&quot;"/>
    <numFmt numFmtId="168" formatCode="\+#,##0;\-#,##0;0"/>
    <numFmt numFmtId="169" formatCode="0\회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WenQuanYi Zen Hei"/>
      <family val="2"/>
    </font>
    <font>
      <b val="true"/>
      <sz val="15"/>
      <color rgb="FF1F2A44"/>
      <name val="맑은 고딕"/>
      <family val="0"/>
      <charset val="1"/>
    </font>
    <font>
      <sz val="9"/>
      <color rgb="FF5A6270"/>
      <name val="WenQuanYi Zen Hei"/>
      <family val="2"/>
    </font>
    <font>
      <sz val="9"/>
      <color rgb="FF5A6270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2"/>
      <color rgb="FF1F2A44"/>
      <name val="WenQuanYi Zen Hei"/>
      <family val="2"/>
    </font>
    <font>
      <b val="true"/>
      <sz val="12"/>
      <color rgb="FF1F2A44"/>
      <name val="맑은 고딕"/>
      <family val="0"/>
      <charset val="1"/>
    </font>
    <font>
      <sz val="10"/>
      <color rgb="FF5A6270"/>
      <name val="맑은 고딕"/>
      <family val="0"/>
      <charset val="1"/>
    </font>
    <font>
      <sz val="10"/>
      <color rgb="FF5A6270"/>
      <name val="WenQuanYi Zen Hei"/>
      <family val="2"/>
    </font>
    <font>
      <sz val="10"/>
      <name val="WenQuanYi Zen Hei"/>
      <family val="2"/>
    </font>
    <font>
      <sz val="10"/>
      <color rgb="FFFFFFFF"/>
      <name val="맑은 고딕"/>
      <family val="0"/>
      <charset val="1"/>
    </font>
    <font>
      <b val="true"/>
      <sz val="10"/>
      <color rgb="FFB26A00"/>
      <name val="맑은 고딕"/>
      <family val="0"/>
      <charset val="1"/>
    </font>
    <font>
      <b val="true"/>
      <sz val="10"/>
      <color rgb="FFB26A00"/>
      <name val="WenQuanYi Zen Hei"/>
      <family val="2"/>
    </font>
    <font>
      <b val="true"/>
      <sz val="10"/>
      <color rgb="FF0000FF"/>
      <name val="WenQuanYi Zen Hei"/>
      <family val="2"/>
    </font>
    <font>
      <sz val="10"/>
      <color rgb="FF1F2A44"/>
      <name val="WenQuanYi Zen Hei"/>
      <family val="2"/>
    </font>
    <font>
      <sz val="10"/>
      <color rgb="FF1F2A44"/>
      <name val="맑은 고딕"/>
      <family val="0"/>
      <charset val="1"/>
    </font>
    <font>
      <b val="true"/>
      <sz val="10"/>
      <color rgb="FF1D7A3E"/>
      <name val="맑은 고딕"/>
      <family val="0"/>
      <charset val="1"/>
    </font>
    <font>
      <b val="true"/>
      <sz val="10"/>
      <color rgb="FF1D7A3E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E9EEF7"/>
      </patternFill>
    </fill>
    <fill>
      <patternFill patternType="solid">
        <fgColor rgb="FFE9EEF7"/>
        <bgColor rgb="FFF2F3F5"/>
      </patternFill>
    </fill>
    <fill>
      <patternFill patternType="solid">
        <fgColor rgb="FFD6DFEE"/>
        <bgColor rgb="FFD5D9E0"/>
      </patternFill>
    </fill>
    <fill>
      <patternFill patternType="solid">
        <fgColor rgb="FFFFF1D6"/>
        <bgColor rgb="FFF2F3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n">
        <color rgb="FFD5D9E0"/>
      </left>
      <right/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C00000"/>
      </font>
    </dxf>
    <dxf>
      <font>
        <name val="맑은 고딕"/>
        <charset val="1"/>
        <family val="0"/>
        <b val="1"/>
        <color rgb="FF9A62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7A3E"/>
      <rgbColor rgb="FF000080"/>
      <rgbColor rgb="FF9A6200"/>
      <rgbColor rgb="FF800080"/>
      <rgbColor rgb="FF008080"/>
      <rgbColor rgb="FFC0C0C0"/>
      <rgbColor rgb="FF808080"/>
      <rgbColor rgb="FF9999FF"/>
      <rgbColor rgb="FF993366"/>
      <rgbColor rgb="FFFFF1D6"/>
      <rgbColor rgb="FFE9EEF7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5"/>
      <rgbColor rgb="FFD6DFE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26A00"/>
      <rgbColor rgb="FF5A62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V1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21" min="3" style="0" width="8"/>
    <col collapsed="false" customWidth="true" hidden="false" outlineLevel="0" max="22" min="22" style="0" width="2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10</v>
      </c>
      <c r="C5" s="6" t="n">
        <v>337</v>
      </c>
      <c r="D5" s="7" t="n">
        <v>18</v>
      </c>
      <c r="E5" s="7" t="n">
        <v>71</v>
      </c>
      <c r="F5" s="5" t="n">
        <v>1</v>
      </c>
      <c r="G5" s="5" t="n">
        <v>2</v>
      </c>
    </row>
    <row r="6" customFormat="false" ht="15" hidden="false" customHeight="false" outlineLevel="0" collapsed="false">
      <c r="A6" s="4" t="s">
        <v>10</v>
      </c>
      <c r="B6" s="5" t="n">
        <v>12</v>
      </c>
      <c r="C6" s="6" t="n">
        <v>288</v>
      </c>
      <c r="D6" s="7" t="n">
        <v>25</v>
      </c>
      <c r="E6" s="7" t="n">
        <v>123</v>
      </c>
      <c r="F6" s="5" t="n">
        <v>3</v>
      </c>
      <c r="G6" s="5" t="n">
        <v>3</v>
      </c>
    </row>
    <row r="7" customFormat="false" ht="15" hidden="false" customHeight="false" outlineLevel="0" collapsed="false">
      <c r="A7" s="4" t="s">
        <v>11</v>
      </c>
      <c r="B7" s="5" t="n">
        <v>2</v>
      </c>
      <c r="C7" s="6" t="n">
        <v>369</v>
      </c>
      <c r="D7" s="7" t="n">
        <v>5</v>
      </c>
      <c r="E7" s="7" t="n">
        <v>34</v>
      </c>
      <c r="F7" s="5" t="n">
        <v>0</v>
      </c>
      <c r="G7" s="5" t="n">
        <v>0</v>
      </c>
    </row>
    <row r="8" customFormat="false" ht="15" hidden="false" customHeight="false" outlineLevel="0" collapsed="false">
      <c r="A8" s="8" t="s">
        <v>12</v>
      </c>
      <c r="B8" s="9" t="n">
        <f aca="false">B5+B6+B7</f>
        <v>24</v>
      </c>
      <c r="C8" s="9" t="n">
        <f aca="false">C5+C6+C7</f>
        <v>994</v>
      </c>
      <c r="D8" s="9" t="n">
        <f aca="false">D5+D6+D7</f>
        <v>48</v>
      </c>
      <c r="E8" s="9" t="n">
        <f aca="false">E5+E6+E7</f>
        <v>228</v>
      </c>
      <c r="F8" s="9" t="n">
        <f aca="false">F5+F6+F7</f>
        <v>4</v>
      </c>
      <c r="G8" s="9" t="n">
        <f aca="false">G5+G6+G7</f>
        <v>5</v>
      </c>
    </row>
    <row r="9" customFormat="false" ht="15" hidden="false" customHeight="false" outlineLevel="0" collapsed="false">
      <c r="A9" s="2" t="s">
        <v>13</v>
      </c>
    </row>
    <row r="11" customFormat="false" ht="17.15" hidden="false" customHeight="false" outlineLevel="0" collapsed="false">
      <c r="A11" s="10" t="s">
        <v>14</v>
      </c>
    </row>
    <row r="12" customFormat="false" ht="30" hidden="false" customHeight="true" outlineLevel="0" collapsed="false">
      <c r="A12" s="3" t="s">
        <v>15</v>
      </c>
      <c r="B12" s="3"/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  <c r="I12" s="3" t="s">
        <v>22</v>
      </c>
      <c r="J12" s="3" t="s">
        <v>23</v>
      </c>
      <c r="K12" s="3" t="s">
        <v>24</v>
      </c>
    </row>
    <row r="13" customFormat="false" ht="15" hidden="false" customHeight="false" outlineLevel="0" collapsed="false">
      <c r="A13" s="4" t="s">
        <v>25</v>
      </c>
      <c r="B13" s="11"/>
      <c r="C13" s="7" t="n">
        <v>8</v>
      </c>
      <c r="D13" s="7" t="n">
        <v>20</v>
      </c>
      <c r="E13" s="7" t="n">
        <v>4</v>
      </c>
      <c r="F13" s="7" t="n">
        <v>5</v>
      </c>
      <c r="G13" s="7" t="n">
        <v>2</v>
      </c>
      <c r="H13" s="7" t="n">
        <v>11</v>
      </c>
      <c r="I13" s="12" t="n">
        <f aca="false">C13+E13+G13</f>
        <v>14</v>
      </c>
      <c r="J13" s="12" t="n">
        <f aca="false">D13+F13+H13</f>
        <v>36</v>
      </c>
      <c r="K13" s="13" t="n">
        <f aca="false">J13/J18</f>
        <v>0.157894736842105</v>
      </c>
    </row>
    <row r="14" customFormat="false" ht="15" hidden="false" customHeight="false" outlineLevel="0" collapsed="false">
      <c r="A14" s="4" t="s">
        <v>26</v>
      </c>
      <c r="B14" s="11"/>
      <c r="C14" s="7" t="n">
        <v>2</v>
      </c>
      <c r="D14" s="7" t="n">
        <v>25</v>
      </c>
      <c r="E14" s="7" t="n">
        <v>1</v>
      </c>
      <c r="F14" s="7" t="n">
        <v>19</v>
      </c>
      <c r="G14" s="7" t="n">
        <v>2</v>
      </c>
      <c r="H14" s="7" t="n">
        <v>17</v>
      </c>
      <c r="I14" s="12" t="n">
        <f aca="false">C14+E14+G14</f>
        <v>5</v>
      </c>
      <c r="J14" s="12" t="n">
        <f aca="false">D14+F14+H14</f>
        <v>61</v>
      </c>
      <c r="K14" s="13" t="n">
        <f aca="false">J14/J18</f>
        <v>0.267543859649123</v>
      </c>
    </row>
    <row r="15" customFormat="false" ht="15" hidden="false" customHeight="false" outlineLevel="0" collapsed="false">
      <c r="A15" s="14" t="s">
        <v>27</v>
      </c>
      <c r="B15" s="11"/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12" t="n">
        <f aca="false">C15+E15+G15</f>
        <v>0</v>
      </c>
      <c r="J15" s="12" t="n">
        <f aca="false">D15+F15+H15</f>
        <v>0</v>
      </c>
      <c r="K15" s="13" t="n">
        <f aca="false">J15/J18</f>
        <v>0</v>
      </c>
    </row>
    <row r="16" customFormat="false" ht="15" hidden="false" customHeight="false" outlineLevel="0" collapsed="false">
      <c r="A16" s="4" t="s">
        <v>28</v>
      </c>
      <c r="B16" s="11" t="s">
        <v>29</v>
      </c>
      <c r="C16" s="7" t="n">
        <v>8</v>
      </c>
      <c r="D16" s="7" t="n">
        <v>26</v>
      </c>
      <c r="E16" s="7" t="n">
        <v>20</v>
      </c>
      <c r="F16" s="7" t="n">
        <v>99</v>
      </c>
      <c r="G16" s="7" t="n">
        <v>0</v>
      </c>
      <c r="H16" s="7" t="n">
        <v>0</v>
      </c>
      <c r="I16" s="12" t="n">
        <f aca="false">C16+E16+G16</f>
        <v>28</v>
      </c>
      <c r="J16" s="12" t="n">
        <f aca="false">D16+F16+H16</f>
        <v>125</v>
      </c>
      <c r="K16" s="13" t="n">
        <f aca="false">J16/J18</f>
        <v>0.548245614035088</v>
      </c>
    </row>
    <row r="17" customFormat="false" ht="15" hidden="false" customHeight="false" outlineLevel="0" collapsed="false">
      <c r="A17" s="4" t="s">
        <v>30</v>
      </c>
      <c r="B17" s="11"/>
      <c r="C17" s="7" t="n">
        <v>0</v>
      </c>
      <c r="D17" s="7" t="n">
        <v>0</v>
      </c>
      <c r="E17" s="7" t="n">
        <v>0</v>
      </c>
      <c r="F17" s="7" t="n">
        <v>0</v>
      </c>
      <c r="G17" s="7" t="n">
        <v>1</v>
      </c>
      <c r="H17" s="7" t="n">
        <v>6</v>
      </c>
      <c r="I17" s="12" t="n">
        <f aca="false">C17+E17+G17</f>
        <v>1</v>
      </c>
      <c r="J17" s="12" t="n">
        <f aca="false">D17+F17+H17</f>
        <v>6</v>
      </c>
      <c r="K17" s="13" t="n">
        <f aca="false">J17/J18</f>
        <v>0.0263157894736842</v>
      </c>
    </row>
    <row r="18" customFormat="false" ht="15" hidden="false" customHeight="false" outlineLevel="0" collapsed="false">
      <c r="A18" s="8" t="s">
        <v>12</v>
      </c>
      <c r="B18" s="15"/>
      <c r="C18" s="9" t="n">
        <f aca="false">C13+C14+C15+C16+C17</f>
        <v>18</v>
      </c>
      <c r="D18" s="9" t="n">
        <f aca="false">D13+D14+D15+D16+D17</f>
        <v>71</v>
      </c>
      <c r="E18" s="9" t="n">
        <f aca="false">E13+E14+E15+E16+E17</f>
        <v>25</v>
      </c>
      <c r="F18" s="9" t="n">
        <f aca="false">F13+F14+F15+F16+F17</f>
        <v>123</v>
      </c>
      <c r="G18" s="9" t="n">
        <f aca="false">G13+G14+G15+G16+G17</f>
        <v>5</v>
      </c>
      <c r="H18" s="9" t="n">
        <f aca="false">H13+H14+H15+H16+H17</f>
        <v>34</v>
      </c>
      <c r="I18" s="9" t="n">
        <f aca="false">I13+I14+I15+I16+I17</f>
        <v>48</v>
      </c>
      <c r="J18" s="9" t="n">
        <f aca="false">J13+J14+J15+J16+J17</f>
        <v>228</v>
      </c>
      <c r="K18" s="16" t="n">
        <f aca="false">J18/J18</f>
        <v>1</v>
      </c>
    </row>
    <row r="20" customFormat="false" ht="17.15" hidden="false" customHeight="false" outlineLevel="0" collapsed="false">
      <c r="A20" s="10" t="s">
        <v>31</v>
      </c>
    </row>
    <row r="21" customFormat="false" ht="30" hidden="false" customHeight="true" outlineLevel="0" collapsed="false">
      <c r="A21" s="3" t="s">
        <v>32</v>
      </c>
      <c r="B21" s="3"/>
      <c r="C21" s="3" t="s">
        <v>33</v>
      </c>
      <c r="D21" s="3" t="s">
        <v>34</v>
      </c>
      <c r="E21" s="3" t="s">
        <v>35</v>
      </c>
      <c r="F21" s="17" t="s">
        <v>36</v>
      </c>
      <c r="G21" s="17" t="s">
        <v>37</v>
      </c>
      <c r="H21" s="17" t="s">
        <v>38</v>
      </c>
      <c r="I21" s="17" t="s">
        <v>39</v>
      </c>
      <c r="J21" s="17" t="s">
        <v>40</v>
      </c>
      <c r="K21" s="17" t="s">
        <v>41</v>
      </c>
      <c r="L21" s="3"/>
      <c r="M21" s="3" t="s">
        <v>42</v>
      </c>
      <c r="N21" s="3" t="s">
        <v>43</v>
      </c>
      <c r="O21" s="17" t="s">
        <v>44</v>
      </c>
      <c r="P21" s="3" t="s">
        <v>45</v>
      </c>
      <c r="Q21" s="3" t="s">
        <v>46</v>
      </c>
      <c r="R21" s="3" t="s">
        <v>47</v>
      </c>
      <c r="S21" s="3" t="s">
        <v>48</v>
      </c>
    </row>
    <row r="22" customFormat="false" ht="15" hidden="false" customHeight="false" outlineLevel="0" collapsed="false">
      <c r="A22" s="18" t="s">
        <v>49</v>
      </c>
      <c r="B22" s="18"/>
      <c r="C22" s="19" t="n">
        <f aca="false">SUM(C23:C32)</f>
        <v>337</v>
      </c>
      <c r="D22" s="19" t="n">
        <f aca="false">SUM(D23:D32)</f>
        <v>18</v>
      </c>
      <c r="E22" s="19" t="n">
        <f aca="false">SUM(E23:E32)</f>
        <v>71</v>
      </c>
      <c r="F22" s="19" t="n">
        <f aca="false">SUM(F23:F32)</f>
        <v>20</v>
      </c>
      <c r="G22" s="19" t="n">
        <f aca="false">SUM(G23:G32)</f>
        <v>10</v>
      </c>
      <c r="H22" s="19" t="n">
        <f aca="false">SUM(H23:H32)</f>
        <v>0</v>
      </c>
      <c r="I22" s="19" t="n">
        <f aca="false">SUM(I23:I32)</f>
        <v>8</v>
      </c>
      <c r="J22" s="19" t="n">
        <f aca="false">SUM(J23:J32)</f>
        <v>19</v>
      </c>
      <c r="K22" s="19" t="n">
        <f aca="false">SUM(K23:K32)</f>
        <v>14</v>
      </c>
      <c r="L22" s="20"/>
      <c r="M22" s="19" t="n">
        <f aca="false">SUM(M23:M32)</f>
        <v>20</v>
      </c>
      <c r="N22" s="19" t="n">
        <f aca="false">SUM(N23:N32)</f>
        <v>25</v>
      </c>
      <c r="O22" s="19" t="n">
        <f aca="false">SUM(O23:O32)</f>
        <v>0</v>
      </c>
      <c r="P22" s="19" t="n">
        <f aca="false">SUM(P23:P32)</f>
        <v>26</v>
      </c>
      <c r="Q22" s="19" t="n">
        <f aca="false">SUM(Q23:Q32)</f>
        <v>0</v>
      </c>
      <c r="R22" s="19" t="n">
        <f aca="false">SUM(R23:R32)</f>
        <v>23</v>
      </c>
      <c r="S22" s="20"/>
    </row>
    <row r="23" customFormat="false" ht="15" hidden="true" customHeight="false" outlineLevel="1" collapsed="false">
      <c r="A23" s="21" t="s">
        <v>50</v>
      </c>
      <c r="B23" s="21"/>
      <c r="C23" s="7" t="n">
        <v>18</v>
      </c>
      <c r="D23" s="7" t="n">
        <v>3</v>
      </c>
      <c r="E23" s="12" t="n">
        <f aca="false">SUM(F23:K23)</f>
        <v>22</v>
      </c>
      <c r="F23" s="7" t="n">
        <v>20</v>
      </c>
      <c r="G23" s="7" t="n">
        <v>0</v>
      </c>
      <c r="H23" s="7" t="n">
        <v>0</v>
      </c>
      <c r="I23" s="7" t="n">
        <v>0</v>
      </c>
      <c r="J23" s="7" t="n">
        <v>2</v>
      </c>
      <c r="K23" s="7" t="n">
        <v>0</v>
      </c>
      <c r="L23" s="22"/>
      <c r="M23" s="7" t="n">
        <v>2</v>
      </c>
      <c r="N23" s="7" t="n">
        <v>20</v>
      </c>
      <c r="O23" s="7" t="n">
        <v>0</v>
      </c>
      <c r="P23" s="7" t="n">
        <v>0</v>
      </c>
      <c r="Q23" s="7" t="n">
        <v>0</v>
      </c>
      <c r="R23" s="7" t="n">
        <v>1</v>
      </c>
      <c r="S23" s="23" t="str">
        <f aca="false">IF(C23&lt;=0,"품절",IF(C23&lt;=10,"부족",IF(E23=0,"판매 없음","")))</f>
        <v/>
      </c>
    </row>
    <row r="24" customFormat="false" ht="15" hidden="true" customHeight="false" outlineLevel="1" collapsed="false">
      <c r="A24" s="21" t="s">
        <v>51</v>
      </c>
      <c r="B24" s="21"/>
      <c r="C24" s="7" t="n">
        <v>29</v>
      </c>
      <c r="D24" s="7" t="n">
        <v>2</v>
      </c>
      <c r="E24" s="12" t="n">
        <f aca="false">SUM(F24:K24)</f>
        <v>14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2</v>
      </c>
      <c r="K24" s="7" t="n">
        <v>12</v>
      </c>
      <c r="L24" s="22"/>
      <c r="M24" s="7" t="n">
        <v>12</v>
      </c>
      <c r="N24" s="7" t="n">
        <v>0</v>
      </c>
      <c r="O24" s="7" t="n">
        <v>0</v>
      </c>
      <c r="P24" s="7" t="n">
        <v>2</v>
      </c>
      <c r="Q24" s="7" t="n">
        <v>0</v>
      </c>
      <c r="R24" s="7" t="n">
        <v>12</v>
      </c>
      <c r="S24" s="23" t="str">
        <f aca="false">IF(C24&lt;=0,"품절",IF(C24&lt;=10,"부족",IF(E24=0,"판매 없음","")))</f>
        <v/>
      </c>
    </row>
    <row r="25" customFormat="false" ht="15" hidden="true" customHeight="false" outlineLevel="1" collapsed="false">
      <c r="A25" s="21" t="s">
        <v>52</v>
      </c>
      <c r="B25" s="21"/>
      <c r="C25" s="7" t="n">
        <v>8</v>
      </c>
      <c r="D25" s="7" t="n">
        <v>4</v>
      </c>
      <c r="E25" s="12" t="n">
        <f aca="false">SUM(F25:K25)</f>
        <v>13</v>
      </c>
      <c r="F25" s="7" t="n">
        <v>0</v>
      </c>
      <c r="G25" s="7" t="n">
        <v>0</v>
      </c>
      <c r="H25" s="7" t="n">
        <v>0</v>
      </c>
      <c r="I25" s="7" t="n">
        <v>7</v>
      </c>
      <c r="J25" s="7" t="n">
        <v>6</v>
      </c>
      <c r="K25" s="7" t="n">
        <v>0</v>
      </c>
      <c r="L25" s="22"/>
      <c r="M25" s="7" t="n">
        <v>2</v>
      </c>
      <c r="N25" s="7" t="n">
        <v>5</v>
      </c>
      <c r="O25" s="7" t="n">
        <v>0</v>
      </c>
      <c r="P25" s="7" t="n">
        <v>6</v>
      </c>
      <c r="Q25" s="7" t="n">
        <v>0</v>
      </c>
      <c r="R25" s="7" t="n">
        <v>0</v>
      </c>
      <c r="S25" s="23" t="str">
        <f aca="false">IF(C25&lt;=0,"품절",IF(C25&lt;=10,"부족",IF(E25=0,"판매 없음","")))</f>
        <v>부족</v>
      </c>
    </row>
    <row r="26" customFormat="false" ht="15" hidden="true" customHeight="false" outlineLevel="1" collapsed="false">
      <c r="A26" s="21" t="s">
        <v>53</v>
      </c>
      <c r="B26" s="21"/>
      <c r="C26" s="7" t="n">
        <v>30</v>
      </c>
      <c r="D26" s="7" t="n">
        <v>2</v>
      </c>
      <c r="E26" s="12" t="n">
        <f aca="false">SUM(F26:K26)</f>
        <v>11</v>
      </c>
      <c r="F26" s="7" t="n">
        <v>0</v>
      </c>
      <c r="G26" s="7" t="n">
        <v>10</v>
      </c>
      <c r="H26" s="7" t="n">
        <v>0</v>
      </c>
      <c r="I26" s="7" t="n">
        <v>0</v>
      </c>
      <c r="J26" s="7" t="n">
        <v>1</v>
      </c>
      <c r="K26" s="7" t="n">
        <v>0</v>
      </c>
      <c r="L26" s="22"/>
      <c r="M26" s="7" t="n">
        <v>0</v>
      </c>
      <c r="N26" s="7" t="n">
        <v>0</v>
      </c>
      <c r="O26" s="7" t="n">
        <v>0</v>
      </c>
      <c r="P26" s="7" t="n">
        <v>11</v>
      </c>
      <c r="Q26" s="7" t="n">
        <v>0</v>
      </c>
      <c r="R26" s="7" t="n">
        <v>0</v>
      </c>
      <c r="S26" s="23" t="str">
        <f aca="false">IF(C26&lt;=0,"품절",IF(C26&lt;=10,"부족",IF(E26=0,"판매 없음","")))</f>
        <v/>
      </c>
    </row>
    <row r="27" customFormat="false" ht="15" hidden="true" customHeight="false" outlineLevel="1" collapsed="false">
      <c r="A27" s="21" t="s">
        <v>54</v>
      </c>
      <c r="B27" s="21"/>
      <c r="C27" s="7" t="n">
        <v>91</v>
      </c>
      <c r="D27" s="7" t="n">
        <v>5</v>
      </c>
      <c r="E27" s="12" t="n">
        <f aca="false">SUM(F27:K27)</f>
        <v>9</v>
      </c>
      <c r="F27" s="7" t="n">
        <v>0</v>
      </c>
      <c r="G27" s="7" t="n">
        <v>0</v>
      </c>
      <c r="H27" s="7" t="n">
        <v>0</v>
      </c>
      <c r="I27" s="7" t="n">
        <v>1</v>
      </c>
      <c r="J27" s="7" t="n">
        <v>6</v>
      </c>
      <c r="K27" s="7" t="n">
        <v>2</v>
      </c>
      <c r="L27" s="22"/>
      <c r="M27" s="7" t="n">
        <v>4</v>
      </c>
      <c r="N27" s="7" t="n">
        <v>0</v>
      </c>
      <c r="O27" s="7" t="n">
        <v>0</v>
      </c>
      <c r="P27" s="7" t="n">
        <v>5</v>
      </c>
      <c r="Q27" s="7" t="n">
        <v>0</v>
      </c>
      <c r="R27" s="7" t="n">
        <v>8</v>
      </c>
      <c r="S27" s="23" t="str">
        <f aca="false">IF(C27&lt;=0,"품절",IF(C27&lt;=10,"부족",IF(E27=0,"판매 없음","")))</f>
        <v/>
      </c>
    </row>
    <row r="28" customFormat="false" ht="15" hidden="true" customHeight="false" outlineLevel="1" collapsed="false">
      <c r="A28" s="21" t="s">
        <v>55</v>
      </c>
      <c r="B28" s="21"/>
      <c r="C28" s="7" t="n">
        <v>13</v>
      </c>
      <c r="D28" s="7" t="n">
        <v>2</v>
      </c>
      <c r="E28" s="12" t="n">
        <f aca="false">SUM(F28:K28)</f>
        <v>2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2</v>
      </c>
      <c r="K28" s="7" t="n">
        <v>0</v>
      </c>
      <c r="L28" s="22"/>
      <c r="M28" s="7" t="n">
        <v>0</v>
      </c>
      <c r="N28" s="7" t="n">
        <v>0</v>
      </c>
      <c r="O28" s="7" t="n">
        <v>0</v>
      </c>
      <c r="P28" s="7" t="n">
        <v>2</v>
      </c>
      <c r="Q28" s="7" t="n">
        <v>0</v>
      </c>
      <c r="R28" s="7" t="n">
        <v>2</v>
      </c>
      <c r="S28" s="23" t="str">
        <f aca="false">IF(C28&lt;=0,"품절",IF(C28&lt;=10,"부족",IF(E28=0,"판매 없음","")))</f>
        <v/>
      </c>
    </row>
    <row r="29" customFormat="false" ht="15" hidden="true" customHeight="false" outlineLevel="1" collapsed="false">
      <c r="A29" s="21" t="s">
        <v>56</v>
      </c>
      <c r="B29" s="21"/>
      <c r="C29" s="7" t="n">
        <v>104</v>
      </c>
      <c r="D29" s="7" t="n">
        <v>0</v>
      </c>
      <c r="E29" s="12" t="n">
        <f aca="false">SUM(F29:K29)</f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22"/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23" t="str">
        <f aca="false">IF(C29&lt;=0,"품절",IF(C29&lt;=10,"부족",IF(E29=0,"판매 없음","")))</f>
        <v>판매 없음</v>
      </c>
    </row>
    <row r="30" customFormat="false" ht="15" hidden="true" customHeight="false" outlineLevel="1" collapsed="false">
      <c r="A30" s="21" t="s">
        <v>57</v>
      </c>
      <c r="B30" s="21"/>
      <c r="C30" s="7" t="n">
        <v>42</v>
      </c>
      <c r="D30" s="7" t="n">
        <v>0</v>
      </c>
      <c r="E30" s="12" t="n">
        <f aca="false">SUM(F30:K30)</f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22"/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23" t="str">
        <f aca="false">IF(C30&lt;=0,"품절",IF(C30&lt;=10,"부족",IF(E30=0,"판매 없음","")))</f>
        <v>판매 없음</v>
      </c>
    </row>
    <row r="31" customFormat="false" ht="15" hidden="true" customHeight="false" outlineLevel="1" collapsed="false">
      <c r="A31" s="21" t="s">
        <v>58</v>
      </c>
      <c r="B31" s="21"/>
      <c r="C31" s="7" t="n">
        <v>2</v>
      </c>
      <c r="D31" s="7" t="n">
        <v>0</v>
      </c>
      <c r="E31" s="12" t="n">
        <f aca="false">SUM(F31:K31)</f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22"/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23" t="str">
        <f aca="false">IF(C31&lt;=0,"품절",IF(C31&lt;=10,"부족",IF(E31=0,"판매 없음","")))</f>
        <v>부족</v>
      </c>
    </row>
    <row r="32" customFormat="false" ht="15" hidden="true" customHeight="false" outlineLevel="1" collapsed="false">
      <c r="A32" s="21" t="s">
        <v>59</v>
      </c>
      <c r="B32" s="21"/>
      <c r="C32" s="7" t="n">
        <v>0</v>
      </c>
      <c r="D32" s="7" t="n">
        <v>0</v>
      </c>
      <c r="E32" s="12" t="n">
        <f aca="false">SUM(F32:K32)</f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22"/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23" t="str">
        <f aca="false">IF(C32&lt;=0,"품절",IF(C32&lt;=10,"부족",IF(E32=0,"판매 없음","")))</f>
        <v>품절</v>
      </c>
    </row>
    <row r="33" customFormat="false" ht="15" hidden="false" customHeight="false" outlineLevel="0" collapsed="false">
      <c r="A33" s="18" t="s">
        <v>60</v>
      </c>
      <c r="B33" s="18"/>
      <c r="C33" s="19" t="n">
        <f aca="false">SUM(C34:C45)</f>
        <v>288</v>
      </c>
      <c r="D33" s="19" t="n">
        <f aca="false">SUM(D34:D45)</f>
        <v>25</v>
      </c>
      <c r="E33" s="19" t="n">
        <f aca="false">SUM(E34:E45)</f>
        <v>123</v>
      </c>
      <c r="F33" s="19" t="n">
        <f aca="false">SUM(F34:F45)</f>
        <v>50</v>
      </c>
      <c r="G33" s="19" t="n">
        <f aca="false">SUM(G34:G45)</f>
        <v>17</v>
      </c>
      <c r="H33" s="19" t="n">
        <f aca="false">SUM(H34:H45)</f>
        <v>2</v>
      </c>
      <c r="I33" s="19" t="n">
        <f aca="false">SUM(I34:I45)</f>
        <v>43</v>
      </c>
      <c r="J33" s="19" t="n">
        <f aca="false">SUM(J34:J45)</f>
        <v>10</v>
      </c>
      <c r="K33" s="19" t="n">
        <f aca="false">SUM(K34:K45)</f>
        <v>1</v>
      </c>
      <c r="L33" s="20"/>
      <c r="M33" s="19" t="n">
        <f aca="false">SUM(M34:M45)</f>
        <v>5</v>
      </c>
      <c r="N33" s="19" t="n">
        <f aca="false">SUM(N34:N45)</f>
        <v>19</v>
      </c>
      <c r="O33" s="19" t="n">
        <f aca="false">SUM(O34:O45)</f>
        <v>0</v>
      </c>
      <c r="P33" s="19" t="n">
        <f aca="false">SUM(P34:P45)</f>
        <v>99</v>
      </c>
      <c r="Q33" s="19" t="n">
        <f aca="false">SUM(Q34:Q45)</f>
        <v>0</v>
      </c>
      <c r="R33" s="19" t="n">
        <f aca="false">SUM(R34:R45)</f>
        <v>8</v>
      </c>
      <c r="S33" s="20"/>
    </row>
    <row r="34" customFormat="false" ht="15" hidden="true" customHeight="false" outlineLevel="1" collapsed="false">
      <c r="A34" s="21" t="s">
        <v>61</v>
      </c>
      <c r="B34" s="21"/>
      <c r="C34" s="7" t="n">
        <v>0</v>
      </c>
      <c r="D34" s="7" t="n">
        <v>1</v>
      </c>
      <c r="E34" s="12" t="n">
        <f aca="false">SUM(F34:K34)</f>
        <v>50</v>
      </c>
      <c r="F34" s="7" t="n">
        <v>50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22"/>
      <c r="M34" s="7" t="n">
        <v>0</v>
      </c>
      <c r="N34" s="7" t="n">
        <v>0</v>
      </c>
      <c r="O34" s="7" t="n">
        <v>0</v>
      </c>
      <c r="P34" s="7" t="n">
        <v>50</v>
      </c>
      <c r="Q34" s="7" t="n">
        <v>0</v>
      </c>
      <c r="R34" s="7" t="n">
        <v>0</v>
      </c>
      <c r="S34" s="23" t="str">
        <f aca="false">IF(C34&lt;=0,"품절",IF(C34&lt;=10,"부족",IF(E34=0,"판매 없음","")))</f>
        <v>품절</v>
      </c>
    </row>
    <row r="35" customFormat="false" ht="15" hidden="true" customHeight="false" outlineLevel="1" collapsed="false">
      <c r="A35" s="21" t="s">
        <v>62</v>
      </c>
      <c r="B35" s="21"/>
      <c r="C35" s="7" t="n">
        <v>8</v>
      </c>
      <c r="D35" s="7" t="n">
        <v>1</v>
      </c>
      <c r="E35" s="12" t="n">
        <f aca="false">SUM(F35:K35)</f>
        <v>19</v>
      </c>
      <c r="F35" s="7" t="n">
        <v>0</v>
      </c>
      <c r="G35" s="7" t="n">
        <v>0</v>
      </c>
      <c r="H35" s="7" t="n">
        <v>0</v>
      </c>
      <c r="I35" s="7" t="n">
        <v>19</v>
      </c>
      <c r="J35" s="7" t="n">
        <v>0</v>
      </c>
      <c r="K35" s="7" t="n">
        <v>0</v>
      </c>
      <c r="L35" s="22"/>
      <c r="M35" s="7" t="n">
        <v>0</v>
      </c>
      <c r="N35" s="7" t="n">
        <v>19</v>
      </c>
      <c r="O35" s="7" t="n">
        <v>0</v>
      </c>
      <c r="P35" s="7" t="n">
        <v>0</v>
      </c>
      <c r="Q35" s="7" t="n">
        <v>0</v>
      </c>
      <c r="R35" s="7" t="n">
        <v>0</v>
      </c>
      <c r="S35" s="23" t="str">
        <f aca="false">IF(C35&lt;=0,"품절",IF(C35&lt;=10,"부족",IF(E35=0,"판매 없음","")))</f>
        <v>부족</v>
      </c>
    </row>
    <row r="36" customFormat="false" ht="15" hidden="true" customHeight="false" outlineLevel="1" collapsed="false">
      <c r="A36" s="21" t="s">
        <v>63</v>
      </c>
      <c r="B36" s="21"/>
      <c r="C36" s="7" t="n">
        <v>0</v>
      </c>
      <c r="D36" s="7" t="n">
        <v>5</v>
      </c>
      <c r="E36" s="12" t="n">
        <f aca="false">SUM(F36:K36)</f>
        <v>14</v>
      </c>
      <c r="F36" s="7" t="n">
        <v>0</v>
      </c>
      <c r="G36" s="7" t="n">
        <v>0</v>
      </c>
      <c r="H36" s="7" t="n">
        <v>0</v>
      </c>
      <c r="I36" s="7" t="n">
        <v>14</v>
      </c>
      <c r="J36" s="7" t="n">
        <v>0</v>
      </c>
      <c r="K36" s="7" t="n">
        <v>0</v>
      </c>
      <c r="L36" s="22"/>
      <c r="M36" s="7" t="n">
        <v>0</v>
      </c>
      <c r="N36" s="7" t="n">
        <v>0</v>
      </c>
      <c r="O36" s="7" t="n">
        <v>0</v>
      </c>
      <c r="P36" s="7" t="n">
        <v>14</v>
      </c>
      <c r="Q36" s="7" t="n">
        <v>0</v>
      </c>
      <c r="R36" s="7" t="n">
        <v>0</v>
      </c>
      <c r="S36" s="23" t="str">
        <f aca="false">IF(C36&lt;=0,"품절",IF(C36&lt;=10,"부족",IF(E36=0,"판매 없음","")))</f>
        <v>품절</v>
      </c>
    </row>
    <row r="37" customFormat="false" ht="15" hidden="true" customHeight="false" outlineLevel="1" collapsed="false">
      <c r="A37" s="21" t="s">
        <v>64</v>
      </c>
      <c r="B37" s="21"/>
      <c r="C37" s="7" t="n">
        <v>68</v>
      </c>
      <c r="D37" s="7" t="n">
        <v>6</v>
      </c>
      <c r="E37" s="12" t="n">
        <f aca="false">SUM(F37:K37)</f>
        <v>12</v>
      </c>
      <c r="F37" s="7" t="n">
        <v>0</v>
      </c>
      <c r="G37" s="7" t="n">
        <v>6</v>
      </c>
      <c r="H37" s="7" t="n">
        <v>0</v>
      </c>
      <c r="I37" s="7" t="n">
        <v>2</v>
      </c>
      <c r="J37" s="7" t="n">
        <v>3</v>
      </c>
      <c r="K37" s="7" t="n">
        <v>1</v>
      </c>
      <c r="L37" s="22"/>
      <c r="M37" s="7" t="n">
        <v>2</v>
      </c>
      <c r="N37" s="7" t="n">
        <v>0</v>
      </c>
      <c r="O37" s="7" t="n">
        <v>0</v>
      </c>
      <c r="P37" s="7" t="n">
        <v>10</v>
      </c>
      <c r="Q37" s="7" t="n">
        <v>0</v>
      </c>
      <c r="R37" s="7" t="n">
        <v>2</v>
      </c>
      <c r="S37" s="23" t="str">
        <f aca="false">IF(C37&lt;=0,"품절",IF(C37&lt;=10,"부족",IF(E37=0,"판매 없음","")))</f>
        <v/>
      </c>
    </row>
    <row r="38" customFormat="false" ht="15" hidden="true" customHeight="false" outlineLevel="1" collapsed="false">
      <c r="A38" s="21" t="s">
        <v>65</v>
      </c>
      <c r="B38" s="21"/>
      <c r="C38" s="7" t="n">
        <v>15</v>
      </c>
      <c r="D38" s="7" t="n">
        <v>5</v>
      </c>
      <c r="E38" s="12" t="n">
        <f aca="false">SUM(F38:K38)</f>
        <v>12</v>
      </c>
      <c r="F38" s="7" t="n">
        <v>0</v>
      </c>
      <c r="G38" s="7" t="n">
        <v>0</v>
      </c>
      <c r="H38" s="7" t="n">
        <v>1</v>
      </c>
      <c r="I38" s="7" t="n">
        <v>5</v>
      </c>
      <c r="J38" s="7" t="n">
        <v>6</v>
      </c>
      <c r="K38" s="7" t="n">
        <v>0</v>
      </c>
      <c r="L38" s="22"/>
      <c r="M38" s="7" t="n">
        <v>1</v>
      </c>
      <c r="N38" s="7" t="n">
        <v>0</v>
      </c>
      <c r="O38" s="7" t="n">
        <v>0</v>
      </c>
      <c r="P38" s="7" t="n">
        <v>11</v>
      </c>
      <c r="Q38" s="7" t="n">
        <v>0</v>
      </c>
      <c r="R38" s="7" t="n">
        <v>5</v>
      </c>
      <c r="S38" s="23" t="str">
        <f aca="false">IF(C38&lt;=0,"품절",IF(C38&lt;=10,"부족",IF(E38=0,"판매 없음","")))</f>
        <v/>
      </c>
    </row>
    <row r="39" customFormat="false" ht="15" hidden="true" customHeight="false" outlineLevel="1" collapsed="false">
      <c r="A39" s="21" t="s">
        <v>66</v>
      </c>
      <c r="B39" s="21"/>
      <c r="C39" s="7" t="n">
        <v>2</v>
      </c>
      <c r="D39" s="7" t="n">
        <v>1</v>
      </c>
      <c r="E39" s="12" t="n">
        <f aca="false">SUM(F39:K39)</f>
        <v>5</v>
      </c>
      <c r="F39" s="7" t="n">
        <v>0</v>
      </c>
      <c r="G39" s="7" t="n">
        <v>5</v>
      </c>
      <c r="H39" s="7" t="n">
        <v>0</v>
      </c>
      <c r="I39" s="7" t="n">
        <v>0</v>
      </c>
      <c r="J39" s="7" t="n">
        <v>0</v>
      </c>
      <c r="K39" s="7" t="n">
        <v>0</v>
      </c>
      <c r="L39" s="22"/>
      <c r="M39" s="7" t="n">
        <v>0</v>
      </c>
      <c r="N39" s="7" t="n">
        <v>0</v>
      </c>
      <c r="O39" s="7" t="n">
        <v>0</v>
      </c>
      <c r="P39" s="7" t="n">
        <v>5</v>
      </c>
      <c r="Q39" s="7" t="n">
        <v>0</v>
      </c>
      <c r="R39" s="7" t="n">
        <v>0</v>
      </c>
      <c r="S39" s="23" t="str">
        <f aca="false">IF(C39&lt;=0,"품절",IF(C39&lt;=10,"부족",IF(E39=0,"판매 없음","")))</f>
        <v>부족</v>
      </c>
    </row>
    <row r="40" customFormat="false" ht="15" hidden="true" customHeight="false" outlineLevel="1" collapsed="false">
      <c r="A40" s="21" t="s">
        <v>67</v>
      </c>
      <c r="B40" s="21"/>
      <c r="C40" s="7" t="n">
        <v>2</v>
      </c>
      <c r="D40" s="7" t="n">
        <v>1</v>
      </c>
      <c r="E40" s="12" t="n">
        <f aca="false">SUM(F40:K40)</f>
        <v>5</v>
      </c>
      <c r="F40" s="7" t="n">
        <v>0</v>
      </c>
      <c r="G40" s="7" t="n">
        <v>5</v>
      </c>
      <c r="H40" s="7" t="n">
        <v>0</v>
      </c>
      <c r="I40" s="7" t="n">
        <v>0</v>
      </c>
      <c r="J40" s="7" t="n">
        <v>0</v>
      </c>
      <c r="K40" s="7" t="n">
        <v>0</v>
      </c>
      <c r="L40" s="22"/>
      <c r="M40" s="7" t="n">
        <v>0</v>
      </c>
      <c r="N40" s="7" t="n">
        <v>0</v>
      </c>
      <c r="O40" s="7" t="n">
        <v>0</v>
      </c>
      <c r="P40" s="7" t="n">
        <v>5</v>
      </c>
      <c r="Q40" s="7" t="n">
        <v>0</v>
      </c>
      <c r="R40" s="7" t="n">
        <v>0</v>
      </c>
      <c r="S40" s="23" t="str">
        <f aca="false">IF(C40&lt;=0,"품절",IF(C40&lt;=10,"부족",IF(E40=0,"판매 없음","")))</f>
        <v>부족</v>
      </c>
    </row>
    <row r="41" customFormat="false" ht="15" hidden="true" customHeight="false" outlineLevel="1" collapsed="false">
      <c r="A41" s="21" t="s">
        <v>68</v>
      </c>
      <c r="B41" s="21"/>
      <c r="C41" s="7" t="n">
        <v>27</v>
      </c>
      <c r="D41" s="7" t="n">
        <v>2</v>
      </c>
      <c r="E41" s="12" t="n">
        <f aca="false">SUM(F41:K41)</f>
        <v>3</v>
      </c>
      <c r="F41" s="7" t="n">
        <v>0</v>
      </c>
      <c r="G41" s="7" t="n">
        <v>0</v>
      </c>
      <c r="H41" s="7" t="n">
        <v>1</v>
      </c>
      <c r="I41" s="7" t="n">
        <v>2</v>
      </c>
      <c r="J41" s="7" t="n">
        <v>0</v>
      </c>
      <c r="K41" s="7" t="n">
        <v>0</v>
      </c>
      <c r="L41" s="22"/>
      <c r="M41" s="7" t="n">
        <v>1</v>
      </c>
      <c r="N41" s="7" t="n">
        <v>0</v>
      </c>
      <c r="O41" s="7" t="n">
        <v>0</v>
      </c>
      <c r="P41" s="7" t="n">
        <v>2</v>
      </c>
      <c r="Q41" s="7" t="n">
        <v>0</v>
      </c>
      <c r="R41" s="7" t="n">
        <v>0</v>
      </c>
      <c r="S41" s="23" t="str">
        <f aca="false">IF(C41&lt;=0,"품절",IF(C41&lt;=10,"부족",IF(E41=0,"판매 없음","")))</f>
        <v/>
      </c>
    </row>
    <row r="42" customFormat="false" ht="15" hidden="true" customHeight="false" outlineLevel="1" collapsed="false">
      <c r="A42" s="21" t="s">
        <v>69</v>
      </c>
      <c r="B42" s="21"/>
      <c r="C42" s="7" t="n">
        <v>0</v>
      </c>
      <c r="D42" s="7" t="n">
        <v>2</v>
      </c>
      <c r="E42" s="12" t="n">
        <f aca="false">SUM(F42:K42)</f>
        <v>2</v>
      </c>
      <c r="F42" s="7" t="n">
        <v>0</v>
      </c>
      <c r="G42" s="7" t="n">
        <v>1</v>
      </c>
      <c r="H42" s="7" t="n">
        <v>0</v>
      </c>
      <c r="I42" s="7" t="n">
        <v>0</v>
      </c>
      <c r="J42" s="7" t="n">
        <v>1</v>
      </c>
      <c r="K42" s="7" t="n">
        <v>0</v>
      </c>
      <c r="L42" s="22"/>
      <c r="M42" s="7" t="n">
        <v>1</v>
      </c>
      <c r="N42" s="7" t="n">
        <v>0</v>
      </c>
      <c r="O42" s="7" t="n">
        <v>0</v>
      </c>
      <c r="P42" s="7" t="n">
        <v>1</v>
      </c>
      <c r="Q42" s="7" t="n">
        <v>0</v>
      </c>
      <c r="R42" s="7" t="n">
        <v>1</v>
      </c>
      <c r="S42" s="23" t="str">
        <f aca="false">IF(C42&lt;=0,"품절",IF(C42&lt;=10,"부족",IF(E42=0,"판매 없음","")))</f>
        <v>품절</v>
      </c>
    </row>
    <row r="43" customFormat="false" ht="15" hidden="true" customHeight="false" outlineLevel="1" collapsed="false">
      <c r="A43" s="21" t="s">
        <v>70</v>
      </c>
      <c r="B43" s="21"/>
      <c r="C43" s="7" t="n">
        <v>36</v>
      </c>
      <c r="D43" s="7" t="n">
        <v>1</v>
      </c>
      <c r="E43" s="12" t="n">
        <f aca="false">SUM(F43:K43)</f>
        <v>1</v>
      </c>
      <c r="F43" s="7" t="n">
        <v>0</v>
      </c>
      <c r="G43" s="7" t="n">
        <v>0</v>
      </c>
      <c r="H43" s="7" t="n">
        <v>0</v>
      </c>
      <c r="I43" s="7" t="n">
        <v>1</v>
      </c>
      <c r="J43" s="7" t="n">
        <v>0</v>
      </c>
      <c r="K43" s="7" t="n">
        <v>0</v>
      </c>
      <c r="L43" s="22"/>
      <c r="M43" s="7" t="n">
        <v>0</v>
      </c>
      <c r="N43" s="7" t="n">
        <v>0</v>
      </c>
      <c r="O43" s="7" t="n">
        <v>0</v>
      </c>
      <c r="P43" s="7" t="n">
        <v>1</v>
      </c>
      <c r="Q43" s="7" t="n">
        <v>0</v>
      </c>
      <c r="R43" s="7" t="n">
        <v>0</v>
      </c>
      <c r="S43" s="23" t="str">
        <f aca="false">IF(C43&lt;=0,"품절",IF(C43&lt;=10,"부족",IF(E43=0,"판매 없음","")))</f>
        <v/>
      </c>
    </row>
    <row r="44" customFormat="false" ht="15" hidden="true" customHeight="false" outlineLevel="1" collapsed="false">
      <c r="A44" s="21" t="s">
        <v>71</v>
      </c>
      <c r="B44" s="21"/>
      <c r="C44" s="7" t="n">
        <v>80</v>
      </c>
      <c r="D44" s="7" t="n">
        <v>0</v>
      </c>
      <c r="E44" s="12" t="n">
        <f aca="false">SUM(F44:K44)</f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22"/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23" t="str">
        <f aca="false">IF(C44&lt;=0,"품절",IF(C44&lt;=10,"부족",IF(E44=0,"판매 없음","")))</f>
        <v>판매 없음</v>
      </c>
    </row>
    <row r="45" customFormat="false" ht="15" hidden="true" customHeight="false" outlineLevel="1" collapsed="false">
      <c r="A45" s="21" t="s">
        <v>72</v>
      </c>
      <c r="B45" s="21"/>
      <c r="C45" s="7" t="n">
        <v>50</v>
      </c>
      <c r="D45" s="7" t="n">
        <v>0</v>
      </c>
      <c r="E45" s="12" t="n">
        <f aca="false">SUM(F45:K45)</f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22"/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23" t="str">
        <f aca="false">IF(C45&lt;=0,"품절",IF(C45&lt;=10,"부족",IF(E45=0,"판매 없음","")))</f>
        <v>판매 없음</v>
      </c>
    </row>
    <row r="46" customFormat="false" ht="15" hidden="false" customHeight="false" outlineLevel="0" collapsed="false">
      <c r="A46" s="18" t="s">
        <v>73</v>
      </c>
      <c r="B46" s="18"/>
      <c r="C46" s="19" t="n">
        <f aca="false">SUM(C47:C48)</f>
        <v>369</v>
      </c>
      <c r="D46" s="19" t="n">
        <f aca="false">SUM(D47:D48)</f>
        <v>5</v>
      </c>
      <c r="E46" s="19" t="n">
        <f aca="false">SUM(E47:E48)</f>
        <v>34</v>
      </c>
      <c r="F46" s="19" t="n">
        <f aca="false">SUM(F47:F48)</f>
        <v>0</v>
      </c>
      <c r="G46" s="19" t="n">
        <f aca="false">SUM(G47:G48)</f>
        <v>0</v>
      </c>
      <c r="H46" s="19" t="n">
        <f aca="false">SUM(H47:H48)</f>
        <v>0</v>
      </c>
      <c r="I46" s="19" t="n">
        <f aca="false">SUM(I47:I48)</f>
        <v>17</v>
      </c>
      <c r="J46" s="19" t="n">
        <f aca="false">SUM(J47:J48)</f>
        <v>1</v>
      </c>
      <c r="K46" s="19" t="n">
        <f aca="false">SUM(K47:K48)</f>
        <v>16</v>
      </c>
      <c r="L46" s="20"/>
      <c r="M46" s="19" t="n">
        <f aca="false">SUM(M47:M48)</f>
        <v>11</v>
      </c>
      <c r="N46" s="19" t="n">
        <f aca="false">SUM(N47:N48)</f>
        <v>17</v>
      </c>
      <c r="O46" s="19" t="n">
        <f aca="false">SUM(O47:O48)</f>
        <v>0</v>
      </c>
      <c r="P46" s="19" t="n">
        <f aca="false">SUM(P47:P48)</f>
        <v>0</v>
      </c>
      <c r="Q46" s="19" t="n">
        <f aca="false">SUM(Q47:Q48)</f>
        <v>6</v>
      </c>
      <c r="R46" s="19" t="n">
        <f aca="false">SUM(R47:R48)</f>
        <v>17</v>
      </c>
      <c r="S46" s="20"/>
    </row>
    <row r="47" customFormat="false" ht="15" hidden="true" customHeight="false" outlineLevel="1" collapsed="false">
      <c r="A47" s="21" t="s">
        <v>74</v>
      </c>
      <c r="B47" s="21"/>
      <c r="C47" s="7" t="n">
        <v>329</v>
      </c>
      <c r="D47" s="7" t="n">
        <v>3</v>
      </c>
      <c r="E47" s="12" t="n">
        <f aca="false">SUM(F47:K47)</f>
        <v>23</v>
      </c>
      <c r="F47" s="7" t="n">
        <v>0</v>
      </c>
      <c r="G47" s="7" t="n">
        <v>0</v>
      </c>
      <c r="H47" s="7" t="n">
        <v>0</v>
      </c>
      <c r="I47" s="7" t="n">
        <v>16</v>
      </c>
      <c r="J47" s="7" t="n">
        <v>1</v>
      </c>
      <c r="K47" s="7" t="n">
        <v>6</v>
      </c>
      <c r="L47" s="22"/>
      <c r="M47" s="7" t="n">
        <v>0</v>
      </c>
      <c r="N47" s="7" t="n">
        <v>17</v>
      </c>
      <c r="O47" s="7" t="n">
        <v>0</v>
      </c>
      <c r="P47" s="7" t="n">
        <v>0</v>
      </c>
      <c r="Q47" s="7" t="n">
        <v>6</v>
      </c>
      <c r="R47" s="7" t="n">
        <v>7</v>
      </c>
      <c r="S47" s="23" t="str">
        <f aca="false">IF(C47&lt;=0,"품절",IF(C47&lt;=10,"부족",IF(E47=0,"판매 없음","")))</f>
        <v/>
      </c>
    </row>
    <row r="48" customFormat="false" ht="15" hidden="true" customHeight="false" outlineLevel="1" collapsed="false">
      <c r="A48" s="21" t="s">
        <v>75</v>
      </c>
      <c r="B48" s="21"/>
      <c r="C48" s="7" t="n">
        <v>40</v>
      </c>
      <c r="D48" s="7" t="n">
        <v>2</v>
      </c>
      <c r="E48" s="12" t="n">
        <f aca="false">SUM(F48:K48)</f>
        <v>11</v>
      </c>
      <c r="F48" s="7" t="n">
        <v>0</v>
      </c>
      <c r="G48" s="7" t="n">
        <v>0</v>
      </c>
      <c r="H48" s="7" t="n">
        <v>0</v>
      </c>
      <c r="I48" s="7" t="n">
        <v>1</v>
      </c>
      <c r="J48" s="7" t="n">
        <v>0</v>
      </c>
      <c r="K48" s="7" t="n">
        <v>10</v>
      </c>
      <c r="L48" s="22"/>
      <c r="M48" s="7" t="n">
        <v>11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10</v>
      </c>
      <c r="S48" s="23" t="str">
        <f aca="false">IF(C48&lt;=0,"품절",IF(C48&lt;=10,"부족",IF(E48=0,"판매 없음","")))</f>
        <v/>
      </c>
    </row>
    <row r="49" customFormat="false" ht="15" hidden="false" customHeight="false" outlineLevel="0" collapsed="false">
      <c r="A49" s="2" t="s">
        <v>76</v>
      </c>
    </row>
    <row r="51" customFormat="false" ht="15" hidden="false" customHeight="false" outlineLevel="0" collapsed="false">
      <c r="C51" s="24" t="s">
        <v>77</v>
      </c>
      <c r="D51" s="24"/>
      <c r="E51" s="24"/>
      <c r="F51" s="24"/>
      <c r="G51" s="24"/>
      <c r="H51" s="24"/>
      <c r="I51" s="24" t="s">
        <v>12</v>
      </c>
      <c r="J51" s="24"/>
      <c r="L51" s="24" t="s">
        <v>78</v>
      </c>
      <c r="M51" s="24"/>
      <c r="N51" s="24"/>
      <c r="O51" s="24"/>
      <c r="P51" s="24"/>
      <c r="Q51" s="24"/>
      <c r="R51" s="24"/>
      <c r="S51" s="24"/>
      <c r="T51" s="24"/>
      <c r="U51" s="24"/>
    </row>
    <row r="52" customFormat="false" ht="30" hidden="false" customHeight="true" outlineLevel="0" collapsed="false">
      <c r="A52" s="3" t="s">
        <v>79</v>
      </c>
      <c r="B52" s="3" t="s">
        <v>80</v>
      </c>
      <c r="C52" s="3" t="s">
        <v>16</v>
      </c>
      <c r="D52" s="3" t="s">
        <v>17</v>
      </c>
      <c r="E52" s="3" t="s">
        <v>18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23</v>
      </c>
      <c r="K52" s="3"/>
      <c r="L52" s="3" t="s">
        <v>81</v>
      </c>
      <c r="M52" s="3" t="s">
        <v>42</v>
      </c>
      <c r="N52" s="3" t="s">
        <v>82</v>
      </c>
      <c r="O52" s="3" t="s">
        <v>43</v>
      </c>
      <c r="P52" s="17" t="s">
        <v>83</v>
      </c>
      <c r="Q52" s="17" t="s">
        <v>44</v>
      </c>
      <c r="R52" s="3" t="s">
        <v>84</v>
      </c>
      <c r="S52" s="3" t="s">
        <v>45</v>
      </c>
      <c r="T52" s="3" t="s">
        <v>85</v>
      </c>
      <c r="U52" s="3" t="s">
        <v>46</v>
      </c>
      <c r="V52" s="3" t="s">
        <v>86</v>
      </c>
    </row>
    <row r="53" customFormat="false" ht="15" hidden="false" customHeight="false" outlineLevel="0" collapsed="false">
      <c r="A53" s="25" t="s">
        <v>87</v>
      </c>
      <c r="B53" s="26" t="s">
        <v>88</v>
      </c>
      <c r="C53" s="27" t="n">
        <f aca="false">C54+C58+C70+C78+C101+C123</f>
        <v>18</v>
      </c>
      <c r="D53" s="27" t="n">
        <f aca="false">D54+D58+D70+D78+D101+D123</f>
        <v>71</v>
      </c>
      <c r="E53" s="27" t="n">
        <f aca="false">E54+E58+E70+E78+E101+E123</f>
        <v>25</v>
      </c>
      <c r="F53" s="27" t="n">
        <f aca="false">F54+F58+F70+F78+F101+F123</f>
        <v>123</v>
      </c>
      <c r="G53" s="27" t="n">
        <f aca="false">G54+G58+G70+G78+G101+G123</f>
        <v>5</v>
      </c>
      <c r="H53" s="27" t="n">
        <f aca="false">H54+H58+H70+H78+H101+H123</f>
        <v>34</v>
      </c>
      <c r="I53" s="27" t="n">
        <f aca="false">I54+I58+I70+I78+I101+I123</f>
        <v>48</v>
      </c>
      <c r="J53" s="27" t="n">
        <f aca="false">J54+J58+J70+J78+J101+J123</f>
        <v>228</v>
      </c>
      <c r="L53" s="27" t="n">
        <f aca="false">L54+L58+L70+L78+L101+L123</f>
        <v>14</v>
      </c>
      <c r="M53" s="27" t="n">
        <f aca="false">M54+M58+M70+M78+M101+M123</f>
        <v>36</v>
      </c>
      <c r="N53" s="27" t="n">
        <f aca="false">N54+N58+N70+N78+N101+N123</f>
        <v>5</v>
      </c>
      <c r="O53" s="27" t="n">
        <f aca="false">O54+O58+O70+O78+O101+O123</f>
        <v>61</v>
      </c>
      <c r="P53" s="27" t="n">
        <f aca="false">P54+P58+P70+P78+P101+P123</f>
        <v>0</v>
      </c>
      <c r="Q53" s="27" t="n">
        <f aca="false">Q54+Q58+Q70+Q78+Q101+Q123</f>
        <v>0</v>
      </c>
      <c r="R53" s="27" t="n">
        <f aca="false">R54+R58+R70+R78+R101+R123</f>
        <v>28</v>
      </c>
      <c r="S53" s="27" t="n">
        <f aca="false">S54+S58+S70+S78+S101+S123</f>
        <v>125</v>
      </c>
      <c r="T53" s="27" t="n">
        <f aca="false">T54+T58+T70+T78+T101+T123</f>
        <v>1</v>
      </c>
      <c r="U53" s="27" t="n">
        <f aca="false">U54+U58+U70+U78+U101+U123</f>
        <v>6</v>
      </c>
      <c r="V53" s="28"/>
    </row>
    <row r="54" customFormat="false" ht="15" hidden="false" customHeight="false" outlineLevel="0" collapsed="false">
      <c r="A54" s="29" t="s">
        <v>89</v>
      </c>
      <c r="B54" s="30" t="s">
        <v>90</v>
      </c>
      <c r="C54" s="31" t="n">
        <f aca="false">C55</f>
        <v>1</v>
      </c>
      <c r="D54" s="31" t="n">
        <f aca="false">D55</f>
        <v>20</v>
      </c>
      <c r="E54" s="31" t="n">
        <f aca="false">E55</f>
        <v>1</v>
      </c>
      <c r="F54" s="31" t="n">
        <f aca="false">F55</f>
        <v>50</v>
      </c>
      <c r="G54" s="31" t="n">
        <f aca="false">G55</f>
        <v>0</v>
      </c>
      <c r="H54" s="31" t="n">
        <f aca="false">H55</f>
        <v>0</v>
      </c>
      <c r="I54" s="31" t="n">
        <f aca="false">I55</f>
        <v>2</v>
      </c>
      <c r="J54" s="31" t="n">
        <f aca="false">J55</f>
        <v>70</v>
      </c>
      <c r="L54" s="31" t="n">
        <f aca="false">L55</f>
        <v>0</v>
      </c>
      <c r="M54" s="31" t="n">
        <f aca="false">M55</f>
        <v>0</v>
      </c>
      <c r="N54" s="31" t="n">
        <f aca="false">N55</f>
        <v>1</v>
      </c>
      <c r="O54" s="31" t="n">
        <f aca="false">O55</f>
        <v>20</v>
      </c>
      <c r="P54" s="31" t="n">
        <f aca="false">P55</f>
        <v>0</v>
      </c>
      <c r="Q54" s="31" t="n">
        <f aca="false">Q55</f>
        <v>0</v>
      </c>
      <c r="R54" s="31" t="n">
        <f aca="false">R55</f>
        <v>1</v>
      </c>
      <c r="S54" s="31" t="n">
        <f aca="false">S55</f>
        <v>50</v>
      </c>
      <c r="T54" s="31" t="n">
        <f aca="false">T55</f>
        <v>0</v>
      </c>
      <c r="U54" s="31" t="n">
        <f aca="false">U55</f>
        <v>0</v>
      </c>
      <c r="V54" s="32"/>
    </row>
    <row r="55" customFormat="false" ht="15" hidden="false" customHeight="false" outlineLevel="1" collapsed="false">
      <c r="A55" s="33" t="s">
        <v>91</v>
      </c>
      <c r="B55" s="20" t="s">
        <v>92</v>
      </c>
      <c r="C55" s="19" t="n">
        <f aca="false">SUM(C56:C57)</f>
        <v>1</v>
      </c>
      <c r="D55" s="19" t="n">
        <f aca="false">SUM(D56:D57)</f>
        <v>20</v>
      </c>
      <c r="E55" s="19" t="n">
        <f aca="false">SUM(E56:E57)</f>
        <v>1</v>
      </c>
      <c r="F55" s="19" t="n">
        <f aca="false">SUM(F56:F57)</f>
        <v>50</v>
      </c>
      <c r="G55" s="19" t="n">
        <f aca="false">SUM(G56:G57)</f>
        <v>0</v>
      </c>
      <c r="H55" s="19" t="n">
        <f aca="false">SUM(H56:H57)</f>
        <v>0</v>
      </c>
      <c r="I55" s="19" t="n">
        <f aca="false">SUM(I56:I57)</f>
        <v>2</v>
      </c>
      <c r="J55" s="19" t="n">
        <f aca="false">SUM(J56:J57)</f>
        <v>70</v>
      </c>
      <c r="L55" s="19" t="n">
        <f aca="false">SUM(L56:L57)</f>
        <v>0</v>
      </c>
      <c r="M55" s="19" t="n">
        <f aca="false">SUM(M56:M57)</f>
        <v>0</v>
      </c>
      <c r="N55" s="19" t="n">
        <f aca="false">SUM(N56:N57)</f>
        <v>1</v>
      </c>
      <c r="O55" s="19" t="n">
        <f aca="false">SUM(O56:O57)</f>
        <v>20</v>
      </c>
      <c r="P55" s="19" t="n">
        <f aca="false">SUM(P56:P57)</f>
        <v>0</v>
      </c>
      <c r="Q55" s="19" t="n">
        <f aca="false">SUM(Q56:Q57)</f>
        <v>0</v>
      </c>
      <c r="R55" s="19" t="n">
        <f aca="false">SUM(R56:R57)</f>
        <v>1</v>
      </c>
      <c r="S55" s="19" t="n">
        <f aca="false">SUM(S56:S57)</f>
        <v>50</v>
      </c>
      <c r="T55" s="19" t="n">
        <f aca="false">SUM(T56:T57)</f>
        <v>0</v>
      </c>
      <c r="U55" s="19" t="n">
        <f aca="false">SUM(U56:U57)</f>
        <v>0</v>
      </c>
      <c r="V55" s="34"/>
    </row>
    <row r="56" customFormat="false" ht="15" hidden="true" customHeight="false" outlineLevel="2" collapsed="false">
      <c r="A56" s="11" t="s">
        <v>93</v>
      </c>
      <c r="B56" s="35" t="s">
        <v>94</v>
      </c>
      <c r="C56" s="5"/>
      <c r="D56" s="5"/>
      <c r="E56" s="7" t="n">
        <v>1</v>
      </c>
      <c r="F56" s="7" t="n">
        <v>50</v>
      </c>
      <c r="G56" s="5"/>
      <c r="H56" s="5"/>
      <c r="I56" s="5" t="n">
        <f aca="false">C56+E56+G56</f>
        <v>1</v>
      </c>
      <c r="J56" s="5" t="n">
        <f aca="false">D56+F56+H56</f>
        <v>50</v>
      </c>
      <c r="L56" s="5"/>
      <c r="M56" s="5"/>
      <c r="N56" s="5"/>
      <c r="O56" s="5"/>
      <c r="P56" s="5"/>
      <c r="Q56" s="5"/>
      <c r="R56" s="7" t="n">
        <v>1</v>
      </c>
      <c r="S56" s="7" t="n">
        <v>50</v>
      </c>
      <c r="T56" s="5"/>
      <c r="U56" s="5"/>
      <c r="V56" s="35" t="s">
        <v>95</v>
      </c>
    </row>
    <row r="57" customFormat="false" ht="15" hidden="true" customHeight="false" outlineLevel="2" collapsed="false">
      <c r="A57" s="11" t="s">
        <v>96</v>
      </c>
      <c r="B57" s="35" t="s">
        <v>97</v>
      </c>
      <c r="C57" s="7" t="n">
        <v>1</v>
      </c>
      <c r="D57" s="7" t="n">
        <v>20</v>
      </c>
      <c r="E57" s="5"/>
      <c r="F57" s="5"/>
      <c r="G57" s="5"/>
      <c r="H57" s="5"/>
      <c r="I57" s="5" t="n">
        <f aca="false">C57+E57+G57</f>
        <v>1</v>
      </c>
      <c r="J57" s="5" t="n">
        <f aca="false">D57+F57+H57</f>
        <v>20</v>
      </c>
      <c r="L57" s="5"/>
      <c r="M57" s="5"/>
      <c r="N57" s="7" t="n">
        <v>1</v>
      </c>
      <c r="O57" s="7" t="n">
        <v>20</v>
      </c>
      <c r="P57" s="5"/>
      <c r="Q57" s="5"/>
      <c r="R57" s="5"/>
      <c r="S57" s="5"/>
      <c r="T57" s="5"/>
      <c r="U57" s="5"/>
      <c r="V57" s="11"/>
    </row>
    <row r="58" customFormat="false" ht="15" hidden="false" customHeight="false" outlineLevel="0" collapsed="false">
      <c r="A58" s="29" t="s">
        <v>98</v>
      </c>
      <c r="B58" s="30" t="s">
        <v>99</v>
      </c>
      <c r="C58" s="31" t="n">
        <f aca="false">C59+C60+C64+C66+C68</f>
        <v>1</v>
      </c>
      <c r="D58" s="31" t="n">
        <f aca="false">D59+D60+D64+D66+D68</f>
        <v>10</v>
      </c>
      <c r="E58" s="31" t="n">
        <f aca="false">E59+E60+E64+E66+E68</f>
        <v>5</v>
      </c>
      <c r="F58" s="31" t="n">
        <f aca="false">F59+F60+F64+F66+F68</f>
        <v>17</v>
      </c>
      <c r="G58" s="31" t="n">
        <f aca="false">G59+G60+G64+G66+G68</f>
        <v>0</v>
      </c>
      <c r="H58" s="31" t="n">
        <f aca="false">H59+H60+H64+H66+H68</f>
        <v>0</v>
      </c>
      <c r="I58" s="31" t="n">
        <f aca="false">I59+I60+I64+I66+I68</f>
        <v>6</v>
      </c>
      <c r="J58" s="31" t="n">
        <f aca="false">J59+J60+J64+J66+J68</f>
        <v>27</v>
      </c>
      <c r="L58" s="31" t="n">
        <f aca="false">L59+L60+L64+L66+L68</f>
        <v>0</v>
      </c>
      <c r="M58" s="31" t="n">
        <f aca="false">M59+M60+M64+M66+M68</f>
        <v>0</v>
      </c>
      <c r="N58" s="31" t="n">
        <f aca="false">N59+N60+N64+N66+N68</f>
        <v>0</v>
      </c>
      <c r="O58" s="31" t="n">
        <f aca="false">O59+O60+O64+O66+O68</f>
        <v>0</v>
      </c>
      <c r="P58" s="31" t="n">
        <f aca="false">P59+P60+P64+P66+P68</f>
        <v>0</v>
      </c>
      <c r="Q58" s="31" t="n">
        <f aca="false">Q59+Q60+Q64+Q66+Q68</f>
        <v>0</v>
      </c>
      <c r="R58" s="31" t="n">
        <f aca="false">R59+R60+R64+R66+R68</f>
        <v>6</v>
      </c>
      <c r="S58" s="31" t="n">
        <f aca="false">S59+S60+S64+S66+S68</f>
        <v>27</v>
      </c>
      <c r="T58" s="31" t="n">
        <f aca="false">T59+T60+T64+T66+T68</f>
        <v>0</v>
      </c>
      <c r="U58" s="31" t="n">
        <f aca="false">U59+U60+U64+U66+U68</f>
        <v>0</v>
      </c>
      <c r="V58" s="32"/>
    </row>
    <row r="59" customFormat="false" ht="15" hidden="false" customHeight="false" outlineLevel="1" collapsed="false">
      <c r="A59" s="33" t="s">
        <v>100</v>
      </c>
      <c r="B59" s="20" t="s">
        <v>101</v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19" t="n">
        <v>0</v>
      </c>
      <c r="U59" s="19" t="n">
        <v>0</v>
      </c>
      <c r="V59" s="34"/>
    </row>
    <row r="60" customFormat="false" ht="15" hidden="false" customHeight="false" outlineLevel="1" collapsed="false">
      <c r="A60" s="33" t="s">
        <v>102</v>
      </c>
      <c r="B60" s="20" t="s">
        <v>103</v>
      </c>
      <c r="C60" s="19" t="n">
        <f aca="false">SUM(C61:C63)</f>
        <v>0</v>
      </c>
      <c r="D60" s="19" t="n">
        <f aca="false">SUM(D61:D63)</f>
        <v>0</v>
      </c>
      <c r="E60" s="19" t="n">
        <f aca="false">SUM(E61:E63)</f>
        <v>3</v>
      </c>
      <c r="F60" s="19" t="n">
        <f aca="false">SUM(F61:F63)</f>
        <v>7</v>
      </c>
      <c r="G60" s="19" t="n">
        <f aca="false">SUM(G61:G63)</f>
        <v>0</v>
      </c>
      <c r="H60" s="19" t="n">
        <f aca="false">SUM(H61:H63)</f>
        <v>0</v>
      </c>
      <c r="I60" s="19" t="n">
        <f aca="false">SUM(I61:I63)</f>
        <v>3</v>
      </c>
      <c r="J60" s="19" t="n">
        <f aca="false">SUM(J61:J63)</f>
        <v>7</v>
      </c>
      <c r="L60" s="19" t="n">
        <f aca="false">SUM(L61:L63)</f>
        <v>0</v>
      </c>
      <c r="M60" s="19" t="n">
        <f aca="false">SUM(M61:M63)</f>
        <v>0</v>
      </c>
      <c r="N60" s="19" t="n">
        <f aca="false">SUM(N61:N63)</f>
        <v>0</v>
      </c>
      <c r="O60" s="19" t="n">
        <f aca="false">SUM(O61:O63)</f>
        <v>0</v>
      </c>
      <c r="P60" s="19" t="n">
        <f aca="false">SUM(P61:P63)</f>
        <v>0</v>
      </c>
      <c r="Q60" s="19" t="n">
        <f aca="false">SUM(Q61:Q63)</f>
        <v>0</v>
      </c>
      <c r="R60" s="19" t="n">
        <f aca="false">SUM(R61:R63)</f>
        <v>3</v>
      </c>
      <c r="S60" s="19" t="n">
        <f aca="false">SUM(S61:S63)</f>
        <v>7</v>
      </c>
      <c r="T60" s="19" t="n">
        <f aca="false">SUM(T61:T63)</f>
        <v>0</v>
      </c>
      <c r="U60" s="19" t="n">
        <f aca="false">SUM(U61:U63)</f>
        <v>0</v>
      </c>
      <c r="V60" s="34"/>
    </row>
    <row r="61" customFormat="false" ht="15" hidden="true" customHeight="false" outlineLevel="2" collapsed="false">
      <c r="A61" s="11" t="s">
        <v>104</v>
      </c>
      <c r="B61" s="35" t="s">
        <v>105</v>
      </c>
      <c r="C61" s="5"/>
      <c r="D61" s="5"/>
      <c r="E61" s="7" t="n">
        <v>1</v>
      </c>
      <c r="F61" s="7" t="n">
        <v>5</v>
      </c>
      <c r="G61" s="5"/>
      <c r="H61" s="5"/>
      <c r="I61" s="5" t="n">
        <f aca="false">C61+E61+G61</f>
        <v>1</v>
      </c>
      <c r="J61" s="5" t="n">
        <f aca="false">D61+F61+H61</f>
        <v>5</v>
      </c>
      <c r="L61" s="5"/>
      <c r="M61" s="5"/>
      <c r="N61" s="5"/>
      <c r="O61" s="5"/>
      <c r="P61" s="5"/>
      <c r="Q61" s="5"/>
      <c r="R61" s="7" t="n">
        <v>1</v>
      </c>
      <c r="S61" s="7" t="n">
        <v>5</v>
      </c>
      <c r="T61" s="5"/>
      <c r="U61" s="5"/>
      <c r="V61" s="35" t="s">
        <v>106</v>
      </c>
    </row>
    <row r="62" customFormat="false" ht="15" hidden="true" customHeight="false" outlineLevel="2" collapsed="false">
      <c r="A62" s="11" t="s">
        <v>107</v>
      </c>
      <c r="B62" s="35" t="s">
        <v>108</v>
      </c>
      <c r="C62" s="5"/>
      <c r="D62" s="5"/>
      <c r="E62" s="7" t="n">
        <v>1</v>
      </c>
      <c r="F62" s="7" t="n">
        <v>1</v>
      </c>
      <c r="G62" s="5"/>
      <c r="H62" s="5"/>
      <c r="I62" s="5" t="n">
        <f aca="false">C62+E62+G62</f>
        <v>1</v>
      </c>
      <c r="J62" s="5" t="n">
        <f aca="false">D62+F62+H62</f>
        <v>1</v>
      </c>
      <c r="L62" s="5"/>
      <c r="M62" s="5"/>
      <c r="N62" s="5"/>
      <c r="O62" s="5"/>
      <c r="P62" s="5"/>
      <c r="Q62" s="5"/>
      <c r="R62" s="7" t="n">
        <v>1</v>
      </c>
      <c r="S62" s="7" t="n">
        <v>1</v>
      </c>
      <c r="T62" s="5"/>
      <c r="U62" s="5"/>
      <c r="V62" s="11"/>
    </row>
    <row r="63" customFormat="false" ht="15" hidden="true" customHeight="false" outlineLevel="2" collapsed="false">
      <c r="A63" s="11" t="s">
        <v>109</v>
      </c>
      <c r="B63" s="35" t="s">
        <v>105</v>
      </c>
      <c r="C63" s="5"/>
      <c r="D63" s="5"/>
      <c r="E63" s="7" t="n">
        <v>1</v>
      </c>
      <c r="F63" s="7" t="n">
        <v>1</v>
      </c>
      <c r="G63" s="5"/>
      <c r="H63" s="5"/>
      <c r="I63" s="5" t="n">
        <f aca="false">C63+E63+G63</f>
        <v>1</v>
      </c>
      <c r="J63" s="5" t="n">
        <f aca="false">D63+F63+H63</f>
        <v>1</v>
      </c>
      <c r="L63" s="5"/>
      <c r="M63" s="5"/>
      <c r="N63" s="5"/>
      <c r="O63" s="5"/>
      <c r="P63" s="5"/>
      <c r="Q63" s="5"/>
      <c r="R63" s="7" t="n">
        <v>1</v>
      </c>
      <c r="S63" s="7" t="n">
        <v>1</v>
      </c>
      <c r="T63" s="5"/>
      <c r="U63" s="5"/>
      <c r="V63" s="11"/>
    </row>
    <row r="64" customFormat="false" ht="15" hidden="false" customHeight="false" outlineLevel="1" collapsed="false">
      <c r="A64" s="33" t="s">
        <v>110</v>
      </c>
      <c r="B64" s="20" t="s">
        <v>111</v>
      </c>
      <c r="C64" s="19" t="n">
        <f aca="false">SUM(C65:C65)</f>
        <v>1</v>
      </c>
      <c r="D64" s="19" t="n">
        <f aca="false">SUM(D65:D65)</f>
        <v>10</v>
      </c>
      <c r="E64" s="19" t="n">
        <f aca="false">SUM(E65:E65)</f>
        <v>0</v>
      </c>
      <c r="F64" s="19" t="n">
        <f aca="false">SUM(F65:F65)</f>
        <v>0</v>
      </c>
      <c r="G64" s="19" t="n">
        <f aca="false">SUM(G65:G65)</f>
        <v>0</v>
      </c>
      <c r="H64" s="19" t="n">
        <f aca="false">SUM(H65:H65)</f>
        <v>0</v>
      </c>
      <c r="I64" s="19" t="n">
        <f aca="false">SUM(I65:I65)</f>
        <v>1</v>
      </c>
      <c r="J64" s="19" t="n">
        <f aca="false">SUM(J65:J65)</f>
        <v>10</v>
      </c>
      <c r="L64" s="19" t="n">
        <f aca="false">SUM(L65:L65)</f>
        <v>0</v>
      </c>
      <c r="M64" s="19" t="n">
        <f aca="false">SUM(M65:M65)</f>
        <v>0</v>
      </c>
      <c r="N64" s="19" t="n">
        <f aca="false">SUM(N65:N65)</f>
        <v>0</v>
      </c>
      <c r="O64" s="19" t="n">
        <f aca="false">SUM(O65:O65)</f>
        <v>0</v>
      </c>
      <c r="P64" s="19" t="n">
        <f aca="false">SUM(P65:P65)</f>
        <v>0</v>
      </c>
      <c r="Q64" s="19" t="n">
        <f aca="false">SUM(Q65:Q65)</f>
        <v>0</v>
      </c>
      <c r="R64" s="19" t="n">
        <f aca="false">SUM(R65:R65)</f>
        <v>1</v>
      </c>
      <c r="S64" s="19" t="n">
        <f aca="false">SUM(S65:S65)</f>
        <v>10</v>
      </c>
      <c r="T64" s="19" t="n">
        <f aca="false">SUM(T65:T65)</f>
        <v>0</v>
      </c>
      <c r="U64" s="19" t="n">
        <f aca="false">SUM(U65:U65)</f>
        <v>0</v>
      </c>
      <c r="V64" s="34"/>
    </row>
    <row r="65" customFormat="false" ht="15" hidden="true" customHeight="false" outlineLevel="2" collapsed="false">
      <c r="A65" s="11" t="s">
        <v>112</v>
      </c>
      <c r="B65" s="35" t="s">
        <v>113</v>
      </c>
      <c r="C65" s="7" t="n">
        <v>1</v>
      </c>
      <c r="D65" s="7" t="n">
        <v>10</v>
      </c>
      <c r="E65" s="5"/>
      <c r="F65" s="5"/>
      <c r="G65" s="5"/>
      <c r="H65" s="5"/>
      <c r="I65" s="5" t="n">
        <f aca="false">C65+E65+G65</f>
        <v>1</v>
      </c>
      <c r="J65" s="5" t="n">
        <f aca="false">D65+F65+H65</f>
        <v>10</v>
      </c>
      <c r="L65" s="5"/>
      <c r="M65" s="5"/>
      <c r="N65" s="5"/>
      <c r="O65" s="5"/>
      <c r="P65" s="5"/>
      <c r="Q65" s="5"/>
      <c r="R65" s="7" t="n">
        <v>1</v>
      </c>
      <c r="S65" s="7" t="n">
        <v>10</v>
      </c>
      <c r="T65" s="5"/>
      <c r="U65" s="5"/>
      <c r="V65" s="35" t="s">
        <v>114</v>
      </c>
    </row>
    <row r="66" customFormat="false" ht="15" hidden="false" customHeight="false" outlineLevel="1" collapsed="false">
      <c r="A66" s="33" t="s">
        <v>115</v>
      </c>
      <c r="B66" s="20" t="s">
        <v>116</v>
      </c>
      <c r="C66" s="19" t="n">
        <f aca="false">SUM(C67:C67)</f>
        <v>0</v>
      </c>
      <c r="D66" s="19" t="n">
        <f aca="false">SUM(D67:D67)</f>
        <v>0</v>
      </c>
      <c r="E66" s="19" t="n">
        <f aca="false">SUM(E67:E67)</f>
        <v>1</v>
      </c>
      <c r="F66" s="19" t="n">
        <f aca="false">SUM(F67:F67)</f>
        <v>5</v>
      </c>
      <c r="G66" s="19" t="n">
        <f aca="false">SUM(G67:G67)</f>
        <v>0</v>
      </c>
      <c r="H66" s="19" t="n">
        <f aca="false">SUM(H67:H67)</f>
        <v>0</v>
      </c>
      <c r="I66" s="19" t="n">
        <f aca="false">SUM(I67:I67)</f>
        <v>1</v>
      </c>
      <c r="J66" s="19" t="n">
        <f aca="false">SUM(J67:J67)</f>
        <v>5</v>
      </c>
      <c r="L66" s="19" t="n">
        <f aca="false">SUM(L67:L67)</f>
        <v>0</v>
      </c>
      <c r="M66" s="19" t="n">
        <f aca="false">SUM(M67:M67)</f>
        <v>0</v>
      </c>
      <c r="N66" s="19" t="n">
        <f aca="false">SUM(N67:N67)</f>
        <v>0</v>
      </c>
      <c r="O66" s="19" t="n">
        <f aca="false">SUM(O67:O67)</f>
        <v>0</v>
      </c>
      <c r="P66" s="19" t="n">
        <f aca="false">SUM(P67:P67)</f>
        <v>0</v>
      </c>
      <c r="Q66" s="19" t="n">
        <f aca="false">SUM(Q67:Q67)</f>
        <v>0</v>
      </c>
      <c r="R66" s="19" t="n">
        <f aca="false">SUM(R67:R67)</f>
        <v>1</v>
      </c>
      <c r="S66" s="19" t="n">
        <f aca="false">SUM(S67:S67)</f>
        <v>5</v>
      </c>
      <c r="T66" s="19" t="n">
        <f aca="false">SUM(T67:T67)</f>
        <v>0</v>
      </c>
      <c r="U66" s="19" t="n">
        <f aca="false">SUM(U67:U67)</f>
        <v>0</v>
      </c>
      <c r="V66" s="34"/>
    </row>
    <row r="67" customFormat="false" ht="15" hidden="true" customHeight="false" outlineLevel="2" collapsed="false">
      <c r="A67" s="11" t="s">
        <v>117</v>
      </c>
      <c r="B67" s="35" t="s">
        <v>118</v>
      </c>
      <c r="C67" s="5"/>
      <c r="D67" s="5"/>
      <c r="E67" s="7" t="n">
        <v>1</v>
      </c>
      <c r="F67" s="7" t="n">
        <v>5</v>
      </c>
      <c r="G67" s="5"/>
      <c r="H67" s="5"/>
      <c r="I67" s="5" t="n">
        <f aca="false">C67+E67+G67</f>
        <v>1</v>
      </c>
      <c r="J67" s="5" t="n">
        <f aca="false">D67+F67+H67</f>
        <v>5</v>
      </c>
      <c r="L67" s="5"/>
      <c r="M67" s="5"/>
      <c r="N67" s="5"/>
      <c r="O67" s="5"/>
      <c r="P67" s="5"/>
      <c r="Q67" s="5"/>
      <c r="R67" s="7" t="n">
        <v>1</v>
      </c>
      <c r="S67" s="7" t="n">
        <v>5</v>
      </c>
      <c r="T67" s="5"/>
      <c r="U67" s="5"/>
      <c r="V67" s="35" t="s">
        <v>119</v>
      </c>
    </row>
    <row r="68" customFormat="false" ht="15" hidden="false" customHeight="false" outlineLevel="1" collapsed="false">
      <c r="A68" s="33" t="s">
        <v>120</v>
      </c>
      <c r="B68" s="20" t="s">
        <v>121</v>
      </c>
      <c r="C68" s="19" t="n">
        <f aca="false">SUM(C69:C69)</f>
        <v>0</v>
      </c>
      <c r="D68" s="19" t="n">
        <f aca="false">SUM(D69:D69)</f>
        <v>0</v>
      </c>
      <c r="E68" s="19" t="n">
        <f aca="false">SUM(E69:E69)</f>
        <v>1</v>
      </c>
      <c r="F68" s="19" t="n">
        <f aca="false">SUM(F69:F69)</f>
        <v>5</v>
      </c>
      <c r="G68" s="19" t="n">
        <f aca="false">SUM(G69:G69)</f>
        <v>0</v>
      </c>
      <c r="H68" s="19" t="n">
        <f aca="false">SUM(H69:H69)</f>
        <v>0</v>
      </c>
      <c r="I68" s="19" t="n">
        <f aca="false">SUM(I69:I69)</f>
        <v>1</v>
      </c>
      <c r="J68" s="19" t="n">
        <f aca="false">SUM(J69:J69)</f>
        <v>5</v>
      </c>
      <c r="L68" s="19" t="n">
        <f aca="false">SUM(L69:L69)</f>
        <v>0</v>
      </c>
      <c r="M68" s="19" t="n">
        <f aca="false">SUM(M69:M69)</f>
        <v>0</v>
      </c>
      <c r="N68" s="19" t="n">
        <f aca="false">SUM(N69:N69)</f>
        <v>0</v>
      </c>
      <c r="O68" s="19" t="n">
        <f aca="false">SUM(O69:O69)</f>
        <v>0</v>
      </c>
      <c r="P68" s="19" t="n">
        <f aca="false">SUM(P69:P69)</f>
        <v>0</v>
      </c>
      <c r="Q68" s="19" t="n">
        <f aca="false">SUM(Q69:Q69)</f>
        <v>0</v>
      </c>
      <c r="R68" s="19" t="n">
        <f aca="false">SUM(R69:R69)</f>
        <v>1</v>
      </c>
      <c r="S68" s="19" t="n">
        <f aca="false">SUM(S69:S69)</f>
        <v>5</v>
      </c>
      <c r="T68" s="19" t="n">
        <f aca="false">SUM(T69:T69)</f>
        <v>0</v>
      </c>
      <c r="U68" s="19" t="n">
        <f aca="false">SUM(U69:U69)</f>
        <v>0</v>
      </c>
      <c r="V68" s="34"/>
    </row>
    <row r="69" customFormat="false" ht="15" hidden="true" customHeight="false" outlineLevel="2" collapsed="false">
      <c r="A69" s="11" t="s">
        <v>122</v>
      </c>
      <c r="B69" s="35" t="s">
        <v>123</v>
      </c>
      <c r="C69" s="5"/>
      <c r="D69" s="5"/>
      <c r="E69" s="7" t="n">
        <v>1</v>
      </c>
      <c r="F69" s="7" t="n">
        <v>5</v>
      </c>
      <c r="G69" s="5"/>
      <c r="H69" s="5"/>
      <c r="I69" s="5" t="n">
        <f aca="false">C69+E69+G69</f>
        <v>1</v>
      </c>
      <c r="J69" s="5" t="n">
        <f aca="false">D69+F69+H69</f>
        <v>5</v>
      </c>
      <c r="L69" s="5"/>
      <c r="M69" s="5"/>
      <c r="N69" s="5"/>
      <c r="O69" s="5"/>
      <c r="P69" s="5"/>
      <c r="Q69" s="5"/>
      <c r="R69" s="7" t="n">
        <v>1</v>
      </c>
      <c r="S69" s="7" t="n">
        <v>5</v>
      </c>
      <c r="T69" s="5"/>
      <c r="U69" s="5"/>
      <c r="V69" s="11"/>
    </row>
    <row r="70" customFormat="false" ht="15" hidden="false" customHeight="false" outlineLevel="0" collapsed="false">
      <c r="A70" s="29" t="s">
        <v>124</v>
      </c>
      <c r="B70" s="30" t="s">
        <v>99</v>
      </c>
      <c r="C70" s="31" t="n">
        <f aca="false">C71+C72+C74+C75+C76</f>
        <v>0</v>
      </c>
      <c r="D70" s="31" t="n">
        <f aca="false">D71+D72+D74+D75+D76</f>
        <v>0</v>
      </c>
      <c r="E70" s="31" t="n">
        <f aca="false">E71+E72+E74+E75+E76</f>
        <v>2</v>
      </c>
      <c r="F70" s="31" t="n">
        <f aca="false">F71+F72+F74+F75+F76</f>
        <v>2</v>
      </c>
      <c r="G70" s="31" t="n">
        <f aca="false">G71+G72+G74+G75+G76</f>
        <v>0</v>
      </c>
      <c r="H70" s="31" t="n">
        <f aca="false">H71+H72+H74+H75+H76</f>
        <v>0</v>
      </c>
      <c r="I70" s="31" t="n">
        <f aca="false">I71+I72+I74+I75+I76</f>
        <v>2</v>
      </c>
      <c r="J70" s="31" t="n">
        <f aca="false">J71+J72+J74+J75+J76</f>
        <v>2</v>
      </c>
      <c r="L70" s="31" t="n">
        <f aca="false">L71+L72+L74+L75+L76</f>
        <v>2</v>
      </c>
      <c r="M70" s="31" t="n">
        <f aca="false">M71+M72+M74+M75+M76</f>
        <v>2</v>
      </c>
      <c r="N70" s="31" t="n">
        <f aca="false">N71+N72+N74+N75+N76</f>
        <v>0</v>
      </c>
      <c r="O70" s="31" t="n">
        <f aca="false">O71+O72+O74+O75+O76</f>
        <v>0</v>
      </c>
      <c r="P70" s="31" t="n">
        <f aca="false">P71+P72+P74+P75+P76</f>
        <v>0</v>
      </c>
      <c r="Q70" s="31" t="n">
        <f aca="false">Q71+Q72+Q74+Q75+Q76</f>
        <v>0</v>
      </c>
      <c r="R70" s="31" t="n">
        <f aca="false">R71+R72+R74+R75+R76</f>
        <v>0</v>
      </c>
      <c r="S70" s="31" t="n">
        <f aca="false">S71+S72+S74+S75+S76</f>
        <v>0</v>
      </c>
      <c r="T70" s="31" t="n">
        <f aca="false">T71+T72+T74+T75+T76</f>
        <v>0</v>
      </c>
      <c r="U70" s="31" t="n">
        <f aca="false">U71+U72+U74+U75+U76</f>
        <v>0</v>
      </c>
      <c r="V70" s="32"/>
    </row>
    <row r="71" customFormat="false" ht="15" hidden="false" customHeight="false" outlineLevel="1" collapsed="false">
      <c r="A71" s="33" t="s">
        <v>125</v>
      </c>
      <c r="B71" s="20" t="s">
        <v>126</v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  <c r="Q71" s="19" t="n">
        <v>0</v>
      </c>
      <c r="R71" s="19" t="n">
        <v>0</v>
      </c>
      <c r="S71" s="19" t="n">
        <v>0</v>
      </c>
      <c r="T71" s="19" t="n">
        <v>0</v>
      </c>
      <c r="U71" s="19" t="n">
        <v>0</v>
      </c>
      <c r="V71" s="34"/>
    </row>
    <row r="72" customFormat="false" ht="15" hidden="false" customHeight="false" outlineLevel="1" collapsed="false">
      <c r="A72" s="33" t="s">
        <v>127</v>
      </c>
      <c r="B72" s="20" t="s">
        <v>128</v>
      </c>
      <c r="C72" s="19" t="n">
        <f aca="false">SUM(C73:C73)</f>
        <v>0</v>
      </c>
      <c r="D72" s="19" t="n">
        <f aca="false">SUM(D73:D73)</f>
        <v>0</v>
      </c>
      <c r="E72" s="19" t="n">
        <f aca="false">SUM(E73:E73)</f>
        <v>1</v>
      </c>
      <c r="F72" s="19" t="n">
        <f aca="false">SUM(F73:F73)</f>
        <v>1</v>
      </c>
      <c r="G72" s="19" t="n">
        <f aca="false">SUM(G73:G73)</f>
        <v>0</v>
      </c>
      <c r="H72" s="19" t="n">
        <f aca="false">SUM(H73:H73)</f>
        <v>0</v>
      </c>
      <c r="I72" s="19" t="n">
        <f aca="false">SUM(I73:I73)</f>
        <v>1</v>
      </c>
      <c r="J72" s="19" t="n">
        <f aca="false">SUM(J73:J73)</f>
        <v>1</v>
      </c>
      <c r="L72" s="19" t="n">
        <f aca="false">SUM(L73:L73)</f>
        <v>1</v>
      </c>
      <c r="M72" s="19" t="n">
        <f aca="false">SUM(M73:M73)</f>
        <v>1</v>
      </c>
      <c r="N72" s="19" t="n">
        <f aca="false">SUM(N73:N73)</f>
        <v>0</v>
      </c>
      <c r="O72" s="19" t="n">
        <f aca="false">SUM(O73:O73)</f>
        <v>0</v>
      </c>
      <c r="P72" s="19" t="n">
        <f aca="false">SUM(P73:P73)</f>
        <v>0</v>
      </c>
      <c r="Q72" s="19" t="n">
        <f aca="false">SUM(Q73:Q73)</f>
        <v>0</v>
      </c>
      <c r="R72" s="19" t="n">
        <f aca="false">SUM(R73:R73)</f>
        <v>0</v>
      </c>
      <c r="S72" s="19" t="n">
        <f aca="false">SUM(S73:S73)</f>
        <v>0</v>
      </c>
      <c r="T72" s="19" t="n">
        <f aca="false">SUM(T73:T73)</f>
        <v>0</v>
      </c>
      <c r="U72" s="19" t="n">
        <f aca="false">SUM(U73:U73)</f>
        <v>0</v>
      </c>
      <c r="V72" s="34"/>
    </row>
    <row r="73" customFormat="false" ht="15" hidden="true" customHeight="false" outlineLevel="2" collapsed="false">
      <c r="A73" s="11" t="s">
        <v>129</v>
      </c>
      <c r="B73" s="35" t="s">
        <v>130</v>
      </c>
      <c r="C73" s="5"/>
      <c r="D73" s="5"/>
      <c r="E73" s="7" t="n">
        <v>1</v>
      </c>
      <c r="F73" s="7" t="n">
        <v>1</v>
      </c>
      <c r="G73" s="5"/>
      <c r="H73" s="5"/>
      <c r="I73" s="5" t="n">
        <f aca="false">C73+E73+G73</f>
        <v>1</v>
      </c>
      <c r="J73" s="5" t="n">
        <f aca="false">D73+F73+H73</f>
        <v>1</v>
      </c>
      <c r="L73" s="7" t="n">
        <v>1</v>
      </c>
      <c r="M73" s="7" t="n">
        <v>1</v>
      </c>
      <c r="N73" s="5"/>
      <c r="O73" s="5"/>
      <c r="P73" s="5"/>
      <c r="Q73" s="5"/>
      <c r="R73" s="5"/>
      <c r="S73" s="5"/>
      <c r="T73" s="5"/>
      <c r="U73" s="5"/>
      <c r="V73" s="11"/>
    </row>
    <row r="74" customFormat="false" ht="15" hidden="false" customHeight="false" outlineLevel="1" collapsed="false">
      <c r="A74" s="33" t="s">
        <v>131</v>
      </c>
      <c r="B74" s="20" t="s">
        <v>132</v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34"/>
    </row>
    <row r="75" customFormat="false" ht="15" hidden="false" customHeight="false" outlineLevel="1" collapsed="false">
      <c r="A75" s="33" t="s">
        <v>133</v>
      </c>
      <c r="B75" s="20" t="s">
        <v>134</v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34"/>
    </row>
    <row r="76" customFormat="false" ht="15" hidden="false" customHeight="false" outlineLevel="1" collapsed="false">
      <c r="A76" s="33" t="s">
        <v>135</v>
      </c>
      <c r="B76" s="20" t="s">
        <v>136</v>
      </c>
      <c r="C76" s="19" t="n">
        <f aca="false">SUM(C77:C77)</f>
        <v>0</v>
      </c>
      <c r="D76" s="19" t="n">
        <f aca="false">SUM(D77:D77)</f>
        <v>0</v>
      </c>
      <c r="E76" s="19" t="n">
        <f aca="false">SUM(E77:E77)</f>
        <v>1</v>
      </c>
      <c r="F76" s="19" t="n">
        <f aca="false">SUM(F77:F77)</f>
        <v>1</v>
      </c>
      <c r="G76" s="19" t="n">
        <f aca="false">SUM(G77:G77)</f>
        <v>0</v>
      </c>
      <c r="H76" s="19" t="n">
        <f aca="false">SUM(H77:H77)</f>
        <v>0</v>
      </c>
      <c r="I76" s="19" t="n">
        <f aca="false">SUM(I77:I77)</f>
        <v>1</v>
      </c>
      <c r="J76" s="19" t="n">
        <f aca="false">SUM(J77:J77)</f>
        <v>1</v>
      </c>
      <c r="L76" s="19" t="n">
        <f aca="false">SUM(L77:L77)</f>
        <v>1</v>
      </c>
      <c r="M76" s="19" t="n">
        <f aca="false">SUM(M77:M77)</f>
        <v>1</v>
      </c>
      <c r="N76" s="19" t="n">
        <f aca="false">SUM(N77:N77)</f>
        <v>0</v>
      </c>
      <c r="O76" s="19" t="n">
        <f aca="false">SUM(O77:O77)</f>
        <v>0</v>
      </c>
      <c r="P76" s="19" t="n">
        <f aca="false">SUM(P77:P77)</f>
        <v>0</v>
      </c>
      <c r="Q76" s="19" t="n">
        <f aca="false">SUM(Q77:Q77)</f>
        <v>0</v>
      </c>
      <c r="R76" s="19" t="n">
        <f aca="false">SUM(R77:R77)</f>
        <v>0</v>
      </c>
      <c r="S76" s="19" t="n">
        <f aca="false">SUM(S77:S77)</f>
        <v>0</v>
      </c>
      <c r="T76" s="19" t="n">
        <f aca="false">SUM(T77:T77)</f>
        <v>0</v>
      </c>
      <c r="U76" s="19" t="n">
        <f aca="false">SUM(U77:U77)</f>
        <v>0</v>
      </c>
      <c r="V76" s="34"/>
    </row>
    <row r="77" customFormat="false" ht="15" hidden="true" customHeight="false" outlineLevel="2" collapsed="false">
      <c r="A77" s="11" t="s">
        <v>137</v>
      </c>
      <c r="B77" s="35" t="s">
        <v>138</v>
      </c>
      <c r="C77" s="5"/>
      <c r="D77" s="5"/>
      <c r="E77" s="7" t="n">
        <v>1</v>
      </c>
      <c r="F77" s="7" t="n">
        <v>1</v>
      </c>
      <c r="G77" s="5"/>
      <c r="H77" s="5"/>
      <c r="I77" s="5" t="n">
        <f aca="false">C77+E77+G77</f>
        <v>1</v>
      </c>
      <c r="J77" s="5" t="n">
        <f aca="false">D77+F77+H77</f>
        <v>1</v>
      </c>
      <c r="L77" s="7" t="n">
        <v>1</v>
      </c>
      <c r="M77" s="7" t="n">
        <v>1</v>
      </c>
      <c r="N77" s="5"/>
      <c r="O77" s="5"/>
      <c r="P77" s="5"/>
      <c r="Q77" s="5"/>
      <c r="R77" s="5"/>
      <c r="S77" s="5"/>
      <c r="T77" s="5"/>
      <c r="U77" s="5"/>
      <c r="V77" s="11"/>
    </row>
    <row r="78" customFormat="false" ht="15" hidden="false" customHeight="false" outlineLevel="0" collapsed="false">
      <c r="A78" s="29" t="s">
        <v>139</v>
      </c>
      <c r="B78" s="30" t="s">
        <v>140</v>
      </c>
      <c r="C78" s="31" t="n">
        <f aca="false">C79+C80+C84+C87+C93+C100</f>
        <v>3</v>
      </c>
      <c r="D78" s="31" t="n">
        <f aca="false">D79+D80+D84+D87+D93+D100</f>
        <v>8</v>
      </c>
      <c r="E78" s="31" t="n">
        <f aca="false">E79+E80+E84+E87+E93+E100</f>
        <v>11</v>
      </c>
      <c r="F78" s="31" t="n">
        <f aca="false">F79+F80+F84+F87+F93+F100</f>
        <v>43</v>
      </c>
      <c r="G78" s="31" t="n">
        <f aca="false">G79+G80+G84+G87+G93+G100</f>
        <v>2</v>
      </c>
      <c r="H78" s="31" t="n">
        <f aca="false">H79+H80+H84+H87+H93+H100</f>
        <v>17</v>
      </c>
      <c r="I78" s="31" t="n">
        <f aca="false">I79+I80+I84+I87+I93+I100</f>
        <v>16</v>
      </c>
      <c r="J78" s="31" t="n">
        <f aca="false">J79+J80+J84+J87+J93+J100</f>
        <v>68</v>
      </c>
      <c r="L78" s="31" t="n">
        <f aca="false">L79+L80+L84+L87+L93+L100</f>
        <v>4</v>
      </c>
      <c r="M78" s="31" t="n">
        <f aca="false">M79+M80+M84+M87+M93+M100</f>
        <v>6</v>
      </c>
      <c r="N78" s="31" t="n">
        <f aca="false">N79+N80+N84+N87+N93+N100</f>
        <v>3</v>
      </c>
      <c r="O78" s="31" t="n">
        <f aca="false">O79+O80+O84+O87+O93+O100</f>
        <v>40</v>
      </c>
      <c r="P78" s="31" t="n">
        <f aca="false">P79+P80+P84+P87+P93+P100</f>
        <v>0</v>
      </c>
      <c r="Q78" s="31" t="n">
        <f aca="false">Q79+Q80+Q84+Q87+Q93+Q100</f>
        <v>0</v>
      </c>
      <c r="R78" s="31" t="n">
        <f aca="false">R79+R80+R84+R87+R93+R100</f>
        <v>9</v>
      </c>
      <c r="S78" s="31" t="n">
        <f aca="false">S79+S80+S84+S87+S93+S100</f>
        <v>22</v>
      </c>
      <c r="T78" s="31" t="n">
        <f aca="false">T79+T80+T84+T87+T93+T100</f>
        <v>0</v>
      </c>
      <c r="U78" s="31" t="n">
        <f aca="false">U79+U80+U84+U87+U93+U100</f>
        <v>0</v>
      </c>
      <c r="V78" s="32"/>
    </row>
    <row r="79" customFormat="false" ht="15" hidden="false" customHeight="false" outlineLevel="1" collapsed="false">
      <c r="A79" s="33" t="s">
        <v>141</v>
      </c>
      <c r="B79" s="20" t="s">
        <v>142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L79" s="19" t="n">
        <v>0</v>
      </c>
      <c r="M79" s="19" t="n">
        <v>0</v>
      </c>
      <c r="N79" s="19" t="n">
        <v>0</v>
      </c>
      <c r="O79" s="19" t="n">
        <v>0</v>
      </c>
      <c r="P79" s="19" t="n">
        <v>0</v>
      </c>
      <c r="Q79" s="19" t="n">
        <v>0</v>
      </c>
      <c r="R79" s="19" t="n">
        <v>0</v>
      </c>
      <c r="S79" s="19" t="n">
        <v>0</v>
      </c>
      <c r="T79" s="19" t="n">
        <v>0</v>
      </c>
      <c r="U79" s="19" t="n">
        <v>0</v>
      </c>
      <c r="V79" s="34"/>
    </row>
    <row r="80" customFormat="false" ht="15" hidden="false" customHeight="false" outlineLevel="1" collapsed="false">
      <c r="A80" s="33" t="s">
        <v>143</v>
      </c>
      <c r="B80" s="20" t="s">
        <v>144</v>
      </c>
      <c r="C80" s="19" t="n">
        <f aca="false">SUM(C81:C83)</f>
        <v>1</v>
      </c>
      <c r="D80" s="19" t="n">
        <f aca="false">SUM(D81:D83)</f>
        <v>1</v>
      </c>
      <c r="E80" s="19" t="n">
        <f aca="false">SUM(E81:E83)</f>
        <v>2</v>
      </c>
      <c r="F80" s="19" t="n">
        <f aca="false">SUM(F81:F83)</f>
        <v>3</v>
      </c>
      <c r="G80" s="19" t="n">
        <f aca="false">SUM(G81:G83)</f>
        <v>0</v>
      </c>
      <c r="H80" s="19" t="n">
        <f aca="false">SUM(H81:H83)</f>
        <v>0</v>
      </c>
      <c r="I80" s="19" t="n">
        <f aca="false">SUM(I81:I83)</f>
        <v>3</v>
      </c>
      <c r="J80" s="19" t="n">
        <f aca="false">SUM(J81:J83)</f>
        <v>4</v>
      </c>
      <c r="L80" s="19" t="n">
        <f aca="false">SUM(L81:L83)</f>
        <v>1</v>
      </c>
      <c r="M80" s="19" t="n">
        <f aca="false">SUM(M81:M83)</f>
        <v>1</v>
      </c>
      <c r="N80" s="19" t="n">
        <f aca="false">SUM(N81:N83)</f>
        <v>0</v>
      </c>
      <c r="O80" s="19" t="n">
        <f aca="false">SUM(O81:O83)</f>
        <v>0</v>
      </c>
      <c r="P80" s="19" t="n">
        <f aca="false">SUM(P81:P83)</f>
        <v>0</v>
      </c>
      <c r="Q80" s="19" t="n">
        <f aca="false">SUM(Q81:Q83)</f>
        <v>0</v>
      </c>
      <c r="R80" s="19" t="n">
        <f aca="false">SUM(R81:R83)</f>
        <v>2</v>
      </c>
      <c r="S80" s="19" t="n">
        <f aca="false">SUM(S81:S83)</f>
        <v>3</v>
      </c>
      <c r="T80" s="19" t="n">
        <f aca="false">SUM(T81:T83)</f>
        <v>0</v>
      </c>
      <c r="U80" s="19" t="n">
        <f aca="false">SUM(U81:U83)</f>
        <v>0</v>
      </c>
      <c r="V80" s="34"/>
    </row>
    <row r="81" customFormat="false" ht="15" hidden="true" customHeight="false" outlineLevel="2" collapsed="false">
      <c r="A81" s="11" t="s">
        <v>145</v>
      </c>
      <c r="B81" s="35" t="s">
        <v>146</v>
      </c>
      <c r="C81" s="7" t="n">
        <v>1</v>
      </c>
      <c r="D81" s="7" t="n">
        <v>1</v>
      </c>
      <c r="E81" s="5"/>
      <c r="F81" s="5"/>
      <c r="G81" s="5"/>
      <c r="H81" s="5"/>
      <c r="I81" s="5" t="n">
        <f aca="false">C81+E81+G81</f>
        <v>1</v>
      </c>
      <c r="J81" s="5" t="n">
        <f aca="false">D81+F81+H81</f>
        <v>1</v>
      </c>
      <c r="L81" s="7" t="n">
        <v>1</v>
      </c>
      <c r="M81" s="7" t="n">
        <v>1</v>
      </c>
      <c r="N81" s="5"/>
      <c r="O81" s="5"/>
      <c r="P81" s="5"/>
      <c r="Q81" s="5"/>
      <c r="R81" s="5"/>
      <c r="S81" s="5"/>
      <c r="T81" s="5"/>
      <c r="U81" s="5"/>
      <c r="V81" s="11"/>
    </row>
    <row r="82" customFormat="false" ht="15" hidden="true" customHeight="false" outlineLevel="2" collapsed="false">
      <c r="A82" s="11" t="s">
        <v>147</v>
      </c>
      <c r="B82" s="35" t="s">
        <v>148</v>
      </c>
      <c r="C82" s="5"/>
      <c r="D82" s="5"/>
      <c r="E82" s="7" t="n">
        <v>1</v>
      </c>
      <c r="F82" s="7" t="n">
        <v>2</v>
      </c>
      <c r="G82" s="5"/>
      <c r="H82" s="5"/>
      <c r="I82" s="5" t="n">
        <f aca="false">C82+E82+G82</f>
        <v>1</v>
      </c>
      <c r="J82" s="5" t="n">
        <f aca="false">D82+F82+H82</f>
        <v>2</v>
      </c>
      <c r="L82" s="5"/>
      <c r="M82" s="5"/>
      <c r="N82" s="5"/>
      <c r="O82" s="5"/>
      <c r="P82" s="5"/>
      <c r="Q82" s="5"/>
      <c r="R82" s="7" t="n">
        <v>1</v>
      </c>
      <c r="S82" s="7" t="n">
        <v>2</v>
      </c>
      <c r="T82" s="5"/>
      <c r="U82" s="5"/>
      <c r="V82" s="11"/>
    </row>
    <row r="83" customFormat="false" ht="15" hidden="true" customHeight="false" outlineLevel="2" collapsed="false">
      <c r="A83" s="11" t="s">
        <v>149</v>
      </c>
      <c r="B83" s="35" t="s">
        <v>150</v>
      </c>
      <c r="C83" s="5"/>
      <c r="D83" s="5"/>
      <c r="E83" s="7" t="n">
        <v>1</v>
      </c>
      <c r="F83" s="7" t="n">
        <v>1</v>
      </c>
      <c r="G83" s="5"/>
      <c r="H83" s="5"/>
      <c r="I83" s="5" t="n">
        <f aca="false">C83+E83+G83</f>
        <v>1</v>
      </c>
      <c r="J83" s="5" t="n">
        <f aca="false">D83+F83+H83</f>
        <v>1</v>
      </c>
      <c r="L83" s="5"/>
      <c r="M83" s="5"/>
      <c r="N83" s="5"/>
      <c r="O83" s="5"/>
      <c r="P83" s="5"/>
      <c r="Q83" s="5"/>
      <c r="R83" s="7" t="n">
        <v>1</v>
      </c>
      <c r="S83" s="7" t="n">
        <v>1</v>
      </c>
      <c r="T83" s="5"/>
      <c r="U83" s="5"/>
      <c r="V83" s="11"/>
    </row>
    <row r="84" customFormat="false" ht="15" hidden="false" customHeight="false" outlineLevel="1" collapsed="false">
      <c r="A84" s="33" t="s">
        <v>151</v>
      </c>
      <c r="B84" s="20" t="s">
        <v>152</v>
      </c>
      <c r="C84" s="19" t="n">
        <f aca="false">SUM(C85:C86)</f>
        <v>0</v>
      </c>
      <c r="D84" s="19" t="n">
        <f aca="false">SUM(D85:D86)</f>
        <v>0</v>
      </c>
      <c r="E84" s="19" t="n">
        <f aca="false">SUM(E85:E86)</f>
        <v>2</v>
      </c>
      <c r="F84" s="19" t="n">
        <f aca="false">SUM(F85:F86)</f>
        <v>7</v>
      </c>
      <c r="G84" s="19" t="n">
        <f aca="false">SUM(G85:G86)</f>
        <v>0</v>
      </c>
      <c r="H84" s="19" t="n">
        <f aca="false">SUM(H85:H86)</f>
        <v>0</v>
      </c>
      <c r="I84" s="19" t="n">
        <f aca="false">SUM(I85:I86)</f>
        <v>2</v>
      </c>
      <c r="J84" s="19" t="n">
        <f aca="false">SUM(J85:J86)</f>
        <v>7</v>
      </c>
      <c r="L84" s="19" t="n">
        <f aca="false">SUM(L85:L86)</f>
        <v>0</v>
      </c>
      <c r="M84" s="19" t="n">
        <f aca="false">SUM(M85:M86)</f>
        <v>0</v>
      </c>
      <c r="N84" s="19" t="n">
        <f aca="false">SUM(N85:N86)</f>
        <v>0</v>
      </c>
      <c r="O84" s="19" t="n">
        <f aca="false">SUM(O85:O86)</f>
        <v>0</v>
      </c>
      <c r="P84" s="19" t="n">
        <f aca="false">SUM(P85:P86)</f>
        <v>0</v>
      </c>
      <c r="Q84" s="19" t="n">
        <f aca="false">SUM(Q85:Q86)</f>
        <v>0</v>
      </c>
      <c r="R84" s="19" t="n">
        <f aca="false">SUM(R85:R86)</f>
        <v>2</v>
      </c>
      <c r="S84" s="19" t="n">
        <f aca="false">SUM(S85:S86)</f>
        <v>7</v>
      </c>
      <c r="T84" s="19" t="n">
        <f aca="false">SUM(T85:T86)</f>
        <v>0</v>
      </c>
      <c r="U84" s="19" t="n">
        <f aca="false">SUM(U85:U86)</f>
        <v>0</v>
      </c>
      <c r="V84" s="34"/>
    </row>
    <row r="85" customFormat="false" ht="15" hidden="true" customHeight="false" outlineLevel="2" collapsed="false">
      <c r="A85" s="11" t="s">
        <v>153</v>
      </c>
      <c r="B85" s="35" t="s">
        <v>154</v>
      </c>
      <c r="C85" s="5"/>
      <c r="D85" s="5"/>
      <c r="E85" s="7" t="n">
        <v>1</v>
      </c>
      <c r="F85" s="7" t="n">
        <v>2</v>
      </c>
      <c r="G85" s="5"/>
      <c r="H85" s="5"/>
      <c r="I85" s="5" t="n">
        <f aca="false">C85+E85+G85</f>
        <v>1</v>
      </c>
      <c r="J85" s="5" t="n">
        <f aca="false">D85+F85+H85</f>
        <v>2</v>
      </c>
      <c r="L85" s="5"/>
      <c r="M85" s="5"/>
      <c r="N85" s="5"/>
      <c r="O85" s="5"/>
      <c r="P85" s="5"/>
      <c r="Q85" s="5"/>
      <c r="R85" s="7" t="n">
        <v>1</v>
      </c>
      <c r="S85" s="7" t="n">
        <v>2</v>
      </c>
      <c r="T85" s="5"/>
      <c r="U85" s="5"/>
      <c r="V85" s="11"/>
    </row>
    <row r="86" customFormat="false" ht="15" hidden="true" customHeight="false" outlineLevel="2" collapsed="false">
      <c r="A86" s="11" t="s">
        <v>153</v>
      </c>
      <c r="B86" s="35" t="s">
        <v>154</v>
      </c>
      <c r="C86" s="5"/>
      <c r="D86" s="5"/>
      <c r="E86" s="7" t="n">
        <v>1</v>
      </c>
      <c r="F86" s="7" t="n">
        <v>5</v>
      </c>
      <c r="G86" s="5"/>
      <c r="H86" s="5"/>
      <c r="I86" s="5" t="n">
        <f aca="false">C86+E86+G86</f>
        <v>1</v>
      </c>
      <c r="J86" s="5" t="n">
        <f aca="false">D86+F86+H86</f>
        <v>5</v>
      </c>
      <c r="L86" s="5"/>
      <c r="M86" s="5"/>
      <c r="N86" s="5"/>
      <c r="O86" s="5"/>
      <c r="P86" s="5"/>
      <c r="Q86" s="5"/>
      <c r="R86" s="7" t="n">
        <v>1</v>
      </c>
      <c r="S86" s="7" t="n">
        <v>5</v>
      </c>
      <c r="T86" s="5"/>
      <c r="U86" s="5"/>
      <c r="V86" s="11"/>
    </row>
    <row r="87" customFormat="false" ht="15" hidden="false" customHeight="false" outlineLevel="1" collapsed="false">
      <c r="A87" s="33" t="s">
        <v>155</v>
      </c>
      <c r="B87" s="20" t="s">
        <v>156</v>
      </c>
      <c r="C87" s="19" t="n">
        <f aca="false">SUM(C88:C92)</f>
        <v>1</v>
      </c>
      <c r="D87" s="19" t="n">
        <f aca="false">SUM(D88:D92)</f>
        <v>5</v>
      </c>
      <c r="E87" s="19" t="n">
        <f aca="false">SUM(E88:E92)</f>
        <v>3</v>
      </c>
      <c r="F87" s="19" t="n">
        <f aca="false">SUM(F88:F92)</f>
        <v>7</v>
      </c>
      <c r="G87" s="19" t="n">
        <f aca="false">SUM(G88:G92)</f>
        <v>1</v>
      </c>
      <c r="H87" s="19" t="n">
        <f aca="false">SUM(H88:H92)</f>
        <v>16</v>
      </c>
      <c r="I87" s="19" t="n">
        <f aca="false">SUM(I88:I92)</f>
        <v>5</v>
      </c>
      <c r="J87" s="19" t="n">
        <f aca="false">SUM(J88:J92)</f>
        <v>28</v>
      </c>
      <c r="L87" s="19" t="n">
        <f aca="false">SUM(L88:L92)</f>
        <v>0</v>
      </c>
      <c r="M87" s="19" t="n">
        <f aca="false">SUM(M88:M92)</f>
        <v>0</v>
      </c>
      <c r="N87" s="19" t="n">
        <f aca="false">SUM(N88:N92)</f>
        <v>2</v>
      </c>
      <c r="O87" s="19" t="n">
        <f aca="false">SUM(O88:O92)</f>
        <v>21</v>
      </c>
      <c r="P87" s="19" t="n">
        <f aca="false">SUM(P88:P92)</f>
        <v>0</v>
      </c>
      <c r="Q87" s="19" t="n">
        <f aca="false">SUM(Q88:Q92)</f>
        <v>0</v>
      </c>
      <c r="R87" s="19" t="n">
        <f aca="false">SUM(R88:R92)</f>
        <v>3</v>
      </c>
      <c r="S87" s="19" t="n">
        <f aca="false">SUM(S88:S92)</f>
        <v>7</v>
      </c>
      <c r="T87" s="19" t="n">
        <f aca="false">SUM(T88:T92)</f>
        <v>0</v>
      </c>
      <c r="U87" s="19" t="n">
        <f aca="false">SUM(U88:U92)</f>
        <v>0</v>
      </c>
      <c r="V87" s="34"/>
    </row>
    <row r="88" customFormat="false" ht="15" hidden="true" customHeight="false" outlineLevel="2" collapsed="false">
      <c r="A88" s="11" t="s">
        <v>157</v>
      </c>
      <c r="B88" s="35" t="s">
        <v>158</v>
      </c>
      <c r="C88" s="7" t="n">
        <v>1</v>
      </c>
      <c r="D88" s="7" t="n">
        <v>5</v>
      </c>
      <c r="E88" s="5"/>
      <c r="F88" s="5"/>
      <c r="G88" s="5"/>
      <c r="H88" s="5"/>
      <c r="I88" s="5" t="n">
        <f aca="false">C88+E88+G88</f>
        <v>1</v>
      </c>
      <c r="J88" s="5" t="n">
        <f aca="false">D88+F88+H88</f>
        <v>5</v>
      </c>
      <c r="L88" s="5"/>
      <c r="M88" s="5"/>
      <c r="N88" s="7" t="n">
        <v>1</v>
      </c>
      <c r="O88" s="7" t="n">
        <v>5</v>
      </c>
      <c r="P88" s="5"/>
      <c r="Q88" s="5"/>
      <c r="R88" s="5"/>
      <c r="S88" s="5"/>
      <c r="T88" s="5"/>
      <c r="U88" s="5"/>
      <c r="V88" s="11"/>
    </row>
    <row r="89" customFormat="false" ht="15" hidden="true" customHeight="false" outlineLevel="2" collapsed="false">
      <c r="A89" s="11" t="s">
        <v>159</v>
      </c>
      <c r="B89" s="35" t="s">
        <v>154</v>
      </c>
      <c r="C89" s="5"/>
      <c r="D89" s="5"/>
      <c r="E89" s="7" t="n">
        <v>1</v>
      </c>
      <c r="F89" s="7" t="n">
        <v>1</v>
      </c>
      <c r="G89" s="5"/>
      <c r="H89" s="5"/>
      <c r="I89" s="5" t="n">
        <f aca="false">C89+E89+G89</f>
        <v>1</v>
      </c>
      <c r="J89" s="5" t="n">
        <f aca="false">D89+F89+H89</f>
        <v>1</v>
      </c>
      <c r="L89" s="5"/>
      <c r="M89" s="5"/>
      <c r="N89" s="5"/>
      <c r="O89" s="5"/>
      <c r="P89" s="5"/>
      <c r="Q89" s="5"/>
      <c r="R89" s="7" t="n">
        <v>1</v>
      </c>
      <c r="S89" s="7" t="n">
        <v>1</v>
      </c>
      <c r="T89" s="5"/>
      <c r="U89" s="5"/>
      <c r="V89" s="11"/>
    </row>
    <row r="90" customFormat="false" ht="15" hidden="true" customHeight="false" outlineLevel="2" collapsed="false">
      <c r="A90" s="11" t="s">
        <v>159</v>
      </c>
      <c r="B90" s="35" t="s">
        <v>154</v>
      </c>
      <c r="C90" s="5"/>
      <c r="D90" s="5"/>
      <c r="E90" s="7" t="n">
        <v>1</v>
      </c>
      <c r="F90" s="7" t="n">
        <v>5</v>
      </c>
      <c r="G90" s="5"/>
      <c r="H90" s="5"/>
      <c r="I90" s="5" t="n">
        <f aca="false">C90+E90+G90</f>
        <v>1</v>
      </c>
      <c r="J90" s="5" t="n">
        <f aca="false">D90+F90+H90</f>
        <v>5</v>
      </c>
      <c r="L90" s="5"/>
      <c r="M90" s="5"/>
      <c r="N90" s="5"/>
      <c r="O90" s="5"/>
      <c r="P90" s="5"/>
      <c r="Q90" s="5"/>
      <c r="R90" s="7" t="n">
        <v>1</v>
      </c>
      <c r="S90" s="7" t="n">
        <v>5</v>
      </c>
      <c r="T90" s="5"/>
      <c r="U90" s="5"/>
      <c r="V90" s="11"/>
    </row>
    <row r="91" customFormat="false" ht="15" hidden="true" customHeight="false" outlineLevel="2" collapsed="false">
      <c r="A91" s="11" t="s">
        <v>159</v>
      </c>
      <c r="B91" s="35" t="s">
        <v>154</v>
      </c>
      <c r="C91" s="5"/>
      <c r="D91" s="5"/>
      <c r="E91" s="7" t="n">
        <v>1</v>
      </c>
      <c r="F91" s="7" t="n">
        <v>1</v>
      </c>
      <c r="G91" s="5"/>
      <c r="H91" s="5"/>
      <c r="I91" s="5" t="n">
        <f aca="false">C91+E91+G91</f>
        <v>1</v>
      </c>
      <c r="J91" s="5" t="n">
        <f aca="false">D91+F91+H91</f>
        <v>1</v>
      </c>
      <c r="L91" s="5"/>
      <c r="M91" s="5"/>
      <c r="N91" s="5"/>
      <c r="O91" s="5"/>
      <c r="P91" s="5"/>
      <c r="Q91" s="5"/>
      <c r="R91" s="7" t="n">
        <v>1</v>
      </c>
      <c r="S91" s="7" t="n">
        <v>1</v>
      </c>
      <c r="T91" s="5"/>
      <c r="U91" s="5"/>
      <c r="V91" s="11"/>
    </row>
    <row r="92" customFormat="false" ht="15" hidden="true" customHeight="false" outlineLevel="2" collapsed="false">
      <c r="A92" s="11" t="s">
        <v>159</v>
      </c>
      <c r="B92" s="35" t="s">
        <v>160</v>
      </c>
      <c r="C92" s="5"/>
      <c r="D92" s="5"/>
      <c r="E92" s="5"/>
      <c r="F92" s="5"/>
      <c r="G92" s="7" t="n">
        <v>1</v>
      </c>
      <c r="H92" s="7" t="n">
        <v>16</v>
      </c>
      <c r="I92" s="5" t="n">
        <f aca="false">C92+E92+G92</f>
        <v>1</v>
      </c>
      <c r="J92" s="5" t="n">
        <f aca="false">D92+F92+H92</f>
        <v>16</v>
      </c>
      <c r="L92" s="5"/>
      <c r="M92" s="5"/>
      <c r="N92" s="7" t="n">
        <v>1</v>
      </c>
      <c r="O92" s="7" t="n">
        <v>16</v>
      </c>
      <c r="P92" s="5"/>
      <c r="Q92" s="5"/>
      <c r="R92" s="5"/>
      <c r="S92" s="5"/>
      <c r="T92" s="5"/>
      <c r="U92" s="5"/>
      <c r="V92" s="11"/>
    </row>
    <row r="93" customFormat="false" ht="15" hidden="false" customHeight="false" outlineLevel="1" collapsed="false">
      <c r="A93" s="33" t="s">
        <v>161</v>
      </c>
      <c r="B93" s="20" t="s">
        <v>162</v>
      </c>
      <c r="C93" s="19" t="n">
        <f aca="false">SUM(C94:C99)</f>
        <v>1</v>
      </c>
      <c r="D93" s="19" t="n">
        <f aca="false">SUM(D94:D99)</f>
        <v>2</v>
      </c>
      <c r="E93" s="19" t="n">
        <f aca="false">SUM(E94:E99)</f>
        <v>4</v>
      </c>
      <c r="F93" s="19" t="n">
        <f aca="false">SUM(F94:F99)</f>
        <v>26</v>
      </c>
      <c r="G93" s="19" t="n">
        <f aca="false">SUM(G94:G99)</f>
        <v>1</v>
      </c>
      <c r="H93" s="19" t="n">
        <f aca="false">SUM(H94:H99)</f>
        <v>1</v>
      </c>
      <c r="I93" s="19" t="n">
        <f aca="false">SUM(I94:I99)</f>
        <v>6</v>
      </c>
      <c r="J93" s="19" t="n">
        <f aca="false">SUM(J94:J99)</f>
        <v>29</v>
      </c>
      <c r="L93" s="19" t="n">
        <f aca="false">SUM(L94:L99)</f>
        <v>3</v>
      </c>
      <c r="M93" s="19" t="n">
        <f aca="false">SUM(M94:M99)</f>
        <v>5</v>
      </c>
      <c r="N93" s="19" t="n">
        <f aca="false">SUM(N94:N99)</f>
        <v>1</v>
      </c>
      <c r="O93" s="19" t="n">
        <f aca="false">SUM(O94:O99)</f>
        <v>19</v>
      </c>
      <c r="P93" s="19" t="n">
        <f aca="false">SUM(P94:P99)</f>
        <v>0</v>
      </c>
      <c r="Q93" s="19" t="n">
        <f aca="false">SUM(Q94:Q99)</f>
        <v>0</v>
      </c>
      <c r="R93" s="19" t="n">
        <f aca="false">SUM(R94:R99)</f>
        <v>2</v>
      </c>
      <c r="S93" s="19" t="n">
        <f aca="false">SUM(S94:S99)</f>
        <v>5</v>
      </c>
      <c r="T93" s="19" t="n">
        <f aca="false">SUM(T94:T99)</f>
        <v>0</v>
      </c>
      <c r="U93" s="19" t="n">
        <f aca="false">SUM(U94:U99)</f>
        <v>0</v>
      </c>
      <c r="V93" s="34"/>
    </row>
    <row r="94" customFormat="false" ht="15" hidden="true" customHeight="false" outlineLevel="2" collapsed="false">
      <c r="A94" s="11" t="s">
        <v>163</v>
      </c>
      <c r="B94" s="35" t="s">
        <v>164</v>
      </c>
      <c r="C94" s="5"/>
      <c r="D94" s="5"/>
      <c r="E94" s="7" t="n">
        <v>1</v>
      </c>
      <c r="F94" s="7" t="n">
        <v>4</v>
      </c>
      <c r="G94" s="5"/>
      <c r="H94" s="5"/>
      <c r="I94" s="5" t="n">
        <f aca="false">C94+E94+G94</f>
        <v>1</v>
      </c>
      <c r="J94" s="5" t="n">
        <f aca="false">D94+F94+H94</f>
        <v>4</v>
      </c>
      <c r="L94" s="5"/>
      <c r="M94" s="5"/>
      <c r="N94" s="5"/>
      <c r="O94" s="5"/>
      <c r="P94" s="5"/>
      <c r="Q94" s="5"/>
      <c r="R94" s="7" t="n">
        <v>1</v>
      </c>
      <c r="S94" s="7" t="n">
        <v>4</v>
      </c>
      <c r="T94" s="5"/>
      <c r="U94" s="5"/>
      <c r="V94" s="11"/>
    </row>
    <row r="95" customFormat="false" ht="15" hidden="true" customHeight="false" outlineLevel="2" collapsed="false">
      <c r="A95" s="11" t="s">
        <v>165</v>
      </c>
      <c r="B95" s="35" t="s">
        <v>164</v>
      </c>
      <c r="C95" s="5"/>
      <c r="D95" s="5"/>
      <c r="E95" s="7" t="n">
        <v>1</v>
      </c>
      <c r="F95" s="7" t="n">
        <v>1</v>
      </c>
      <c r="G95" s="5"/>
      <c r="H95" s="5"/>
      <c r="I95" s="5" t="n">
        <f aca="false">C95+E95+G95</f>
        <v>1</v>
      </c>
      <c r="J95" s="5" t="n">
        <f aca="false">D95+F95+H95</f>
        <v>1</v>
      </c>
      <c r="L95" s="5"/>
      <c r="M95" s="5"/>
      <c r="N95" s="5"/>
      <c r="O95" s="5"/>
      <c r="P95" s="5"/>
      <c r="Q95" s="5"/>
      <c r="R95" s="7" t="n">
        <v>1</v>
      </c>
      <c r="S95" s="7" t="n">
        <v>1</v>
      </c>
      <c r="T95" s="5"/>
      <c r="U95" s="5"/>
      <c r="V95" s="35" t="s">
        <v>166</v>
      </c>
    </row>
    <row r="96" customFormat="false" ht="15" hidden="true" customHeight="false" outlineLevel="2" collapsed="false">
      <c r="A96" s="11" t="s">
        <v>167</v>
      </c>
      <c r="B96" s="35" t="s">
        <v>168</v>
      </c>
      <c r="C96" s="5"/>
      <c r="D96" s="5"/>
      <c r="E96" s="7" t="n">
        <v>1</v>
      </c>
      <c r="F96" s="7" t="n">
        <v>19</v>
      </c>
      <c r="G96" s="5"/>
      <c r="H96" s="5"/>
      <c r="I96" s="5" t="n">
        <f aca="false">C96+E96+G96</f>
        <v>1</v>
      </c>
      <c r="J96" s="5" t="n">
        <f aca="false">D96+F96+H96</f>
        <v>19</v>
      </c>
      <c r="L96" s="5"/>
      <c r="M96" s="5"/>
      <c r="N96" s="7" t="n">
        <v>1</v>
      </c>
      <c r="O96" s="7" t="n">
        <v>19</v>
      </c>
      <c r="P96" s="5"/>
      <c r="Q96" s="5"/>
      <c r="R96" s="5"/>
      <c r="S96" s="5"/>
      <c r="T96" s="5"/>
      <c r="U96" s="5"/>
      <c r="V96" s="35" t="s">
        <v>169</v>
      </c>
    </row>
    <row r="97" customFormat="false" ht="15" hidden="true" customHeight="false" outlineLevel="2" collapsed="false">
      <c r="A97" s="11" t="s">
        <v>167</v>
      </c>
      <c r="B97" s="35" t="s">
        <v>170</v>
      </c>
      <c r="C97" s="5"/>
      <c r="D97" s="5"/>
      <c r="E97" s="5"/>
      <c r="F97" s="5"/>
      <c r="G97" s="7" t="n">
        <v>1</v>
      </c>
      <c r="H97" s="7" t="n">
        <v>1</v>
      </c>
      <c r="I97" s="5" t="n">
        <f aca="false">C97+E97+G97</f>
        <v>1</v>
      </c>
      <c r="J97" s="5" t="n">
        <f aca="false">D97+F97+H97</f>
        <v>1</v>
      </c>
      <c r="L97" s="7" t="n">
        <v>1</v>
      </c>
      <c r="M97" s="7" t="n">
        <v>1</v>
      </c>
      <c r="N97" s="5"/>
      <c r="O97" s="5"/>
      <c r="P97" s="5"/>
      <c r="Q97" s="5"/>
      <c r="R97" s="5"/>
      <c r="S97" s="5"/>
      <c r="T97" s="5"/>
      <c r="U97" s="5"/>
      <c r="V97" s="11"/>
    </row>
    <row r="98" customFormat="false" ht="15" hidden="true" customHeight="false" outlineLevel="2" collapsed="false">
      <c r="A98" s="11" t="s">
        <v>167</v>
      </c>
      <c r="B98" s="35" t="s">
        <v>171</v>
      </c>
      <c r="C98" s="5"/>
      <c r="D98" s="5"/>
      <c r="E98" s="7" t="n">
        <v>1</v>
      </c>
      <c r="F98" s="7" t="n">
        <v>2</v>
      </c>
      <c r="G98" s="5"/>
      <c r="H98" s="5"/>
      <c r="I98" s="5" t="n">
        <f aca="false">C98+E98+G98</f>
        <v>1</v>
      </c>
      <c r="J98" s="5" t="n">
        <f aca="false">D98+F98+H98</f>
        <v>2</v>
      </c>
      <c r="L98" s="7" t="n">
        <v>1</v>
      </c>
      <c r="M98" s="7" t="n">
        <v>2</v>
      </c>
      <c r="N98" s="5"/>
      <c r="O98" s="5"/>
      <c r="P98" s="5"/>
      <c r="Q98" s="5"/>
      <c r="R98" s="5"/>
      <c r="S98" s="5"/>
      <c r="T98" s="5"/>
      <c r="U98" s="5"/>
      <c r="V98" s="35" t="s">
        <v>172</v>
      </c>
    </row>
    <row r="99" customFormat="false" ht="15" hidden="true" customHeight="false" outlineLevel="2" collapsed="false">
      <c r="A99" s="11" t="s">
        <v>167</v>
      </c>
      <c r="B99" s="35" t="s">
        <v>173</v>
      </c>
      <c r="C99" s="7" t="n">
        <v>1</v>
      </c>
      <c r="D99" s="7" t="n">
        <v>2</v>
      </c>
      <c r="E99" s="5"/>
      <c r="F99" s="5"/>
      <c r="G99" s="5"/>
      <c r="H99" s="5"/>
      <c r="I99" s="5" t="n">
        <f aca="false">C99+E99+G99</f>
        <v>1</v>
      </c>
      <c r="J99" s="5" t="n">
        <f aca="false">D99+F99+H99</f>
        <v>2</v>
      </c>
      <c r="L99" s="7" t="n">
        <v>1</v>
      </c>
      <c r="M99" s="7" t="n">
        <v>2</v>
      </c>
      <c r="N99" s="5"/>
      <c r="O99" s="5"/>
      <c r="P99" s="5"/>
      <c r="Q99" s="5"/>
      <c r="R99" s="5"/>
      <c r="S99" s="5"/>
      <c r="T99" s="5"/>
      <c r="U99" s="5"/>
      <c r="V99" s="11"/>
    </row>
    <row r="100" customFormat="false" ht="15" hidden="false" customHeight="false" outlineLevel="1" collapsed="false">
      <c r="A100" s="33" t="s">
        <v>174</v>
      </c>
      <c r="B100" s="20" t="s">
        <v>175</v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34"/>
    </row>
    <row r="101" customFormat="false" ht="15" hidden="false" customHeight="false" outlineLevel="0" collapsed="false">
      <c r="A101" s="29" t="s">
        <v>176</v>
      </c>
      <c r="B101" s="30" t="s">
        <v>99</v>
      </c>
      <c r="C101" s="31" t="n">
        <f aca="false">C102+C107+C114+C116+C118</f>
        <v>10</v>
      </c>
      <c r="D101" s="31" t="n">
        <f aca="false">D102+D107+D114+D116+D118</f>
        <v>19</v>
      </c>
      <c r="E101" s="31" t="n">
        <f aca="false">E102+E107+E114+E116+E118</f>
        <v>5</v>
      </c>
      <c r="F101" s="31" t="n">
        <f aca="false">F102+F107+F114+F116+F118</f>
        <v>10</v>
      </c>
      <c r="G101" s="31" t="n">
        <f aca="false">G102+G107+G114+G116+G118</f>
        <v>1</v>
      </c>
      <c r="H101" s="31" t="n">
        <f aca="false">H102+H107+H114+H116+H118</f>
        <v>1</v>
      </c>
      <c r="I101" s="31" t="n">
        <f aca="false">I102+I107+I114+I116+I118</f>
        <v>16</v>
      </c>
      <c r="J101" s="31" t="n">
        <f aca="false">J102+J107+J114+J116+J118</f>
        <v>30</v>
      </c>
      <c r="L101" s="31" t="n">
        <f aca="false">L102+L107+L114+L116+L118</f>
        <v>4</v>
      </c>
      <c r="M101" s="31" t="n">
        <f aca="false">M102+M107+M114+M116+M118</f>
        <v>4</v>
      </c>
      <c r="N101" s="31" t="n">
        <f aca="false">N102+N107+N114+N116+N118</f>
        <v>1</v>
      </c>
      <c r="O101" s="31" t="n">
        <f aca="false">O102+O107+O114+O116+O118</f>
        <v>1</v>
      </c>
      <c r="P101" s="31" t="n">
        <f aca="false">P102+P107+P114+P116+P118</f>
        <v>0</v>
      </c>
      <c r="Q101" s="31" t="n">
        <f aca="false">Q102+Q107+Q114+Q116+Q118</f>
        <v>0</v>
      </c>
      <c r="R101" s="31" t="n">
        <f aca="false">R102+R107+R114+R116+R118</f>
        <v>11</v>
      </c>
      <c r="S101" s="31" t="n">
        <f aca="false">S102+S107+S114+S116+S118</f>
        <v>25</v>
      </c>
      <c r="T101" s="31" t="n">
        <f aca="false">T102+T107+T114+T116+T118</f>
        <v>0</v>
      </c>
      <c r="U101" s="31" t="n">
        <f aca="false">U102+U107+U114+U116+U118</f>
        <v>0</v>
      </c>
      <c r="V101" s="32"/>
    </row>
    <row r="102" customFormat="false" ht="15" hidden="false" customHeight="false" outlineLevel="1" collapsed="false">
      <c r="A102" s="33" t="s">
        <v>177</v>
      </c>
      <c r="B102" s="20" t="s">
        <v>178</v>
      </c>
      <c r="C102" s="19" t="n">
        <f aca="false">SUM(C103:C106)</f>
        <v>2</v>
      </c>
      <c r="D102" s="19" t="n">
        <f aca="false">SUM(D103:D106)</f>
        <v>6</v>
      </c>
      <c r="E102" s="19" t="n">
        <f aca="false">SUM(E103:E106)</f>
        <v>2</v>
      </c>
      <c r="F102" s="19" t="n">
        <f aca="false">SUM(F103:F106)</f>
        <v>3</v>
      </c>
      <c r="G102" s="19" t="n">
        <f aca="false">SUM(G103:G106)</f>
        <v>0</v>
      </c>
      <c r="H102" s="19" t="n">
        <f aca="false">SUM(H103:H106)</f>
        <v>0</v>
      </c>
      <c r="I102" s="19" t="n">
        <f aca="false">SUM(I103:I106)</f>
        <v>4</v>
      </c>
      <c r="J102" s="19" t="n">
        <f aca="false">SUM(J103:J106)</f>
        <v>9</v>
      </c>
      <c r="L102" s="19" t="n">
        <f aca="false">SUM(L103:L106)</f>
        <v>0</v>
      </c>
      <c r="M102" s="19" t="n">
        <f aca="false">SUM(M103:M106)</f>
        <v>0</v>
      </c>
      <c r="N102" s="19" t="n">
        <f aca="false">SUM(N103:N106)</f>
        <v>0</v>
      </c>
      <c r="O102" s="19" t="n">
        <f aca="false">SUM(O103:O106)</f>
        <v>0</v>
      </c>
      <c r="P102" s="19" t="n">
        <f aca="false">SUM(P103:P106)</f>
        <v>0</v>
      </c>
      <c r="Q102" s="19" t="n">
        <f aca="false">SUM(Q103:Q106)</f>
        <v>0</v>
      </c>
      <c r="R102" s="19" t="n">
        <f aca="false">SUM(R103:R106)</f>
        <v>4</v>
      </c>
      <c r="S102" s="19" t="n">
        <f aca="false">SUM(S103:S106)</f>
        <v>9</v>
      </c>
      <c r="T102" s="19" t="n">
        <f aca="false">SUM(T103:T106)</f>
        <v>0</v>
      </c>
      <c r="U102" s="19" t="n">
        <f aca="false">SUM(U103:U106)</f>
        <v>0</v>
      </c>
      <c r="V102" s="34"/>
    </row>
    <row r="103" customFormat="false" ht="15" hidden="true" customHeight="false" outlineLevel="2" collapsed="false">
      <c r="A103" s="11" t="s">
        <v>179</v>
      </c>
      <c r="B103" s="35" t="s">
        <v>180</v>
      </c>
      <c r="C103" s="7" t="n">
        <v>1</v>
      </c>
      <c r="D103" s="7" t="n">
        <v>5</v>
      </c>
      <c r="E103" s="5"/>
      <c r="F103" s="5"/>
      <c r="G103" s="5"/>
      <c r="H103" s="5"/>
      <c r="I103" s="5" t="n">
        <f aca="false">C103+E103+G103</f>
        <v>1</v>
      </c>
      <c r="J103" s="5" t="n">
        <f aca="false">D103+F103+H103</f>
        <v>5</v>
      </c>
      <c r="L103" s="5"/>
      <c r="M103" s="5"/>
      <c r="N103" s="5"/>
      <c r="O103" s="5"/>
      <c r="P103" s="5"/>
      <c r="Q103" s="5"/>
      <c r="R103" s="7" t="n">
        <v>1</v>
      </c>
      <c r="S103" s="7" t="n">
        <v>5</v>
      </c>
      <c r="T103" s="5"/>
      <c r="U103" s="5"/>
      <c r="V103" s="11"/>
    </row>
    <row r="104" customFormat="false" ht="15" hidden="true" customHeight="false" outlineLevel="2" collapsed="false">
      <c r="A104" s="11" t="s">
        <v>181</v>
      </c>
      <c r="B104" s="35" t="s">
        <v>180</v>
      </c>
      <c r="C104" s="7" t="n">
        <v>1</v>
      </c>
      <c r="D104" s="7" t="n">
        <v>1</v>
      </c>
      <c r="E104" s="5"/>
      <c r="F104" s="5"/>
      <c r="G104" s="5"/>
      <c r="H104" s="5"/>
      <c r="I104" s="5" t="n">
        <f aca="false">C104+E104+G104</f>
        <v>1</v>
      </c>
      <c r="J104" s="5" t="n">
        <f aca="false">D104+F104+H104</f>
        <v>1</v>
      </c>
      <c r="L104" s="5"/>
      <c r="M104" s="5"/>
      <c r="N104" s="5"/>
      <c r="O104" s="5"/>
      <c r="P104" s="5"/>
      <c r="Q104" s="5"/>
      <c r="R104" s="7" t="n">
        <v>1</v>
      </c>
      <c r="S104" s="7" t="n">
        <v>1</v>
      </c>
      <c r="T104" s="5"/>
      <c r="U104" s="5"/>
      <c r="V104" s="11"/>
    </row>
    <row r="105" customFormat="false" ht="15" hidden="true" customHeight="false" outlineLevel="2" collapsed="false">
      <c r="A105" s="11" t="s">
        <v>182</v>
      </c>
      <c r="B105" s="35" t="s">
        <v>105</v>
      </c>
      <c r="C105" s="5"/>
      <c r="D105" s="5"/>
      <c r="E105" s="7" t="n">
        <v>1</v>
      </c>
      <c r="F105" s="7" t="n">
        <v>2</v>
      </c>
      <c r="G105" s="5"/>
      <c r="H105" s="5"/>
      <c r="I105" s="5" t="n">
        <f aca="false">C105+E105+G105</f>
        <v>1</v>
      </c>
      <c r="J105" s="5" t="n">
        <f aca="false">D105+F105+H105</f>
        <v>2</v>
      </c>
      <c r="L105" s="5"/>
      <c r="M105" s="5"/>
      <c r="N105" s="5"/>
      <c r="O105" s="5"/>
      <c r="P105" s="5"/>
      <c r="Q105" s="5"/>
      <c r="R105" s="7" t="n">
        <v>1</v>
      </c>
      <c r="S105" s="7" t="n">
        <v>2</v>
      </c>
      <c r="T105" s="5"/>
      <c r="U105" s="5"/>
      <c r="V105" s="11"/>
    </row>
    <row r="106" customFormat="false" ht="15" hidden="true" customHeight="false" outlineLevel="2" collapsed="false">
      <c r="A106" s="11" t="s">
        <v>182</v>
      </c>
      <c r="B106" s="35" t="s">
        <v>164</v>
      </c>
      <c r="C106" s="5"/>
      <c r="D106" s="5"/>
      <c r="E106" s="7" t="n">
        <v>1</v>
      </c>
      <c r="F106" s="7" t="n">
        <v>1</v>
      </c>
      <c r="G106" s="5"/>
      <c r="H106" s="5"/>
      <c r="I106" s="5" t="n">
        <f aca="false">C106+E106+G106</f>
        <v>1</v>
      </c>
      <c r="J106" s="5" t="n">
        <f aca="false">D106+F106+H106</f>
        <v>1</v>
      </c>
      <c r="L106" s="5"/>
      <c r="M106" s="5"/>
      <c r="N106" s="5"/>
      <c r="O106" s="5"/>
      <c r="P106" s="5"/>
      <c r="Q106" s="5"/>
      <c r="R106" s="7" t="n">
        <v>1</v>
      </c>
      <c r="S106" s="7" t="n">
        <v>1</v>
      </c>
      <c r="T106" s="5"/>
      <c r="U106" s="5"/>
      <c r="V106" s="11"/>
    </row>
    <row r="107" customFormat="false" ht="15" hidden="false" customHeight="false" outlineLevel="1" collapsed="false">
      <c r="A107" s="33" t="s">
        <v>183</v>
      </c>
      <c r="B107" s="20" t="s">
        <v>184</v>
      </c>
      <c r="C107" s="19" t="n">
        <f aca="false">SUM(C108:C113)</f>
        <v>5</v>
      </c>
      <c r="D107" s="19" t="n">
        <f aca="false">SUM(D108:D113)</f>
        <v>6</v>
      </c>
      <c r="E107" s="19" t="n">
        <f aca="false">SUM(E108:E113)</f>
        <v>1</v>
      </c>
      <c r="F107" s="19" t="n">
        <f aca="false">SUM(F108:F113)</f>
        <v>1</v>
      </c>
      <c r="G107" s="19" t="n">
        <f aca="false">SUM(G108:G113)</f>
        <v>0</v>
      </c>
      <c r="H107" s="19" t="n">
        <f aca="false">SUM(H108:H113)</f>
        <v>0</v>
      </c>
      <c r="I107" s="19" t="n">
        <f aca="false">SUM(I108:I113)</f>
        <v>6</v>
      </c>
      <c r="J107" s="19" t="n">
        <f aca="false">SUM(J108:J113)</f>
        <v>7</v>
      </c>
      <c r="L107" s="19" t="n">
        <f aca="false">SUM(L108:L113)</f>
        <v>3</v>
      </c>
      <c r="M107" s="19" t="n">
        <f aca="false">SUM(M108:M113)</f>
        <v>3</v>
      </c>
      <c r="N107" s="19" t="n">
        <f aca="false">SUM(N108:N113)</f>
        <v>0</v>
      </c>
      <c r="O107" s="19" t="n">
        <f aca="false">SUM(O108:O113)</f>
        <v>0</v>
      </c>
      <c r="P107" s="19" t="n">
        <f aca="false">SUM(P108:P113)</f>
        <v>0</v>
      </c>
      <c r="Q107" s="19" t="n">
        <f aca="false">SUM(Q108:Q113)</f>
        <v>0</v>
      </c>
      <c r="R107" s="19" t="n">
        <f aca="false">SUM(R108:R113)</f>
        <v>3</v>
      </c>
      <c r="S107" s="19" t="n">
        <f aca="false">SUM(S108:S113)</f>
        <v>4</v>
      </c>
      <c r="T107" s="19" t="n">
        <f aca="false">SUM(T108:T113)</f>
        <v>0</v>
      </c>
      <c r="U107" s="19" t="n">
        <f aca="false">SUM(U108:U113)</f>
        <v>0</v>
      </c>
      <c r="V107" s="34"/>
    </row>
    <row r="108" customFormat="false" ht="15" hidden="true" customHeight="false" outlineLevel="2" collapsed="false">
      <c r="A108" s="11" t="s">
        <v>185</v>
      </c>
      <c r="B108" s="35" t="s">
        <v>113</v>
      </c>
      <c r="C108" s="7" t="n">
        <v>1</v>
      </c>
      <c r="D108" s="7" t="n">
        <v>1</v>
      </c>
      <c r="E108" s="5"/>
      <c r="F108" s="5"/>
      <c r="G108" s="5"/>
      <c r="H108" s="5"/>
      <c r="I108" s="5" t="n">
        <f aca="false">C108+E108+G108</f>
        <v>1</v>
      </c>
      <c r="J108" s="5" t="n">
        <f aca="false">D108+F108+H108</f>
        <v>1</v>
      </c>
      <c r="L108" s="5"/>
      <c r="M108" s="5"/>
      <c r="N108" s="5"/>
      <c r="O108" s="5"/>
      <c r="P108" s="5"/>
      <c r="Q108" s="5"/>
      <c r="R108" s="7" t="n">
        <v>1</v>
      </c>
      <c r="S108" s="7" t="n">
        <v>1</v>
      </c>
      <c r="T108" s="5"/>
      <c r="U108" s="5"/>
      <c r="V108" s="11"/>
    </row>
    <row r="109" customFormat="false" ht="15" hidden="true" customHeight="false" outlineLevel="2" collapsed="false">
      <c r="A109" s="11" t="s">
        <v>185</v>
      </c>
      <c r="B109" s="35" t="s">
        <v>186</v>
      </c>
      <c r="C109" s="7" t="n">
        <v>1</v>
      </c>
      <c r="D109" s="7" t="n">
        <v>2</v>
      </c>
      <c r="E109" s="5"/>
      <c r="F109" s="5"/>
      <c r="G109" s="5"/>
      <c r="H109" s="5"/>
      <c r="I109" s="5" t="n">
        <f aca="false">C109+E109+G109</f>
        <v>1</v>
      </c>
      <c r="J109" s="5" t="n">
        <f aca="false">D109+F109+H109</f>
        <v>2</v>
      </c>
      <c r="L109" s="5"/>
      <c r="M109" s="5"/>
      <c r="N109" s="5"/>
      <c r="O109" s="5"/>
      <c r="P109" s="5"/>
      <c r="Q109" s="5"/>
      <c r="R109" s="7" t="n">
        <v>1</v>
      </c>
      <c r="S109" s="7" t="n">
        <v>2</v>
      </c>
      <c r="T109" s="5"/>
      <c r="U109" s="5"/>
      <c r="V109" s="11"/>
    </row>
    <row r="110" customFormat="false" ht="15" hidden="true" customHeight="false" outlineLevel="2" collapsed="false">
      <c r="A110" s="11" t="s">
        <v>185</v>
      </c>
      <c r="B110" s="35" t="s">
        <v>187</v>
      </c>
      <c r="C110" s="7" t="n">
        <v>1</v>
      </c>
      <c r="D110" s="7" t="n">
        <v>1</v>
      </c>
      <c r="E110" s="5"/>
      <c r="F110" s="5"/>
      <c r="G110" s="5"/>
      <c r="H110" s="5"/>
      <c r="I110" s="5" t="n">
        <f aca="false">C110+E110+G110</f>
        <v>1</v>
      </c>
      <c r="J110" s="5" t="n">
        <f aca="false">D110+F110+H110</f>
        <v>1</v>
      </c>
      <c r="L110" s="7" t="n">
        <v>1</v>
      </c>
      <c r="M110" s="7" t="n">
        <v>1</v>
      </c>
      <c r="N110" s="5"/>
      <c r="O110" s="5"/>
      <c r="P110" s="5"/>
      <c r="Q110" s="5"/>
      <c r="R110" s="5"/>
      <c r="S110" s="5"/>
      <c r="T110" s="5"/>
      <c r="U110" s="5"/>
      <c r="V110" s="11"/>
    </row>
    <row r="111" customFormat="false" ht="15" hidden="true" customHeight="false" outlineLevel="2" collapsed="false">
      <c r="A111" s="11" t="s">
        <v>188</v>
      </c>
      <c r="B111" s="35" t="s">
        <v>187</v>
      </c>
      <c r="C111" s="7" t="n">
        <v>1</v>
      </c>
      <c r="D111" s="7" t="n">
        <v>1</v>
      </c>
      <c r="E111" s="5"/>
      <c r="F111" s="5"/>
      <c r="G111" s="5"/>
      <c r="H111" s="5"/>
      <c r="I111" s="5" t="n">
        <f aca="false">C111+E111+G111</f>
        <v>1</v>
      </c>
      <c r="J111" s="5" t="n">
        <f aca="false">D111+F111+H111</f>
        <v>1</v>
      </c>
      <c r="L111" s="7" t="n">
        <v>1</v>
      </c>
      <c r="M111" s="7" t="n">
        <v>1</v>
      </c>
      <c r="N111" s="5"/>
      <c r="O111" s="5"/>
      <c r="P111" s="5"/>
      <c r="Q111" s="5"/>
      <c r="R111" s="5"/>
      <c r="S111" s="5"/>
      <c r="T111" s="5"/>
      <c r="U111" s="5"/>
      <c r="V111" s="11"/>
    </row>
    <row r="112" customFormat="false" ht="15" hidden="true" customHeight="false" outlineLevel="2" collapsed="false">
      <c r="A112" s="11" t="s">
        <v>189</v>
      </c>
      <c r="B112" s="35" t="s">
        <v>190</v>
      </c>
      <c r="C112" s="5"/>
      <c r="D112" s="5"/>
      <c r="E112" s="7" t="n">
        <v>1</v>
      </c>
      <c r="F112" s="7" t="n">
        <v>1</v>
      </c>
      <c r="G112" s="5"/>
      <c r="H112" s="5"/>
      <c r="I112" s="5" t="n">
        <f aca="false">C112+E112+G112</f>
        <v>1</v>
      </c>
      <c r="J112" s="5" t="n">
        <f aca="false">D112+F112+H112</f>
        <v>1</v>
      </c>
      <c r="L112" s="7" t="n">
        <v>1</v>
      </c>
      <c r="M112" s="7" t="n">
        <v>1</v>
      </c>
      <c r="N112" s="5"/>
      <c r="O112" s="5"/>
      <c r="P112" s="5"/>
      <c r="Q112" s="5"/>
      <c r="R112" s="5"/>
      <c r="S112" s="5"/>
      <c r="T112" s="5"/>
      <c r="U112" s="5"/>
      <c r="V112" s="11"/>
    </row>
    <row r="113" customFormat="false" ht="15" hidden="true" customHeight="false" outlineLevel="2" collapsed="false">
      <c r="A113" s="11" t="s">
        <v>189</v>
      </c>
      <c r="B113" s="35" t="s">
        <v>191</v>
      </c>
      <c r="C113" s="7" t="n">
        <v>1</v>
      </c>
      <c r="D113" s="7" t="n">
        <v>1</v>
      </c>
      <c r="E113" s="5"/>
      <c r="F113" s="5"/>
      <c r="G113" s="5"/>
      <c r="H113" s="5"/>
      <c r="I113" s="5" t="n">
        <f aca="false">C113+E113+G113</f>
        <v>1</v>
      </c>
      <c r="J113" s="5" t="n">
        <f aca="false">D113+F113+H113</f>
        <v>1</v>
      </c>
      <c r="L113" s="5"/>
      <c r="M113" s="5"/>
      <c r="N113" s="5"/>
      <c r="O113" s="5"/>
      <c r="P113" s="5"/>
      <c r="Q113" s="5"/>
      <c r="R113" s="7" t="n">
        <v>1</v>
      </c>
      <c r="S113" s="7" t="n">
        <v>1</v>
      </c>
      <c r="T113" s="5"/>
      <c r="U113" s="5"/>
      <c r="V113" s="11"/>
    </row>
    <row r="114" customFormat="false" ht="15" hidden="false" customHeight="false" outlineLevel="1" collapsed="false">
      <c r="A114" s="33" t="s">
        <v>192</v>
      </c>
      <c r="B114" s="20" t="s">
        <v>193</v>
      </c>
      <c r="C114" s="19" t="n">
        <f aca="false">SUM(C115:C115)</f>
        <v>1</v>
      </c>
      <c r="D114" s="19" t="n">
        <f aca="false">SUM(D115:D115)</f>
        <v>1</v>
      </c>
      <c r="E114" s="19" t="n">
        <f aca="false">SUM(E115:E115)</f>
        <v>0</v>
      </c>
      <c r="F114" s="19" t="n">
        <f aca="false">SUM(F115:F115)</f>
        <v>0</v>
      </c>
      <c r="G114" s="19" t="n">
        <f aca="false">SUM(G115:G115)</f>
        <v>0</v>
      </c>
      <c r="H114" s="19" t="n">
        <f aca="false">SUM(H115:H115)</f>
        <v>0</v>
      </c>
      <c r="I114" s="19" t="n">
        <f aca="false">SUM(I115:I115)</f>
        <v>1</v>
      </c>
      <c r="J114" s="19" t="n">
        <f aca="false">SUM(J115:J115)</f>
        <v>1</v>
      </c>
      <c r="L114" s="19" t="n">
        <f aca="false">SUM(L115:L115)</f>
        <v>1</v>
      </c>
      <c r="M114" s="19" t="n">
        <f aca="false">SUM(M115:M115)</f>
        <v>1</v>
      </c>
      <c r="N114" s="19" t="n">
        <f aca="false">SUM(N115:N115)</f>
        <v>0</v>
      </c>
      <c r="O114" s="19" t="n">
        <f aca="false">SUM(O115:O115)</f>
        <v>0</v>
      </c>
      <c r="P114" s="19" t="n">
        <f aca="false">SUM(P115:P115)</f>
        <v>0</v>
      </c>
      <c r="Q114" s="19" t="n">
        <f aca="false">SUM(Q115:Q115)</f>
        <v>0</v>
      </c>
      <c r="R114" s="19" t="n">
        <f aca="false">SUM(R115:R115)</f>
        <v>0</v>
      </c>
      <c r="S114" s="19" t="n">
        <f aca="false">SUM(S115:S115)</f>
        <v>0</v>
      </c>
      <c r="T114" s="19" t="n">
        <f aca="false">SUM(T115:T115)</f>
        <v>0</v>
      </c>
      <c r="U114" s="19" t="n">
        <f aca="false">SUM(U115:U115)</f>
        <v>0</v>
      </c>
      <c r="V114" s="34"/>
    </row>
    <row r="115" customFormat="false" ht="15" hidden="true" customHeight="false" outlineLevel="2" collapsed="false">
      <c r="A115" s="11" t="s">
        <v>194</v>
      </c>
      <c r="B115" s="35" t="s">
        <v>146</v>
      </c>
      <c r="C115" s="7" t="n">
        <v>1</v>
      </c>
      <c r="D115" s="7" t="n">
        <v>1</v>
      </c>
      <c r="E115" s="5"/>
      <c r="F115" s="5"/>
      <c r="G115" s="5"/>
      <c r="H115" s="5"/>
      <c r="I115" s="5" t="n">
        <f aca="false">C115+E115+G115</f>
        <v>1</v>
      </c>
      <c r="J115" s="5" t="n">
        <f aca="false">D115+F115+H115</f>
        <v>1</v>
      </c>
      <c r="L115" s="7" t="n">
        <v>1</v>
      </c>
      <c r="M115" s="7" t="n">
        <v>1</v>
      </c>
      <c r="N115" s="5"/>
      <c r="O115" s="5"/>
      <c r="P115" s="5"/>
      <c r="Q115" s="5"/>
      <c r="R115" s="5"/>
      <c r="S115" s="5"/>
      <c r="T115" s="5"/>
      <c r="U115" s="5"/>
      <c r="V115" s="11"/>
    </row>
    <row r="116" customFormat="false" ht="15" hidden="false" customHeight="false" outlineLevel="1" collapsed="false">
      <c r="A116" s="33" t="s">
        <v>195</v>
      </c>
      <c r="B116" s="20" t="s">
        <v>196</v>
      </c>
      <c r="C116" s="19" t="n">
        <f aca="false">SUM(C117:C117)</f>
        <v>1</v>
      </c>
      <c r="D116" s="19" t="n">
        <f aca="false">SUM(D117:D117)</f>
        <v>5</v>
      </c>
      <c r="E116" s="19" t="n">
        <f aca="false">SUM(E117:E117)</f>
        <v>0</v>
      </c>
      <c r="F116" s="19" t="n">
        <f aca="false">SUM(F117:F117)</f>
        <v>0</v>
      </c>
      <c r="G116" s="19" t="n">
        <f aca="false">SUM(G117:G117)</f>
        <v>0</v>
      </c>
      <c r="H116" s="19" t="n">
        <f aca="false">SUM(H117:H117)</f>
        <v>0</v>
      </c>
      <c r="I116" s="19" t="n">
        <f aca="false">SUM(I117:I117)</f>
        <v>1</v>
      </c>
      <c r="J116" s="19" t="n">
        <f aca="false">SUM(J117:J117)</f>
        <v>5</v>
      </c>
      <c r="L116" s="19" t="n">
        <f aca="false">SUM(L117:L117)</f>
        <v>0</v>
      </c>
      <c r="M116" s="19" t="n">
        <f aca="false">SUM(M117:M117)</f>
        <v>0</v>
      </c>
      <c r="N116" s="19" t="n">
        <f aca="false">SUM(N117:N117)</f>
        <v>0</v>
      </c>
      <c r="O116" s="19" t="n">
        <f aca="false">SUM(O117:O117)</f>
        <v>0</v>
      </c>
      <c r="P116" s="19" t="n">
        <f aca="false">SUM(P117:P117)</f>
        <v>0</v>
      </c>
      <c r="Q116" s="19" t="n">
        <f aca="false">SUM(Q117:Q117)</f>
        <v>0</v>
      </c>
      <c r="R116" s="19" t="n">
        <f aca="false">SUM(R117:R117)</f>
        <v>1</v>
      </c>
      <c r="S116" s="19" t="n">
        <f aca="false">SUM(S117:S117)</f>
        <v>5</v>
      </c>
      <c r="T116" s="19" t="n">
        <f aca="false">SUM(T117:T117)</f>
        <v>0</v>
      </c>
      <c r="U116" s="19" t="n">
        <f aca="false">SUM(U117:U117)</f>
        <v>0</v>
      </c>
      <c r="V116" s="34"/>
    </row>
    <row r="117" customFormat="false" ht="15" hidden="true" customHeight="false" outlineLevel="2" collapsed="false">
      <c r="A117" s="11" t="s">
        <v>197</v>
      </c>
      <c r="B117" s="35" t="s">
        <v>198</v>
      </c>
      <c r="C117" s="7" t="n">
        <v>1</v>
      </c>
      <c r="D117" s="7" t="n">
        <v>5</v>
      </c>
      <c r="E117" s="5"/>
      <c r="F117" s="5"/>
      <c r="G117" s="5"/>
      <c r="H117" s="5"/>
      <c r="I117" s="5" t="n">
        <f aca="false">C117+E117+G117</f>
        <v>1</v>
      </c>
      <c r="J117" s="5" t="n">
        <f aca="false">D117+F117+H117</f>
        <v>5</v>
      </c>
      <c r="L117" s="5"/>
      <c r="M117" s="5"/>
      <c r="N117" s="5"/>
      <c r="O117" s="5"/>
      <c r="P117" s="5"/>
      <c r="Q117" s="5"/>
      <c r="R117" s="7" t="n">
        <v>1</v>
      </c>
      <c r="S117" s="7" t="n">
        <v>5</v>
      </c>
      <c r="T117" s="5"/>
      <c r="U117" s="5"/>
      <c r="V117" s="11"/>
    </row>
    <row r="118" customFormat="false" ht="15" hidden="false" customHeight="false" outlineLevel="1" collapsed="false">
      <c r="A118" s="36" t="s">
        <v>199</v>
      </c>
      <c r="B118" s="37" t="s">
        <v>200</v>
      </c>
      <c r="C118" s="38" t="n">
        <f aca="false">SUM(C119:C122)</f>
        <v>1</v>
      </c>
      <c r="D118" s="38" t="n">
        <f aca="false">SUM(D119:D122)</f>
        <v>1</v>
      </c>
      <c r="E118" s="38" t="n">
        <f aca="false">SUM(E119:E122)</f>
        <v>2</v>
      </c>
      <c r="F118" s="38" t="n">
        <f aca="false">SUM(F119:F122)</f>
        <v>6</v>
      </c>
      <c r="G118" s="38" t="n">
        <f aca="false">SUM(G119:G122)</f>
        <v>1</v>
      </c>
      <c r="H118" s="38" t="n">
        <f aca="false">SUM(H119:H122)</f>
        <v>1</v>
      </c>
      <c r="I118" s="38" t="n">
        <f aca="false">SUM(I119:I122)</f>
        <v>4</v>
      </c>
      <c r="J118" s="38" t="n">
        <f aca="false">SUM(J119:J122)</f>
        <v>8</v>
      </c>
      <c r="L118" s="38" t="n">
        <f aca="false">SUM(L119:L122)</f>
        <v>0</v>
      </c>
      <c r="M118" s="38" t="n">
        <f aca="false">SUM(M119:M122)</f>
        <v>0</v>
      </c>
      <c r="N118" s="38" t="n">
        <f aca="false">SUM(N119:N122)</f>
        <v>1</v>
      </c>
      <c r="O118" s="38" t="n">
        <f aca="false">SUM(O119:O122)</f>
        <v>1</v>
      </c>
      <c r="P118" s="38" t="n">
        <f aca="false">SUM(P119:P122)</f>
        <v>0</v>
      </c>
      <c r="Q118" s="38" t="n">
        <f aca="false">SUM(Q119:Q122)</f>
        <v>0</v>
      </c>
      <c r="R118" s="38" t="n">
        <f aca="false">SUM(R119:R122)</f>
        <v>3</v>
      </c>
      <c r="S118" s="38" t="n">
        <f aca="false">SUM(S119:S122)</f>
        <v>7</v>
      </c>
      <c r="T118" s="38" t="n">
        <f aca="false">SUM(T119:T122)</f>
        <v>0</v>
      </c>
      <c r="U118" s="38" t="n">
        <f aca="false">SUM(U119:U122)</f>
        <v>0</v>
      </c>
      <c r="V118" s="39" t="s">
        <v>201</v>
      </c>
    </row>
    <row r="119" customFormat="false" ht="15" hidden="true" customHeight="false" outlineLevel="2" collapsed="false">
      <c r="A119" s="11" t="s">
        <v>202</v>
      </c>
      <c r="B119" s="35" t="s">
        <v>164</v>
      </c>
      <c r="C119" s="5"/>
      <c r="D119" s="5"/>
      <c r="E119" s="7" t="n">
        <v>1</v>
      </c>
      <c r="F119" s="7" t="n">
        <v>5</v>
      </c>
      <c r="G119" s="5"/>
      <c r="H119" s="5"/>
      <c r="I119" s="5" t="n">
        <f aca="false">C119+E119+G119</f>
        <v>1</v>
      </c>
      <c r="J119" s="5" t="n">
        <f aca="false">D119+F119+H119</f>
        <v>5</v>
      </c>
      <c r="L119" s="5"/>
      <c r="M119" s="5"/>
      <c r="N119" s="5"/>
      <c r="O119" s="5"/>
      <c r="P119" s="5"/>
      <c r="Q119" s="5"/>
      <c r="R119" s="7" t="n">
        <v>1</v>
      </c>
      <c r="S119" s="7" t="n">
        <v>5</v>
      </c>
      <c r="T119" s="5"/>
      <c r="U119" s="5"/>
      <c r="V119" s="11"/>
    </row>
    <row r="120" customFormat="false" ht="15" hidden="true" customHeight="false" outlineLevel="2" collapsed="false">
      <c r="A120" s="11" t="s">
        <v>202</v>
      </c>
      <c r="B120" s="35" t="s">
        <v>105</v>
      </c>
      <c r="C120" s="5"/>
      <c r="D120" s="5"/>
      <c r="E120" s="7" t="n">
        <v>1</v>
      </c>
      <c r="F120" s="7" t="n">
        <v>1</v>
      </c>
      <c r="G120" s="5"/>
      <c r="H120" s="5"/>
      <c r="I120" s="5" t="n">
        <f aca="false">C120+E120+G120</f>
        <v>1</v>
      </c>
      <c r="J120" s="5" t="n">
        <f aca="false">D120+F120+H120</f>
        <v>1</v>
      </c>
      <c r="L120" s="5"/>
      <c r="M120" s="5"/>
      <c r="N120" s="5"/>
      <c r="O120" s="5"/>
      <c r="P120" s="5"/>
      <c r="Q120" s="5"/>
      <c r="R120" s="7" t="n">
        <v>1</v>
      </c>
      <c r="S120" s="7" t="n">
        <v>1</v>
      </c>
      <c r="T120" s="5"/>
      <c r="U120" s="5"/>
      <c r="V120" s="11"/>
    </row>
    <row r="121" customFormat="false" ht="15" hidden="true" customHeight="false" outlineLevel="2" collapsed="false">
      <c r="A121" s="11" t="s">
        <v>202</v>
      </c>
      <c r="B121" s="35" t="s">
        <v>160</v>
      </c>
      <c r="C121" s="5"/>
      <c r="D121" s="5"/>
      <c r="E121" s="5"/>
      <c r="F121" s="5"/>
      <c r="G121" s="7" t="n">
        <v>1</v>
      </c>
      <c r="H121" s="7" t="n">
        <v>1</v>
      </c>
      <c r="I121" s="5" t="n">
        <f aca="false">C121+E121+G121</f>
        <v>1</v>
      </c>
      <c r="J121" s="5" t="n">
        <f aca="false">D121+F121+H121</f>
        <v>1</v>
      </c>
      <c r="L121" s="5"/>
      <c r="M121" s="5"/>
      <c r="N121" s="7" t="n">
        <v>1</v>
      </c>
      <c r="O121" s="7" t="n">
        <v>1</v>
      </c>
      <c r="P121" s="5"/>
      <c r="Q121" s="5"/>
      <c r="R121" s="5"/>
      <c r="S121" s="5"/>
      <c r="T121" s="5"/>
      <c r="U121" s="5"/>
      <c r="V121" s="11"/>
    </row>
    <row r="122" customFormat="false" ht="15" hidden="true" customHeight="false" outlineLevel="2" collapsed="false">
      <c r="A122" s="11" t="s">
        <v>202</v>
      </c>
      <c r="B122" s="35" t="s">
        <v>191</v>
      </c>
      <c r="C122" s="7" t="n">
        <v>1</v>
      </c>
      <c r="D122" s="7" t="n">
        <v>1</v>
      </c>
      <c r="E122" s="5"/>
      <c r="F122" s="5"/>
      <c r="G122" s="5"/>
      <c r="H122" s="5"/>
      <c r="I122" s="5" t="n">
        <f aca="false">C122+E122+G122</f>
        <v>1</v>
      </c>
      <c r="J122" s="5" t="n">
        <f aca="false">D122+F122+H122</f>
        <v>1</v>
      </c>
      <c r="L122" s="5"/>
      <c r="M122" s="5"/>
      <c r="N122" s="5"/>
      <c r="O122" s="5"/>
      <c r="P122" s="5"/>
      <c r="Q122" s="5"/>
      <c r="R122" s="7" t="n">
        <v>1</v>
      </c>
      <c r="S122" s="7" t="n">
        <v>1</v>
      </c>
      <c r="T122" s="5"/>
      <c r="U122" s="5"/>
      <c r="V122" s="11"/>
    </row>
    <row r="123" customFormat="false" ht="15" hidden="false" customHeight="false" outlineLevel="0" collapsed="false">
      <c r="A123" s="29" t="s">
        <v>203</v>
      </c>
      <c r="B123" s="30" t="s">
        <v>204</v>
      </c>
      <c r="C123" s="31" t="n">
        <f aca="false">C124+C127</f>
        <v>3</v>
      </c>
      <c r="D123" s="31" t="n">
        <f aca="false">D124+D127</f>
        <v>14</v>
      </c>
      <c r="E123" s="31" t="n">
        <f aca="false">E124+E127</f>
        <v>1</v>
      </c>
      <c r="F123" s="31" t="n">
        <f aca="false">F124+F127</f>
        <v>1</v>
      </c>
      <c r="G123" s="31" t="n">
        <f aca="false">G124+G127</f>
        <v>2</v>
      </c>
      <c r="H123" s="31" t="n">
        <f aca="false">H124+H127</f>
        <v>16</v>
      </c>
      <c r="I123" s="31" t="n">
        <f aca="false">I124+I127</f>
        <v>6</v>
      </c>
      <c r="J123" s="31" t="n">
        <f aca="false">J124+J127</f>
        <v>31</v>
      </c>
      <c r="L123" s="31" t="n">
        <f aca="false">L124+L127</f>
        <v>4</v>
      </c>
      <c r="M123" s="31" t="n">
        <f aca="false">M124+M127</f>
        <v>24</v>
      </c>
      <c r="N123" s="31" t="n">
        <f aca="false">N124+N127</f>
        <v>0</v>
      </c>
      <c r="O123" s="31" t="n">
        <f aca="false">O124+O127</f>
        <v>0</v>
      </c>
      <c r="P123" s="31" t="n">
        <f aca="false">P124+P127</f>
        <v>0</v>
      </c>
      <c r="Q123" s="31" t="n">
        <f aca="false">Q124+Q127</f>
        <v>0</v>
      </c>
      <c r="R123" s="31" t="n">
        <f aca="false">R124+R127</f>
        <v>1</v>
      </c>
      <c r="S123" s="31" t="n">
        <f aca="false">S124+S127</f>
        <v>1</v>
      </c>
      <c r="T123" s="31" t="n">
        <f aca="false">T124+T127</f>
        <v>1</v>
      </c>
      <c r="U123" s="31" t="n">
        <f aca="false">U124+U127</f>
        <v>6</v>
      </c>
      <c r="V123" s="32"/>
    </row>
    <row r="124" customFormat="false" ht="15" hidden="false" customHeight="false" outlineLevel="1" collapsed="false">
      <c r="A124" s="36" t="s">
        <v>205</v>
      </c>
      <c r="B124" s="37" t="s">
        <v>206</v>
      </c>
      <c r="C124" s="38" t="n">
        <f aca="false">SUM(C125:C126)</f>
        <v>1</v>
      </c>
      <c r="D124" s="38" t="n">
        <f aca="false">SUM(D125:D126)</f>
        <v>12</v>
      </c>
      <c r="E124" s="38" t="n">
        <f aca="false">SUM(E125:E126)</f>
        <v>1</v>
      </c>
      <c r="F124" s="38" t="n">
        <f aca="false">SUM(F125:F126)</f>
        <v>1</v>
      </c>
      <c r="G124" s="38" t="n">
        <f aca="false">SUM(G125:G126)</f>
        <v>0</v>
      </c>
      <c r="H124" s="38" t="n">
        <f aca="false">SUM(H125:H126)</f>
        <v>0</v>
      </c>
      <c r="I124" s="38" t="n">
        <f aca="false">SUM(I125:I126)</f>
        <v>2</v>
      </c>
      <c r="J124" s="38" t="n">
        <f aca="false">SUM(J125:J126)</f>
        <v>13</v>
      </c>
      <c r="L124" s="38" t="n">
        <f aca="false">SUM(L125:L126)</f>
        <v>1</v>
      </c>
      <c r="M124" s="38" t="n">
        <f aca="false">SUM(M125:M126)</f>
        <v>12</v>
      </c>
      <c r="N124" s="38" t="n">
        <f aca="false">SUM(N125:N126)</f>
        <v>0</v>
      </c>
      <c r="O124" s="38" t="n">
        <f aca="false">SUM(O125:O126)</f>
        <v>0</v>
      </c>
      <c r="P124" s="38" t="n">
        <f aca="false">SUM(P125:P126)</f>
        <v>0</v>
      </c>
      <c r="Q124" s="38" t="n">
        <f aca="false">SUM(Q125:Q126)</f>
        <v>0</v>
      </c>
      <c r="R124" s="38" t="n">
        <f aca="false">SUM(R125:R126)</f>
        <v>1</v>
      </c>
      <c r="S124" s="38" t="n">
        <f aca="false">SUM(S125:S126)</f>
        <v>1</v>
      </c>
      <c r="T124" s="38" t="n">
        <f aca="false">SUM(T125:T126)</f>
        <v>0</v>
      </c>
      <c r="U124" s="38" t="n">
        <f aca="false">SUM(U125:U126)</f>
        <v>0</v>
      </c>
      <c r="V124" s="39" t="s">
        <v>201</v>
      </c>
    </row>
    <row r="125" customFormat="false" ht="15" hidden="true" customHeight="false" outlineLevel="2" collapsed="false">
      <c r="A125" s="11" t="s">
        <v>207</v>
      </c>
      <c r="B125" s="35" t="s">
        <v>208</v>
      </c>
      <c r="C125" s="7" t="n">
        <v>1</v>
      </c>
      <c r="D125" s="7" t="n">
        <v>12</v>
      </c>
      <c r="E125" s="5"/>
      <c r="F125" s="5"/>
      <c r="G125" s="5"/>
      <c r="H125" s="5"/>
      <c r="I125" s="5" t="n">
        <f aca="false">C125+E125+G125</f>
        <v>1</v>
      </c>
      <c r="J125" s="5" t="n">
        <f aca="false">D125+F125+H125</f>
        <v>12</v>
      </c>
      <c r="L125" s="7" t="n">
        <v>1</v>
      </c>
      <c r="M125" s="7" t="n">
        <v>12</v>
      </c>
      <c r="N125" s="5"/>
      <c r="O125" s="5"/>
      <c r="P125" s="5"/>
      <c r="Q125" s="5"/>
      <c r="R125" s="5"/>
      <c r="S125" s="5"/>
      <c r="T125" s="5"/>
      <c r="U125" s="5"/>
      <c r="V125" s="11"/>
    </row>
    <row r="126" customFormat="false" ht="15" hidden="true" customHeight="false" outlineLevel="2" collapsed="false">
      <c r="A126" s="11" t="s">
        <v>209</v>
      </c>
      <c r="B126" s="35" t="s">
        <v>105</v>
      </c>
      <c r="C126" s="5"/>
      <c r="D126" s="5"/>
      <c r="E126" s="7" t="n">
        <v>1</v>
      </c>
      <c r="F126" s="7" t="n">
        <v>1</v>
      </c>
      <c r="G126" s="5"/>
      <c r="H126" s="5"/>
      <c r="I126" s="5" t="n">
        <f aca="false">C126+E126+G126</f>
        <v>1</v>
      </c>
      <c r="J126" s="5" t="n">
        <f aca="false">D126+F126+H126</f>
        <v>1</v>
      </c>
      <c r="L126" s="5"/>
      <c r="M126" s="5"/>
      <c r="N126" s="5"/>
      <c r="O126" s="5"/>
      <c r="P126" s="5"/>
      <c r="Q126" s="5"/>
      <c r="R126" s="7" t="n">
        <v>1</v>
      </c>
      <c r="S126" s="7" t="n">
        <v>1</v>
      </c>
      <c r="T126" s="5"/>
      <c r="U126" s="5"/>
      <c r="V126" s="11"/>
    </row>
    <row r="127" customFormat="false" ht="15" hidden="false" customHeight="false" outlineLevel="1" collapsed="false">
      <c r="A127" s="36" t="s">
        <v>210</v>
      </c>
      <c r="B127" s="37" t="s">
        <v>211</v>
      </c>
      <c r="C127" s="38" t="n">
        <f aca="false">SUM(C128:C131)</f>
        <v>2</v>
      </c>
      <c r="D127" s="38" t="n">
        <f aca="false">SUM(D128:D131)</f>
        <v>2</v>
      </c>
      <c r="E127" s="38" t="n">
        <f aca="false">SUM(E128:E131)</f>
        <v>0</v>
      </c>
      <c r="F127" s="38" t="n">
        <f aca="false">SUM(F128:F131)</f>
        <v>0</v>
      </c>
      <c r="G127" s="38" t="n">
        <f aca="false">SUM(G128:G131)</f>
        <v>2</v>
      </c>
      <c r="H127" s="38" t="n">
        <f aca="false">SUM(H128:H131)</f>
        <v>16</v>
      </c>
      <c r="I127" s="38" t="n">
        <f aca="false">SUM(I128:I131)</f>
        <v>4</v>
      </c>
      <c r="J127" s="38" t="n">
        <f aca="false">SUM(J128:J131)</f>
        <v>18</v>
      </c>
      <c r="L127" s="38" t="n">
        <f aca="false">SUM(L128:L131)</f>
        <v>3</v>
      </c>
      <c r="M127" s="38" t="n">
        <f aca="false">SUM(M128:M131)</f>
        <v>12</v>
      </c>
      <c r="N127" s="38" t="n">
        <f aca="false">SUM(N128:N131)</f>
        <v>0</v>
      </c>
      <c r="O127" s="38" t="n">
        <f aca="false">SUM(O128:O131)</f>
        <v>0</v>
      </c>
      <c r="P127" s="38" t="n">
        <f aca="false">SUM(P128:P131)</f>
        <v>0</v>
      </c>
      <c r="Q127" s="38" t="n">
        <f aca="false">SUM(Q128:Q131)</f>
        <v>0</v>
      </c>
      <c r="R127" s="38" t="n">
        <f aca="false">SUM(R128:R131)</f>
        <v>0</v>
      </c>
      <c r="S127" s="38" t="n">
        <f aca="false">SUM(S128:S131)</f>
        <v>0</v>
      </c>
      <c r="T127" s="38" t="n">
        <f aca="false">SUM(T128:T131)</f>
        <v>1</v>
      </c>
      <c r="U127" s="38" t="n">
        <f aca="false">SUM(U128:U131)</f>
        <v>6</v>
      </c>
      <c r="V127" s="39" t="s">
        <v>201</v>
      </c>
    </row>
    <row r="128" customFormat="false" ht="15" hidden="true" customHeight="false" outlineLevel="2" collapsed="false">
      <c r="A128" s="11" t="s">
        <v>212</v>
      </c>
      <c r="B128" s="35" t="s">
        <v>146</v>
      </c>
      <c r="C128" s="7" t="n">
        <v>1</v>
      </c>
      <c r="D128" s="7" t="n">
        <v>1</v>
      </c>
      <c r="E128" s="5"/>
      <c r="F128" s="5"/>
      <c r="G128" s="5"/>
      <c r="H128" s="5"/>
      <c r="I128" s="5" t="n">
        <f aca="false">C128+E128+G128</f>
        <v>1</v>
      </c>
      <c r="J128" s="5" t="n">
        <f aca="false">D128+F128+H128</f>
        <v>1</v>
      </c>
      <c r="L128" s="7" t="n">
        <v>1</v>
      </c>
      <c r="M128" s="7" t="n">
        <v>1</v>
      </c>
      <c r="N128" s="5"/>
      <c r="O128" s="5"/>
      <c r="P128" s="5"/>
      <c r="Q128" s="5"/>
      <c r="R128" s="5"/>
      <c r="S128" s="5"/>
      <c r="T128" s="5"/>
      <c r="U128" s="5"/>
      <c r="V128" s="11"/>
    </row>
    <row r="129" customFormat="false" ht="15" hidden="true" customHeight="false" outlineLevel="2" collapsed="false">
      <c r="A129" s="11" t="s">
        <v>212</v>
      </c>
      <c r="B129" s="35" t="s">
        <v>146</v>
      </c>
      <c r="C129" s="7" t="n">
        <v>1</v>
      </c>
      <c r="D129" s="7" t="n">
        <v>1</v>
      </c>
      <c r="E129" s="5"/>
      <c r="F129" s="5"/>
      <c r="G129" s="5"/>
      <c r="H129" s="5"/>
      <c r="I129" s="5" t="n">
        <f aca="false">C129+E129+G129</f>
        <v>1</v>
      </c>
      <c r="J129" s="5" t="n">
        <f aca="false">D129+F129+H129</f>
        <v>1</v>
      </c>
      <c r="L129" s="7" t="n">
        <v>1</v>
      </c>
      <c r="M129" s="7" t="n">
        <v>1</v>
      </c>
      <c r="N129" s="5"/>
      <c r="O129" s="5"/>
      <c r="P129" s="5"/>
      <c r="Q129" s="5"/>
      <c r="R129" s="5"/>
      <c r="S129" s="5"/>
      <c r="T129" s="5"/>
      <c r="U129" s="5"/>
      <c r="V129" s="11"/>
    </row>
    <row r="130" customFormat="false" ht="15" hidden="true" customHeight="false" outlineLevel="2" collapsed="false">
      <c r="A130" s="11" t="s">
        <v>212</v>
      </c>
      <c r="B130" s="35" t="s">
        <v>170</v>
      </c>
      <c r="C130" s="5"/>
      <c r="D130" s="5"/>
      <c r="E130" s="5"/>
      <c r="F130" s="5"/>
      <c r="G130" s="7" t="n">
        <v>1</v>
      </c>
      <c r="H130" s="7" t="n">
        <v>10</v>
      </c>
      <c r="I130" s="5" t="n">
        <f aca="false">C130+E130+G130</f>
        <v>1</v>
      </c>
      <c r="J130" s="5" t="n">
        <f aca="false">D130+F130+H130</f>
        <v>10</v>
      </c>
      <c r="L130" s="7" t="n">
        <v>1</v>
      </c>
      <c r="M130" s="7" t="n">
        <v>10</v>
      </c>
      <c r="N130" s="5"/>
      <c r="O130" s="5"/>
      <c r="P130" s="5"/>
      <c r="Q130" s="5"/>
      <c r="R130" s="5"/>
      <c r="S130" s="5"/>
      <c r="T130" s="5"/>
      <c r="U130" s="5"/>
      <c r="V130" s="11"/>
    </row>
    <row r="131" customFormat="false" ht="15" hidden="true" customHeight="false" outlineLevel="2" collapsed="false">
      <c r="A131" s="11" t="s">
        <v>212</v>
      </c>
      <c r="B131" s="35" t="s">
        <v>213</v>
      </c>
      <c r="C131" s="5"/>
      <c r="D131" s="5"/>
      <c r="E131" s="5"/>
      <c r="F131" s="5"/>
      <c r="G131" s="7" t="n">
        <v>1</v>
      </c>
      <c r="H131" s="7" t="n">
        <v>6</v>
      </c>
      <c r="I131" s="5" t="n">
        <f aca="false">C131+E131+G131</f>
        <v>1</v>
      </c>
      <c r="J131" s="5" t="n">
        <f aca="false">D131+F131+H131</f>
        <v>6</v>
      </c>
      <c r="L131" s="5"/>
      <c r="M131" s="5"/>
      <c r="N131" s="5"/>
      <c r="O131" s="5"/>
      <c r="P131" s="5"/>
      <c r="Q131" s="5"/>
      <c r="R131" s="5"/>
      <c r="S131" s="5"/>
      <c r="T131" s="7" t="n">
        <v>1</v>
      </c>
      <c r="U131" s="7" t="n">
        <v>6</v>
      </c>
      <c r="V131" s="11"/>
    </row>
    <row r="134" customFormat="false" ht="15" hidden="false" customHeight="false" outlineLevel="0" collapsed="false">
      <c r="A134" s="2" t="s">
        <v>214</v>
      </c>
    </row>
  </sheetData>
  <mergeCells count="30"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C51:H51"/>
    <mergeCell ref="I51:J51"/>
    <mergeCell ref="L51:U51"/>
  </mergeCells>
  <conditionalFormatting sqref="S1:S49">
    <cfRule type="cellIs" priority="2" operator="equal" aboveAverage="0" equalAverage="0" bottom="0" percent="0" rank="0" text="" dxfId="0">
      <formula>"품절"</formula>
    </cfRule>
    <cfRule type="cellIs" priority="3" operator="equal" aboveAverage="0" equalAverage="0" bottom="0" percent="0" rank="0" text="" dxfId="1">
      <formula>"부족"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5" hidden="false" customHeight="false" outlineLevel="0" collapsed="false">
      <c r="A4" s="10" t="s">
        <v>217</v>
      </c>
    </row>
    <row r="5" customFormat="false" ht="30" hidden="false" customHeight="true" outlineLevel="0" collapsed="false">
      <c r="A5" s="3" t="s">
        <v>2</v>
      </c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  <c r="H5" s="3" t="s">
        <v>224</v>
      </c>
      <c r="I5" s="3" t="s">
        <v>225</v>
      </c>
      <c r="J5" s="3" t="s">
        <v>226</v>
      </c>
    </row>
    <row r="6" customFormat="false" ht="15" hidden="false" customHeight="false" outlineLevel="0" collapsed="false">
      <c r="A6" s="4" t="s">
        <v>9</v>
      </c>
      <c r="B6" s="21" t="s">
        <v>227</v>
      </c>
      <c r="C6" s="21" t="s">
        <v>228</v>
      </c>
      <c r="D6" s="23" t="s">
        <v>229</v>
      </c>
      <c r="E6" s="40" t="n">
        <v>2300</v>
      </c>
      <c r="F6" s="40" t="n">
        <v>2300</v>
      </c>
      <c r="G6" s="23" t="s">
        <v>230</v>
      </c>
      <c r="H6" s="41" t="s">
        <v>231</v>
      </c>
      <c r="I6" s="42" t="s">
        <v>232</v>
      </c>
      <c r="J6" s="22" t="s">
        <v>233</v>
      </c>
    </row>
    <row r="7" customFormat="false" ht="15" hidden="false" customHeight="false" outlineLevel="0" collapsed="false">
      <c r="A7" s="4" t="s">
        <v>10</v>
      </c>
      <c r="B7" s="21" t="s">
        <v>234</v>
      </c>
      <c r="C7" s="21" t="s">
        <v>235</v>
      </c>
      <c r="D7" s="23" t="s">
        <v>236</v>
      </c>
      <c r="E7" s="40" t="n">
        <v>3500</v>
      </c>
      <c r="F7" s="40" t="n">
        <v>2800</v>
      </c>
      <c r="G7" s="23" t="s">
        <v>237</v>
      </c>
      <c r="H7" s="41" t="s">
        <v>238</v>
      </c>
      <c r="I7" s="42" t="s">
        <v>239</v>
      </c>
      <c r="J7" s="22" t="s">
        <v>240</v>
      </c>
    </row>
    <row r="8" customFormat="false" ht="15" hidden="false" customHeight="false" outlineLevel="0" collapsed="false">
      <c r="A8" s="4" t="s">
        <v>11</v>
      </c>
      <c r="B8" s="21" t="s">
        <v>241</v>
      </c>
      <c r="C8" s="21" t="s">
        <v>242</v>
      </c>
      <c r="D8" s="23" t="s">
        <v>243</v>
      </c>
      <c r="E8" s="43" t="s">
        <v>244</v>
      </c>
      <c r="F8" s="40" t="n">
        <v>2500</v>
      </c>
      <c r="G8" s="23" t="s">
        <v>230</v>
      </c>
      <c r="H8" s="41" t="s">
        <v>238</v>
      </c>
      <c r="I8" s="42" t="s">
        <v>245</v>
      </c>
      <c r="J8" s="22" t="s">
        <v>246</v>
      </c>
    </row>
    <row r="9" customFormat="false" ht="15" hidden="false" customHeight="false" outlineLevel="0" collapsed="false">
      <c r="A9" s="2" t="s">
        <v>247</v>
      </c>
    </row>
    <row r="11" customFormat="false" ht="17.15" hidden="false" customHeight="false" outlineLevel="0" collapsed="false">
      <c r="A11" s="10" t="s">
        <v>248</v>
      </c>
    </row>
    <row r="12" customFormat="false" ht="43.5" hidden="false" customHeight="true" outlineLevel="0" collapsed="false">
      <c r="A12" s="3" t="s">
        <v>2</v>
      </c>
      <c r="B12" s="3" t="s">
        <v>219</v>
      </c>
      <c r="C12" s="3" t="s">
        <v>249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254</v>
      </c>
      <c r="I12" s="3" t="s">
        <v>255</v>
      </c>
      <c r="J12" s="3" t="s">
        <v>256</v>
      </c>
    </row>
    <row r="13" customFormat="false" ht="15" hidden="false" customHeight="false" outlineLevel="0" collapsed="false">
      <c r="A13" s="4" t="s">
        <v>9</v>
      </c>
      <c r="B13" s="21" t="s">
        <v>257</v>
      </c>
      <c r="C13" s="7" t="n">
        <v>1</v>
      </c>
      <c r="D13" s="7" t="n">
        <v>5</v>
      </c>
      <c r="E13" s="6" t="n">
        <v>4</v>
      </c>
      <c r="F13" s="6" t="n">
        <v>15</v>
      </c>
      <c r="G13" s="44" t="n">
        <f aca="false">E13-C13</f>
        <v>3</v>
      </c>
      <c r="H13" s="44" t="n">
        <f aca="false">F13-D13</f>
        <v>10</v>
      </c>
      <c r="I13" s="7" t="n">
        <v>1</v>
      </c>
      <c r="J13" s="7" t="n">
        <v>1</v>
      </c>
    </row>
    <row r="14" customFormat="false" ht="15" hidden="false" customHeight="false" outlineLevel="0" collapsed="false">
      <c r="A14" s="4" t="s">
        <v>10</v>
      </c>
      <c r="B14" s="21" t="s">
        <v>258</v>
      </c>
      <c r="C14" s="7" t="n">
        <v>0</v>
      </c>
      <c r="D14" s="7" t="n">
        <v>0</v>
      </c>
      <c r="E14" s="6" t="n">
        <v>3</v>
      </c>
      <c r="F14" s="6" t="n">
        <v>7</v>
      </c>
      <c r="G14" s="44" t="n">
        <f aca="false">E14-C14</f>
        <v>3</v>
      </c>
      <c r="H14" s="44" t="n">
        <f aca="false">F14-D14</f>
        <v>7</v>
      </c>
      <c r="I14" s="7" t="n">
        <v>3</v>
      </c>
      <c r="J14" s="7" t="n">
        <v>7</v>
      </c>
    </row>
    <row r="15" customFormat="false" ht="15" hidden="false" customHeight="false" outlineLevel="0" collapsed="false">
      <c r="A15" s="4" t="s">
        <v>11</v>
      </c>
      <c r="B15" s="21" t="s">
        <v>259</v>
      </c>
      <c r="C15" s="7" t="n">
        <v>0</v>
      </c>
      <c r="D15" s="7" t="n">
        <v>0</v>
      </c>
      <c r="E15" s="6" t="n">
        <v>3</v>
      </c>
      <c r="F15" s="6" t="n">
        <v>17</v>
      </c>
      <c r="G15" s="44" t="n">
        <f aca="false">E15-C15</f>
        <v>3</v>
      </c>
      <c r="H15" s="44" t="n">
        <f aca="false">F15-D15</f>
        <v>17</v>
      </c>
      <c r="I15" s="7" t="n">
        <v>0</v>
      </c>
      <c r="J15" s="7" t="n">
        <v>0</v>
      </c>
    </row>
    <row r="16" customFormat="false" ht="15" hidden="false" customHeight="false" outlineLevel="0" collapsed="false">
      <c r="A16" s="8" t="s">
        <v>12</v>
      </c>
      <c r="B16" s="15"/>
      <c r="C16" s="9" t="n">
        <f aca="false">C13+C14+C15</f>
        <v>1</v>
      </c>
      <c r="D16" s="9" t="n">
        <f aca="false">D13+D14+D15</f>
        <v>5</v>
      </c>
      <c r="E16" s="9" t="n">
        <f aca="false">E13+E14+E15</f>
        <v>10</v>
      </c>
      <c r="F16" s="9" t="n">
        <f aca="false">F13+F14+F15</f>
        <v>39</v>
      </c>
      <c r="G16" s="45" t="n">
        <f aca="false">G13+G14+G15</f>
        <v>9</v>
      </c>
      <c r="H16" s="45" t="n">
        <f aca="false">H13+H14+H15</f>
        <v>34</v>
      </c>
      <c r="I16" s="9" t="n">
        <f aca="false">I13+I14+I15</f>
        <v>4</v>
      </c>
      <c r="J16" s="9" t="n">
        <f aca="false">J13+J14+J15</f>
        <v>8</v>
      </c>
    </row>
    <row r="17" customFormat="false" ht="15" hidden="false" customHeight="false" outlineLevel="0" collapsed="false">
      <c r="A17" s="2" t="s">
        <v>260</v>
      </c>
    </row>
    <row r="18" customFormat="false" ht="15" hidden="false" customHeight="false" outlineLevel="0" collapsed="false">
      <c r="A18" s="46" t="s">
        <v>261</v>
      </c>
    </row>
    <row r="20" customFormat="false" ht="17.15" hidden="false" customHeight="false" outlineLevel="0" collapsed="false">
      <c r="A20" s="10" t="s">
        <v>262</v>
      </c>
    </row>
    <row r="21" customFormat="false" ht="15" hidden="false" customHeight="false" outlineLevel="0" collapsed="false">
      <c r="A21" s="25" t="s">
        <v>263</v>
      </c>
      <c r="B21" s="28"/>
      <c r="C21" s="28"/>
      <c r="D21" s="28"/>
      <c r="E21" s="28"/>
      <c r="F21" s="28"/>
      <c r="G21" s="28"/>
      <c r="H21" s="28"/>
      <c r="I21" s="28"/>
      <c r="J21" s="28"/>
    </row>
    <row r="22" customFormat="false" ht="30" hidden="false" customHeight="true" outlineLevel="0" collapsed="false">
      <c r="A22" s="3" t="s">
        <v>264</v>
      </c>
      <c r="B22" s="3" t="s">
        <v>265</v>
      </c>
      <c r="C22" s="3" t="s">
        <v>266</v>
      </c>
      <c r="D22" s="3" t="s">
        <v>267</v>
      </c>
      <c r="E22" s="3" t="s">
        <v>268</v>
      </c>
      <c r="F22" s="3" t="s">
        <v>269</v>
      </c>
      <c r="G22" s="3"/>
      <c r="H22" s="3"/>
      <c r="I22" s="3"/>
      <c r="J22" s="3" t="s">
        <v>270</v>
      </c>
    </row>
    <row r="23" customFormat="false" ht="15" hidden="false" customHeight="false" outlineLevel="0" collapsed="false">
      <c r="A23" s="47" t="n">
        <v>2000</v>
      </c>
      <c r="B23" s="48" t="n">
        <v>1</v>
      </c>
      <c r="C23" s="49" t="s">
        <v>271</v>
      </c>
      <c r="D23" s="20" t="s">
        <v>237</v>
      </c>
      <c r="E23" s="50" t="s">
        <v>272</v>
      </c>
      <c r="F23" s="51" t="s">
        <v>237</v>
      </c>
      <c r="G23" s="20"/>
      <c r="H23" s="20"/>
      <c r="I23" s="20"/>
      <c r="J23" s="20"/>
    </row>
    <row r="24" customFormat="false" ht="15" hidden="true" customHeight="false" outlineLevel="1" collapsed="false">
      <c r="A24" s="11" t="s">
        <v>273</v>
      </c>
      <c r="B24" s="35" t="s">
        <v>274</v>
      </c>
      <c r="C24" s="52" t="s">
        <v>272</v>
      </c>
      <c r="D24" s="52" t="s">
        <v>275</v>
      </c>
      <c r="E24" s="22"/>
      <c r="F24" s="22"/>
      <c r="G24" s="53"/>
      <c r="H24" s="53"/>
      <c r="I24" s="53"/>
      <c r="J24" s="53"/>
    </row>
    <row r="25" customFormat="false" ht="15" hidden="false" customHeight="false" outlineLevel="0" collapsed="false">
      <c r="A25" s="47" t="n">
        <v>2300</v>
      </c>
      <c r="B25" s="48" t="n">
        <v>2</v>
      </c>
      <c r="C25" s="20" t="s">
        <v>276</v>
      </c>
      <c r="D25" s="20" t="s">
        <v>277</v>
      </c>
      <c r="E25" s="54" t="s">
        <v>278</v>
      </c>
      <c r="F25" s="51" t="s">
        <v>279</v>
      </c>
      <c r="G25" s="20"/>
      <c r="H25" s="20"/>
      <c r="I25" s="20"/>
      <c r="J25" s="20"/>
    </row>
    <row r="26" customFormat="false" ht="15" hidden="true" customHeight="false" outlineLevel="1" collapsed="false">
      <c r="A26" s="11" t="s">
        <v>280</v>
      </c>
      <c r="B26" s="35" t="s">
        <v>281</v>
      </c>
      <c r="C26" s="52" t="s">
        <v>275</v>
      </c>
      <c r="D26" s="52" t="s">
        <v>282</v>
      </c>
      <c r="E26" s="22"/>
      <c r="F26" s="22"/>
      <c r="G26" s="55" t="s">
        <v>283</v>
      </c>
      <c r="H26" s="55"/>
      <c r="I26" s="55"/>
      <c r="J26" s="55"/>
    </row>
    <row r="27" customFormat="false" ht="15" hidden="true" customHeight="false" outlineLevel="1" collapsed="false">
      <c r="A27" s="11" t="s">
        <v>284</v>
      </c>
      <c r="B27" s="35" t="s">
        <v>274</v>
      </c>
      <c r="C27" s="52" t="s">
        <v>285</v>
      </c>
      <c r="D27" s="52" t="s">
        <v>282</v>
      </c>
      <c r="E27" s="22"/>
      <c r="F27" s="22"/>
      <c r="G27" s="55" t="s">
        <v>286</v>
      </c>
      <c r="H27" s="55"/>
      <c r="I27" s="55"/>
      <c r="J27" s="55"/>
    </row>
    <row r="28" customFormat="false" ht="15" hidden="false" customHeight="false" outlineLevel="0" collapsed="false">
      <c r="A28" s="47" t="n">
        <v>2600</v>
      </c>
      <c r="B28" s="48" t="n">
        <v>1</v>
      </c>
      <c r="C28" s="20" t="s">
        <v>237</v>
      </c>
      <c r="D28" s="20" t="s">
        <v>237</v>
      </c>
      <c r="E28" s="50" t="s">
        <v>287</v>
      </c>
      <c r="F28" s="51" t="s">
        <v>237</v>
      </c>
      <c r="G28" s="20"/>
      <c r="H28" s="20"/>
      <c r="I28" s="20"/>
      <c r="J28" s="20"/>
    </row>
    <row r="29" customFormat="false" ht="15" hidden="true" customHeight="false" outlineLevel="1" collapsed="false">
      <c r="A29" s="11" t="s">
        <v>288</v>
      </c>
      <c r="B29" s="35" t="s">
        <v>289</v>
      </c>
      <c r="C29" s="52" t="s">
        <v>275</v>
      </c>
      <c r="D29" s="52" t="s">
        <v>275</v>
      </c>
      <c r="E29" s="22"/>
      <c r="F29" s="22"/>
      <c r="G29" s="55" t="s">
        <v>290</v>
      </c>
      <c r="H29" s="55"/>
      <c r="I29" s="55"/>
      <c r="J29" s="55"/>
    </row>
    <row r="30" customFormat="false" ht="15" hidden="false" customHeight="false" outlineLevel="0" collapsed="false">
      <c r="A30" s="47" t="n">
        <v>2800</v>
      </c>
      <c r="B30" s="48" t="n">
        <v>1</v>
      </c>
      <c r="C30" s="20" t="s">
        <v>230</v>
      </c>
      <c r="D30" s="20" t="s">
        <v>237</v>
      </c>
      <c r="E30" s="54" t="s">
        <v>278</v>
      </c>
      <c r="F30" s="51" t="s">
        <v>237</v>
      </c>
      <c r="G30" s="20"/>
      <c r="H30" s="20"/>
      <c r="I30" s="20"/>
      <c r="J30" s="20"/>
    </row>
    <row r="31" customFormat="false" ht="15" hidden="true" customHeight="false" outlineLevel="1" collapsed="false">
      <c r="A31" s="11" t="s">
        <v>291</v>
      </c>
      <c r="B31" s="35" t="s">
        <v>289</v>
      </c>
      <c r="C31" s="52" t="s">
        <v>285</v>
      </c>
      <c r="D31" s="52" t="s">
        <v>275</v>
      </c>
      <c r="E31" s="22"/>
      <c r="F31" s="22"/>
      <c r="G31" s="55" t="s">
        <v>286</v>
      </c>
      <c r="H31" s="55"/>
      <c r="I31" s="55"/>
      <c r="J31" s="55"/>
    </row>
    <row r="32" customFormat="false" ht="15" hidden="false" customHeight="false" outlineLevel="0" collapsed="false">
      <c r="A32" s="47" t="n">
        <v>3000</v>
      </c>
      <c r="B32" s="48" t="n">
        <v>3</v>
      </c>
      <c r="C32" s="20" t="s">
        <v>230</v>
      </c>
      <c r="D32" s="20" t="s">
        <v>292</v>
      </c>
      <c r="E32" s="54" t="s">
        <v>278</v>
      </c>
      <c r="F32" s="51" t="s">
        <v>230</v>
      </c>
      <c r="G32" s="20"/>
      <c r="H32" s="20"/>
      <c r="I32" s="20"/>
      <c r="J32" s="20"/>
    </row>
    <row r="33" customFormat="false" ht="15" hidden="true" customHeight="false" outlineLevel="1" collapsed="false">
      <c r="A33" s="11" t="s">
        <v>293</v>
      </c>
      <c r="B33" s="35" t="s">
        <v>289</v>
      </c>
      <c r="C33" s="52" t="s">
        <v>272</v>
      </c>
      <c r="D33" s="52" t="s">
        <v>285</v>
      </c>
      <c r="E33" s="22"/>
      <c r="F33" s="22"/>
      <c r="G33" s="53"/>
      <c r="H33" s="53"/>
      <c r="I33" s="53"/>
      <c r="J33" s="53"/>
    </row>
    <row r="34" customFormat="false" ht="15" hidden="true" customHeight="false" outlineLevel="1" collapsed="false">
      <c r="A34" s="11" t="s">
        <v>294</v>
      </c>
      <c r="B34" s="35" t="s">
        <v>281</v>
      </c>
      <c r="C34" s="52" t="s">
        <v>272</v>
      </c>
      <c r="D34" s="52" t="s">
        <v>295</v>
      </c>
      <c r="E34" s="22"/>
      <c r="F34" s="22"/>
      <c r="G34" s="53"/>
      <c r="H34" s="53"/>
      <c r="I34" s="53"/>
      <c r="J34" s="53"/>
    </row>
    <row r="35" customFormat="false" ht="15" hidden="true" customHeight="false" outlineLevel="1" collapsed="false">
      <c r="A35" s="11" t="s">
        <v>296</v>
      </c>
      <c r="B35" s="35" t="s">
        <v>281</v>
      </c>
      <c r="C35" s="52" t="s">
        <v>285</v>
      </c>
      <c r="D35" s="52" t="s">
        <v>275</v>
      </c>
      <c r="E35" s="22"/>
      <c r="F35" s="22"/>
      <c r="G35" s="53"/>
      <c r="H35" s="53"/>
      <c r="I35" s="53"/>
      <c r="J35" s="53"/>
    </row>
    <row r="37" customFormat="false" ht="15" hidden="false" customHeight="false" outlineLevel="0" collapsed="false">
      <c r="A37" s="25" t="s">
        <v>297</v>
      </c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30" hidden="false" customHeight="true" outlineLevel="0" collapsed="false">
      <c r="A38" s="3" t="s">
        <v>264</v>
      </c>
      <c r="B38" s="3" t="s">
        <v>265</v>
      </c>
      <c r="C38" s="3" t="s">
        <v>266</v>
      </c>
      <c r="D38" s="3" t="s">
        <v>267</v>
      </c>
      <c r="E38" s="3" t="s">
        <v>268</v>
      </c>
      <c r="F38" s="3" t="s">
        <v>269</v>
      </c>
      <c r="G38" s="3"/>
      <c r="H38" s="3"/>
      <c r="I38" s="3"/>
      <c r="J38" s="3" t="s">
        <v>270</v>
      </c>
    </row>
    <row r="39" customFormat="false" ht="15" hidden="false" customHeight="false" outlineLevel="0" collapsed="false">
      <c r="A39" s="47" t="n">
        <v>1500</v>
      </c>
      <c r="B39" s="48" t="n">
        <v>1</v>
      </c>
      <c r="C39" s="49" t="s">
        <v>271</v>
      </c>
      <c r="D39" s="20" t="s">
        <v>298</v>
      </c>
      <c r="E39" s="50" t="s">
        <v>272</v>
      </c>
      <c r="F39" s="51" t="s">
        <v>272</v>
      </c>
      <c r="G39" s="20"/>
      <c r="H39" s="20"/>
      <c r="I39" s="20"/>
      <c r="J39" s="20"/>
    </row>
    <row r="40" customFormat="false" ht="15" hidden="true" customHeight="false" outlineLevel="1" collapsed="false">
      <c r="A40" s="11" t="s">
        <v>299</v>
      </c>
      <c r="B40" s="35" t="s">
        <v>289</v>
      </c>
      <c r="C40" s="52" t="s">
        <v>272</v>
      </c>
      <c r="D40" s="52" t="s">
        <v>300</v>
      </c>
      <c r="E40" s="22"/>
      <c r="F40" s="22"/>
      <c r="G40" s="55" t="s">
        <v>301</v>
      </c>
      <c r="H40" s="55"/>
      <c r="I40" s="55"/>
      <c r="J40" s="55"/>
    </row>
    <row r="41" customFormat="false" ht="15" hidden="false" customHeight="false" outlineLevel="0" collapsed="false">
      <c r="A41" s="47" t="n">
        <v>2000</v>
      </c>
      <c r="B41" s="48" t="n">
        <v>1</v>
      </c>
      <c r="C41" s="49" t="s">
        <v>271</v>
      </c>
      <c r="D41" s="20" t="s">
        <v>298</v>
      </c>
      <c r="E41" s="50" t="s">
        <v>272</v>
      </c>
      <c r="F41" s="51" t="s">
        <v>272</v>
      </c>
      <c r="G41" s="20"/>
      <c r="H41" s="20"/>
      <c r="I41" s="20"/>
      <c r="J41" s="20"/>
    </row>
    <row r="42" customFormat="false" ht="15" hidden="true" customHeight="false" outlineLevel="1" collapsed="false">
      <c r="A42" s="11" t="s">
        <v>302</v>
      </c>
      <c r="B42" s="35" t="s">
        <v>281</v>
      </c>
      <c r="C42" s="52" t="s">
        <v>272</v>
      </c>
      <c r="D42" s="52" t="s">
        <v>300</v>
      </c>
      <c r="E42" s="22"/>
      <c r="F42" s="22"/>
      <c r="G42" s="53"/>
      <c r="H42" s="53"/>
      <c r="I42" s="53"/>
      <c r="J42" s="53"/>
    </row>
    <row r="43" customFormat="false" ht="15" hidden="false" customHeight="false" outlineLevel="0" collapsed="false">
      <c r="A43" s="47" t="n">
        <v>2500</v>
      </c>
      <c r="B43" s="48" t="n">
        <v>1</v>
      </c>
      <c r="C43" s="49" t="s">
        <v>271</v>
      </c>
      <c r="D43" s="20" t="s">
        <v>298</v>
      </c>
      <c r="E43" s="50" t="s">
        <v>272</v>
      </c>
      <c r="F43" s="51" t="s">
        <v>272</v>
      </c>
      <c r="G43" s="20"/>
      <c r="H43" s="20"/>
      <c r="I43" s="20"/>
      <c r="J43" s="20"/>
    </row>
    <row r="44" customFormat="false" ht="15" hidden="true" customHeight="false" outlineLevel="1" collapsed="false">
      <c r="A44" s="11" t="s">
        <v>303</v>
      </c>
      <c r="B44" s="35" t="s">
        <v>281</v>
      </c>
      <c r="C44" s="52" t="s">
        <v>272</v>
      </c>
      <c r="D44" s="52" t="s">
        <v>300</v>
      </c>
      <c r="E44" s="22"/>
      <c r="F44" s="22"/>
      <c r="G44" s="53"/>
      <c r="H44" s="53"/>
      <c r="I44" s="53"/>
      <c r="J44" s="53"/>
    </row>
    <row r="45" customFormat="false" ht="15" hidden="false" customHeight="false" outlineLevel="0" collapsed="false">
      <c r="A45" s="47" t="n">
        <v>2800</v>
      </c>
      <c r="B45" s="48" t="n">
        <v>1</v>
      </c>
      <c r="C45" s="20" t="s">
        <v>237</v>
      </c>
      <c r="D45" s="20" t="s">
        <v>279</v>
      </c>
      <c r="E45" s="50" t="s">
        <v>287</v>
      </c>
      <c r="F45" s="51" t="s">
        <v>279</v>
      </c>
      <c r="G45" s="20"/>
      <c r="H45" s="20"/>
      <c r="I45" s="20"/>
      <c r="J45" s="20"/>
    </row>
    <row r="46" customFormat="false" ht="15" hidden="true" customHeight="false" outlineLevel="1" collapsed="false">
      <c r="A46" s="11" t="s">
        <v>304</v>
      </c>
      <c r="B46" s="35" t="s">
        <v>289</v>
      </c>
      <c r="C46" s="52" t="s">
        <v>275</v>
      </c>
      <c r="D46" s="52" t="s">
        <v>282</v>
      </c>
      <c r="E46" s="22"/>
      <c r="F46" s="22"/>
      <c r="G46" s="55" t="s">
        <v>305</v>
      </c>
      <c r="H46" s="55"/>
      <c r="I46" s="55"/>
      <c r="J46" s="55"/>
    </row>
    <row r="47" customFormat="false" ht="15" hidden="false" customHeight="false" outlineLevel="0" collapsed="false">
      <c r="A47" s="47" t="n">
        <v>3000</v>
      </c>
      <c r="B47" s="48" t="n">
        <v>2</v>
      </c>
      <c r="C47" s="49" t="s">
        <v>271</v>
      </c>
      <c r="D47" s="20" t="s">
        <v>306</v>
      </c>
      <c r="E47" s="50" t="s">
        <v>272</v>
      </c>
      <c r="F47" s="51" t="s">
        <v>237</v>
      </c>
      <c r="G47" s="20"/>
      <c r="H47" s="20"/>
      <c r="I47" s="20"/>
      <c r="J47" s="20"/>
    </row>
    <row r="48" customFormat="false" ht="15" hidden="true" customHeight="false" outlineLevel="1" collapsed="false">
      <c r="A48" s="11" t="s">
        <v>307</v>
      </c>
      <c r="B48" s="35" t="s">
        <v>281</v>
      </c>
      <c r="C48" s="52" t="s">
        <v>272</v>
      </c>
      <c r="D48" s="52" t="s">
        <v>275</v>
      </c>
      <c r="E48" s="22"/>
      <c r="F48" s="22"/>
      <c r="G48" s="55" t="s">
        <v>308</v>
      </c>
      <c r="H48" s="55"/>
      <c r="I48" s="55"/>
      <c r="J48" s="55"/>
    </row>
    <row r="49" customFormat="false" ht="15" hidden="true" customHeight="false" outlineLevel="1" collapsed="false">
      <c r="A49" s="11" t="s">
        <v>294</v>
      </c>
      <c r="B49" s="35" t="s">
        <v>281</v>
      </c>
      <c r="C49" s="52" t="s">
        <v>272</v>
      </c>
      <c r="D49" s="52" t="s">
        <v>282</v>
      </c>
      <c r="E49" s="22"/>
      <c r="F49" s="22"/>
      <c r="G49" s="53"/>
      <c r="H49" s="53"/>
      <c r="I49" s="53"/>
      <c r="J49" s="53"/>
    </row>
    <row r="50" customFormat="false" ht="15" hidden="false" customHeight="false" outlineLevel="0" collapsed="false">
      <c r="A50" s="47" t="n">
        <v>3100</v>
      </c>
      <c r="B50" s="48" t="n">
        <v>1</v>
      </c>
      <c r="C50" s="20" t="s">
        <v>237</v>
      </c>
      <c r="D50" s="20" t="s">
        <v>279</v>
      </c>
      <c r="E50" s="50" t="s">
        <v>287</v>
      </c>
      <c r="F50" s="51" t="s">
        <v>279</v>
      </c>
      <c r="G50" s="20"/>
      <c r="H50" s="20"/>
      <c r="I50" s="20"/>
      <c r="J50" s="20"/>
    </row>
    <row r="51" customFormat="false" ht="15" hidden="true" customHeight="false" outlineLevel="1" collapsed="false">
      <c r="A51" s="11" t="s">
        <v>309</v>
      </c>
      <c r="B51" s="35" t="s">
        <v>289</v>
      </c>
      <c r="C51" s="52" t="s">
        <v>275</v>
      </c>
      <c r="D51" s="52" t="s">
        <v>282</v>
      </c>
      <c r="E51" s="22"/>
      <c r="F51" s="22"/>
      <c r="G51" s="55" t="s">
        <v>310</v>
      </c>
      <c r="H51" s="55"/>
      <c r="I51" s="55"/>
      <c r="J51" s="55"/>
    </row>
    <row r="52" customFormat="false" ht="15" hidden="false" customHeight="false" outlineLevel="0" collapsed="false">
      <c r="A52" s="47" t="n">
        <v>3500</v>
      </c>
      <c r="B52" s="48" t="n">
        <v>4</v>
      </c>
      <c r="C52" s="20" t="s">
        <v>311</v>
      </c>
      <c r="D52" s="20" t="s">
        <v>312</v>
      </c>
      <c r="E52" s="54" t="s">
        <v>278</v>
      </c>
      <c r="F52" s="51" t="s">
        <v>237</v>
      </c>
      <c r="G52" s="20"/>
      <c r="H52" s="20"/>
      <c r="I52" s="20"/>
      <c r="J52" s="20"/>
    </row>
    <row r="53" customFormat="false" ht="15" hidden="true" customHeight="false" outlineLevel="1" collapsed="false">
      <c r="A53" s="11" t="s">
        <v>313</v>
      </c>
      <c r="B53" s="35" t="s">
        <v>281</v>
      </c>
      <c r="C53" s="52" t="s">
        <v>272</v>
      </c>
      <c r="D53" s="52" t="s">
        <v>275</v>
      </c>
      <c r="E53" s="22"/>
      <c r="F53" s="22"/>
      <c r="G53" s="53"/>
      <c r="H53" s="53"/>
      <c r="I53" s="53"/>
      <c r="J53" s="53"/>
    </row>
    <row r="54" customFormat="false" ht="15" hidden="true" customHeight="false" outlineLevel="1" collapsed="false">
      <c r="A54" s="11" t="s">
        <v>314</v>
      </c>
      <c r="B54" s="35" t="s">
        <v>315</v>
      </c>
      <c r="C54" s="52" t="s">
        <v>272</v>
      </c>
      <c r="D54" s="52" t="s">
        <v>275</v>
      </c>
      <c r="E54" s="22"/>
      <c r="F54" s="22"/>
      <c r="G54" s="53"/>
      <c r="H54" s="53"/>
      <c r="I54" s="53"/>
      <c r="J54" s="53"/>
    </row>
    <row r="55" customFormat="false" ht="15" hidden="true" customHeight="false" outlineLevel="1" collapsed="false">
      <c r="A55" s="11" t="s">
        <v>316</v>
      </c>
      <c r="B55" s="35" t="s">
        <v>281</v>
      </c>
      <c r="C55" s="52" t="s">
        <v>295</v>
      </c>
      <c r="D55" s="52" t="s">
        <v>275</v>
      </c>
      <c r="E55" s="22"/>
      <c r="F55" s="22"/>
      <c r="G55" s="55" t="s">
        <v>310</v>
      </c>
      <c r="H55" s="55"/>
      <c r="I55" s="55"/>
      <c r="J55" s="55"/>
    </row>
    <row r="56" customFormat="false" ht="15" hidden="true" customHeight="false" outlineLevel="1" collapsed="false">
      <c r="A56" s="11" t="s">
        <v>284</v>
      </c>
      <c r="B56" s="35" t="s">
        <v>274</v>
      </c>
      <c r="C56" s="52" t="s">
        <v>285</v>
      </c>
      <c r="D56" s="52" t="s">
        <v>282</v>
      </c>
      <c r="E56" s="22"/>
      <c r="F56" s="22"/>
      <c r="G56" s="55" t="s">
        <v>317</v>
      </c>
      <c r="H56" s="55"/>
      <c r="I56" s="55"/>
      <c r="J56" s="55"/>
    </row>
    <row r="57" customFormat="false" ht="15" hidden="false" customHeight="false" outlineLevel="0" collapsed="false">
      <c r="A57" s="47" t="n">
        <v>4000</v>
      </c>
      <c r="B57" s="48" t="n">
        <v>1</v>
      </c>
      <c r="C57" s="20" t="s">
        <v>230</v>
      </c>
      <c r="D57" s="20" t="s">
        <v>237</v>
      </c>
      <c r="E57" s="54" t="s">
        <v>278</v>
      </c>
      <c r="F57" s="51" t="s">
        <v>237</v>
      </c>
      <c r="G57" s="20"/>
      <c r="H57" s="20"/>
      <c r="I57" s="20"/>
      <c r="J57" s="20"/>
    </row>
    <row r="58" customFormat="false" ht="15" hidden="true" customHeight="false" outlineLevel="1" collapsed="false">
      <c r="A58" s="11" t="s">
        <v>296</v>
      </c>
      <c r="B58" s="35" t="s">
        <v>281</v>
      </c>
      <c r="C58" s="52" t="s">
        <v>285</v>
      </c>
      <c r="D58" s="52" t="s">
        <v>275</v>
      </c>
      <c r="E58" s="22"/>
      <c r="F58" s="22"/>
      <c r="G58" s="53"/>
      <c r="H58" s="53"/>
      <c r="I58" s="53"/>
      <c r="J58" s="53"/>
    </row>
    <row r="59" customFormat="false" ht="15" hidden="false" customHeight="false" outlineLevel="0" collapsed="false">
      <c r="A59" s="47" t="n">
        <v>5000</v>
      </c>
      <c r="B59" s="48" t="n">
        <v>1</v>
      </c>
      <c r="C59" s="49" t="s">
        <v>271</v>
      </c>
      <c r="D59" s="20" t="s">
        <v>237</v>
      </c>
      <c r="E59" s="50" t="s">
        <v>272</v>
      </c>
      <c r="F59" s="51" t="s">
        <v>237</v>
      </c>
      <c r="G59" s="20"/>
      <c r="H59" s="20"/>
      <c r="I59" s="20"/>
      <c r="J59" s="20"/>
    </row>
    <row r="60" customFormat="false" ht="15" hidden="true" customHeight="false" outlineLevel="1" collapsed="false">
      <c r="A60" s="11" t="s">
        <v>293</v>
      </c>
      <c r="B60" s="35" t="s">
        <v>289</v>
      </c>
      <c r="C60" s="52" t="s">
        <v>272</v>
      </c>
      <c r="D60" s="52" t="s">
        <v>275</v>
      </c>
      <c r="E60" s="22"/>
      <c r="F60" s="22"/>
      <c r="G60" s="53"/>
      <c r="H60" s="53"/>
      <c r="I60" s="53"/>
      <c r="J60" s="53"/>
    </row>
    <row r="61" customFormat="false" ht="15" hidden="false" customHeight="false" outlineLevel="0" collapsed="false">
      <c r="A61" s="47" t="n">
        <v>5500</v>
      </c>
      <c r="B61" s="48" t="n">
        <v>2</v>
      </c>
      <c r="C61" s="49" t="s">
        <v>271</v>
      </c>
      <c r="D61" s="20" t="s">
        <v>318</v>
      </c>
      <c r="E61" s="50" t="s">
        <v>272</v>
      </c>
      <c r="F61" s="51" t="s">
        <v>237</v>
      </c>
      <c r="G61" s="20"/>
      <c r="H61" s="20"/>
      <c r="I61" s="20"/>
      <c r="J61" s="20"/>
    </row>
    <row r="62" customFormat="false" ht="15" hidden="true" customHeight="false" outlineLevel="1" collapsed="false">
      <c r="A62" s="11" t="s">
        <v>319</v>
      </c>
      <c r="B62" s="35" t="s">
        <v>281</v>
      </c>
      <c r="C62" s="52" t="s">
        <v>272</v>
      </c>
      <c r="D62" s="52" t="s">
        <v>275</v>
      </c>
      <c r="E62" s="22"/>
      <c r="F62" s="22"/>
      <c r="G62" s="53"/>
      <c r="H62" s="53"/>
      <c r="I62" s="53"/>
      <c r="J62" s="53"/>
    </row>
    <row r="63" customFormat="false" ht="15" hidden="true" customHeight="false" outlineLevel="1" collapsed="false">
      <c r="A63" s="11" t="s">
        <v>320</v>
      </c>
      <c r="B63" s="35" t="s">
        <v>281</v>
      </c>
      <c r="C63" s="52" t="s">
        <v>272</v>
      </c>
      <c r="D63" s="52" t="s">
        <v>275</v>
      </c>
      <c r="E63" s="22"/>
      <c r="F63" s="22"/>
      <c r="G63" s="53"/>
      <c r="H63" s="53"/>
      <c r="I63" s="53"/>
      <c r="J63" s="53"/>
    </row>
    <row r="64" customFormat="false" ht="15" hidden="false" customHeight="false" outlineLevel="0" collapsed="false">
      <c r="A64" s="47" t="n">
        <v>6000</v>
      </c>
      <c r="B64" s="48" t="n">
        <v>1</v>
      </c>
      <c r="C64" s="49" t="s">
        <v>271</v>
      </c>
      <c r="D64" s="20" t="s">
        <v>237</v>
      </c>
      <c r="E64" s="50" t="s">
        <v>272</v>
      </c>
      <c r="F64" s="51" t="s">
        <v>237</v>
      </c>
      <c r="G64" s="20"/>
      <c r="H64" s="20"/>
      <c r="I64" s="20"/>
      <c r="J64" s="20"/>
    </row>
    <row r="65" customFormat="false" ht="15" hidden="true" customHeight="false" outlineLevel="1" collapsed="false">
      <c r="A65" s="11" t="s">
        <v>321</v>
      </c>
      <c r="B65" s="35" t="s">
        <v>281</v>
      </c>
      <c r="C65" s="52" t="s">
        <v>272</v>
      </c>
      <c r="D65" s="52" t="s">
        <v>275</v>
      </c>
      <c r="E65" s="22"/>
      <c r="F65" s="22"/>
      <c r="G65" s="53"/>
      <c r="H65" s="53"/>
      <c r="I65" s="53"/>
      <c r="J65" s="53"/>
    </row>
    <row r="67" customFormat="false" ht="15" hidden="false" customHeight="false" outlineLevel="0" collapsed="false">
      <c r="A67" s="25" t="s">
        <v>322</v>
      </c>
      <c r="B67" s="28"/>
      <c r="C67" s="28"/>
      <c r="D67" s="28"/>
      <c r="E67" s="28"/>
      <c r="F67" s="28"/>
      <c r="G67" s="28"/>
      <c r="H67" s="28"/>
      <c r="I67" s="28"/>
      <c r="J67" s="28"/>
    </row>
    <row r="68" customFormat="false" ht="30" hidden="false" customHeight="true" outlineLevel="0" collapsed="false">
      <c r="A68" s="3" t="s">
        <v>264</v>
      </c>
      <c r="B68" s="3" t="s">
        <v>265</v>
      </c>
      <c r="C68" s="3" t="s">
        <v>266</v>
      </c>
      <c r="D68" s="3" t="s">
        <v>267</v>
      </c>
      <c r="E68" s="3" t="s">
        <v>268</v>
      </c>
      <c r="F68" s="3" t="s">
        <v>269</v>
      </c>
      <c r="G68" s="3"/>
      <c r="H68" s="3"/>
      <c r="I68" s="3"/>
      <c r="J68" s="3" t="s">
        <v>270</v>
      </c>
    </row>
    <row r="69" customFormat="false" ht="15" hidden="false" customHeight="false" outlineLevel="0" collapsed="false">
      <c r="A69" s="47" t="n">
        <v>2000</v>
      </c>
      <c r="B69" s="48" t="n">
        <v>2</v>
      </c>
      <c r="C69" s="49" t="s">
        <v>271</v>
      </c>
      <c r="D69" s="20" t="s">
        <v>323</v>
      </c>
      <c r="E69" s="50" t="s">
        <v>272</v>
      </c>
      <c r="F69" s="51" t="s">
        <v>272</v>
      </c>
      <c r="G69" s="20"/>
      <c r="H69" s="20"/>
      <c r="I69" s="20"/>
      <c r="J69" s="20"/>
    </row>
    <row r="70" customFormat="false" ht="15" hidden="true" customHeight="false" outlineLevel="1" collapsed="false">
      <c r="A70" s="11" t="s">
        <v>294</v>
      </c>
      <c r="B70" s="35" t="s">
        <v>281</v>
      </c>
      <c r="C70" s="52" t="s">
        <v>272</v>
      </c>
      <c r="D70" s="52" t="s">
        <v>300</v>
      </c>
      <c r="E70" s="22"/>
      <c r="F70" s="22"/>
      <c r="G70" s="53"/>
      <c r="H70" s="53"/>
      <c r="I70" s="53"/>
      <c r="J70" s="53"/>
    </row>
    <row r="71" customFormat="false" ht="15" hidden="true" customHeight="false" outlineLevel="1" collapsed="false">
      <c r="A71" s="11" t="s">
        <v>296</v>
      </c>
      <c r="B71" s="35" t="s">
        <v>281</v>
      </c>
      <c r="C71" s="52" t="s">
        <v>272</v>
      </c>
      <c r="D71" s="52" t="s">
        <v>300</v>
      </c>
      <c r="E71" s="22"/>
      <c r="F71" s="22"/>
      <c r="G71" s="53"/>
      <c r="H71" s="53"/>
      <c r="I71" s="53"/>
      <c r="J71" s="53"/>
    </row>
    <row r="72" customFormat="false" ht="15" hidden="false" customHeight="false" outlineLevel="0" collapsed="false">
      <c r="A72" s="47" t="n">
        <v>2500</v>
      </c>
      <c r="B72" s="48" t="n">
        <v>1</v>
      </c>
      <c r="C72" s="20" t="s">
        <v>237</v>
      </c>
      <c r="D72" s="20" t="s">
        <v>230</v>
      </c>
      <c r="E72" s="50" t="s">
        <v>287</v>
      </c>
      <c r="F72" s="51" t="s">
        <v>230</v>
      </c>
      <c r="G72" s="20"/>
      <c r="H72" s="20"/>
      <c r="I72" s="20"/>
      <c r="J72" s="20"/>
    </row>
    <row r="73" customFormat="false" ht="15" hidden="true" customHeight="false" outlineLevel="1" collapsed="false">
      <c r="A73" s="11" t="s">
        <v>324</v>
      </c>
      <c r="B73" s="35" t="s">
        <v>281</v>
      </c>
      <c r="C73" s="52" t="s">
        <v>275</v>
      </c>
      <c r="D73" s="52" t="s">
        <v>285</v>
      </c>
      <c r="E73" s="22"/>
      <c r="F73" s="22"/>
      <c r="G73" s="53"/>
      <c r="H73" s="53"/>
      <c r="I73" s="53"/>
      <c r="J73" s="53"/>
    </row>
    <row r="74" customFormat="false" ht="15" hidden="false" customHeight="false" outlineLevel="0" collapsed="false">
      <c r="A74" s="47" t="n">
        <v>2800</v>
      </c>
      <c r="B74" s="48" t="n">
        <v>1</v>
      </c>
      <c r="C74" s="20" t="s">
        <v>237</v>
      </c>
      <c r="D74" s="20" t="s">
        <v>325</v>
      </c>
      <c r="E74" s="50" t="s">
        <v>287</v>
      </c>
      <c r="F74" s="51" t="s">
        <v>325</v>
      </c>
      <c r="G74" s="20"/>
      <c r="H74" s="20"/>
      <c r="I74" s="20"/>
      <c r="J74" s="20"/>
    </row>
    <row r="75" customFormat="false" ht="15" hidden="true" customHeight="false" outlineLevel="1" collapsed="false">
      <c r="A75" s="11" t="s">
        <v>326</v>
      </c>
      <c r="B75" s="35" t="s">
        <v>289</v>
      </c>
      <c r="C75" s="52" t="s">
        <v>275</v>
      </c>
      <c r="D75" s="52" t="s">
        <v>327</v>
      </c>
      <c r="E75" s="22"/>
      <c r="F75" s="22"/>
      <c r="G75" s="55" t="s">
        <v>328</v>
      </c>
      <c r="H75" s="55"/>
      <c r="I75" s="55"/>
      <c r="J75" s="55"/>
    </row>
    <row r="76" customFormat="false" ht="15" hidden="false" customHeight="false" outlineLevel="0" collapsed="false">
      <c r="A76" s="47" t="n">
        <v>3100</v>
      </c>
      <c r="B76" s="48" t="n">
        <v>1</v>
      </c>
      <c r="C76" s="20" t="s">
        <v>329</v>
      </c>
      <c r="D76" s="20" t="s">
        <v>279</v>
      </c>
      <c r="E76" s="50" t="s">
        <v>330</v>
      </c>
      <c r="F76" s="51" t="s">
        <v>279</v>
      </c>
      <c r="G76" s="20"/>
      <c r="H76" s="20"/>
      <c r="I76" s="20"/>
      <c r="J76" s="20"/>
    </row>
    <row r="77" customFormat="false" ht="15" hidden="true" customHeight="false" outlineLevel="1" collapsed="false">
      <c r="A77" s="11" t="s">
        <v>331</v>
      </c>
      <c r="B77" s="35" t="s">
        <v>289</v>
      </c>
      <c r="C77" s="52" t="s">
        <v>295</v>
      </c>
      <c r="D77" s="52" t="s">
        <v>282</v>
      </c>
      <c r="E77" s="22"/>
      <c r="F77" s="22"/>
      <c r="G77" s="55" t="s">
        <v>332</v>
      </c>
      <c r="H77" s="55"/>
      <c r="I77" s="55"/>
      <c r="J77" s="55"/>
    </row>
    <row r="78" customFormat="false" ht="15" hidden="false" customHeight="false" outlineLevel="0" collapsed="false">
      <c r="A78" s="47" t="n">
        <v>3500</v>
      </c>
      <c r="B78" s="48" t="n">
        <v>2</v>
      </c>
      <c r="C78" s="20" t="s">
        <v>318</v>
      </c>
      <c r="D78" s="20" t="s">
        <v>318</v>
      </c>
      <c r="E78" s="50" t="s">
        <v>287</v>
      </c>
      <c r="F78" s="51" t="s">
        <v>237</v>
      </c>
      <c r="G78" s="20"/>
      <c r="H78" s="20"/>
      <c r="I78" s="20"/>
      <c r="J78" s="20"/>
    </row>
    <row r="79" customFormat="false" ht="15" hidden="true" customHeight="false" outlineLevel="1" collapsed="false">
      <c r="A79" s="11" t="s">
        <v>316</v>
      </c>
      <c r="B79" s="35" t="s">
        <v>281</v>
      </c>
      <c r="C79" s="52" t="s">
        <v>275</v>
      </c>
      <c r="D79" s="52" t="s">
        <v>275</v>
      </c>
      <c r="E79" s="22"/>
      <c r="F79" s="22"/>
      <c r="G79" s="55" t="s">
        <v>333</v>
      </c>
      <c r="H79" s="55"/>
      <c r="I79" s="55"/>
      <c r="J79" s="55"/>
    </row>
    <row r="80" customFormat="false" ht="15" hidden="true" customHeight="false" outlineLevel="1" collapsed="false">
      <c r="A80" s="11" t="s">
        <v>284</v>
      </c>
      <c r="B80" s="35" t="s">
        <v>274</v>
      </c>
      <c r="C80" s="52" t="s">
        <v>275</v>
      </c>
      <c r="D80" s="52" t="s">
        <v>275</v>
      </c>
      <c r="E80" s="22"/>
      <c r="F80" s="22"/>
      <c r="G80" s="55" t="s">
        <v>334</v>
      </c>
      <c r="H80" s="55"/>
      <c r="I80" s="55"/>
      <c r="J80" s="55"/>
    </row>
    <row r="81" customFormat="false" ht="15" hidden="false" customHeight="false" outlineLevel="0" collapsed="false">
      <c r="A81" s="47" t="n">
        <v>3700</v>
      </c>
      <c r="B81" s="48" t="n">
        <v>1</v>
      </c>
      <c r="C81" s="20" t="s">
        <v>329</v>
      </c>
      <c r="D81" s="20" t="s">
        <v>237</v>
      </c>
      <c r="E81" s="50" t="s">
        <v>330</v>
      </c>
      <c r="F81" s="51" t="s">
        <v>237</v>
      </c>
      <c r="G81" s="20"/>
      <c r="H81" s="20"/>
      <c r="I81" s="20"/>
      <c r="J81" s="20"/>
    </row>
    <row r="82" customFormat="false" ht="15" hidden="true" customHeight="false" outlineLevel="1" collapsed="false">
      <c r="A82" s="11" t="s">
        <v>335</v>
      </c>
      <c r="B82" s="35" t="s">
        <v>281</v>
      </c>
      <c r="C82" s="52" t="s">
        <v>295</v>
      </c>
      <c r="D82" s="52" t="s">
        <v>275</v>
      </c>
      <c r="E82" s="22"/>
      <c r="F82" s="22"/>
      <c r="G82" s="55" t="s">
        <v>332</v>
      </c>
      <c r="H82" s="55"/>
      <c r="I82" s="55"/>
      <c r="J82" s="55"/>
    </row>
    <row r="83" customFormat="false" ht="15" hidden="false" customHeight="false" outlineLevel="0" collapsed="false">
      <c r="A83" s="47" t="n">
        <v>3900</v>
      </c>
      <c r="B83" s="48" t="n">
        <v>1</v>
      </c>
      <c r="C83" s="20" t="s">
        <v>237</v>
      </c>
      <c r="D83" s="20" t="s">
        <v>237</v>
      </c>
      <c r="E83" s="50" t="s">
        <v>287</v>
      </c>
      <c r="F83" s="51" t="s">
        <v>237</v>
      </c>
      <c r="G83" s="20"/>
      <c r="H83" s="20"/>
      <c r="I83" s="20"/>
      <c r="J83" s="20"/>
    </row>
    <row r="84" customFormat="false" ht="15" hidden="true" customHeight="false" outlineLevel="1" collapsed="false">
      <c r="A84" s="11" t="s">
        <v>336</v>
      </c>
      <c r="B84" s="35" t="s">
        <v>281</v>
      </c>
      <c r="C84" s="52" t="s">
        <v>275</v>
      </c>
      <c r="D84" s="52" t="s">
        <v>275</v>
      </c>
      <c r="E84" s="22"/>
      <c r="F84" s="22"/>
      <c r="G84" s="55" t="s">
        <v>334</v>
      </c>
      <c r="H84" s="55"/>
      <c r="I84" s="55"/>
      <c r="J84" s="55"/>
    </row>
    <row r="86" customFormat="false" ht="15" hidden="false" customHeight="false" outlineLevel="0" collapsed="false">
      <c r="A86" s="2" t="s">
        <v>337</v>
      </c>
    </row>
  </sheetData>
  <mergeCells count="33">
    <mergeCell ref="G24:J24"/>
    <mergeCell ref="G26:J26"/>
    <mergeCell ref="G27:J27"/>
    <mergeCell ref="G29:J29"/>
    <mergeCell ref="G31:J31"/>
    <mergeCell ref="G33:J33"/>
    <mergeCell ref="G34:J34"/>
    <mergeCell ref="G35:J35"/>
    <mergeCell ref="G40:J40"/>
    <mergeCell ref="G42:J42"/>
    <mergeCell ref="G44:J44"/>
    <mergeCell ref="G46:J46"/>
    <mergeCell ref="G48:J48"/>
    <mergeCell ref="G49:J49"/>
    <mergeCell ref="G51:J51"/>
    <mergeCell ref="G53:J53"/>
    <mergeCell ref="G54:J54"/>
    <mergeCell ref="G55:J55"/>
    <mergeCell ref="G56:J56"/>
    <mergeCell ref="G58:J58"/>
    <mergeCell ref="G60:J60"/>
    <mergeCell ref="G62:J62"/>
    <mergeCell ref="G63:J63"/>
    <mergeCell ref="G65:J65"/>
    <mergeCell ref="G70:J70"/>
    <mergeCell ref="G71:J71"/>
    <mergeCell ref="G73:J73"/>
    <mergeCell ref="G75:J75"/>
    <mergeCell ref="G77:J77"/>
    <mergeCell ref="G79:J79"/>
    <mergeCell ref="G80:J80"/>
    <mergeCell ref="G82:J82"/>
    <mergeCell ref="G84:J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2026-10-07T05:38:10Z</dcterms:created>
  <dc:creator>openpyxl</dc:creator>
  <dc:description/>
  <dc:language>en-US</dc:language>
  <cp:lastModifiedBy/>
  <dcterms:modified xsi:type="dcterms:W3CDTF">2026-10-07T05:38:10Z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