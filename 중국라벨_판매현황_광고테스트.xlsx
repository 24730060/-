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판매현황 (주별·월별)" sheetId="1" state="visible" r:id="rId3"/>
    <sheet name="광고 입찰가 테스트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<sst xmlns="http://schemas.openxmlformats.org/spreadsheetml/2006/main" count="543" uniqueCount="292">
  <si>
    <r>
      <rPr>
        <b val="true"/>
        <sz val="15"/>
        <color rgb="FF1F2A44"/>
        <rFont val="WenQuanYi Zen Hei"/>
        <family val="2"/>
      </rPr>
      <t xml:space="preserve">중국라벨 판매현황 — 아트지 </t>
    </r>
    <r>
      <rPr>
        <b val="true"/>
        <sz val="15"/>
        <color rgb="FF1F2A44"/>
        <rFont val="맑은 고딕"/>
        <family val="0"/>
        <charset val="1"/>
      </rPr>
      <t xml:space="preserve">· </t>
    </r>
    <r>
      <rPr>
        <b val="true"/>
        <sz val="15"/>
        <color rgb="FF1F2A44"/>
        <rFont val="WenQuanYi Zen Hei"/>
        <family val="2"/>
      </rPr>
      <t xml:space="preserve">유포지 </t>
    </r>
    <r>
      <rPr>
        <b val="true"/>
        <sz val="15"/>
        <color rgb="FF1F2A44"/>
        <rFont val="맑은 고딕"/>
        <family val="0"/>
        <charset val="1"/>
      </rPr>
      <t xml:space="preserve">· </t>
    </r>
    <r>
      <rPr>
        <b val="true"/>
        <sz val="15"/>
        <color rgb="FF1F2A44"/>
        <rFont val="WenQuanYi Zen Hei"/>
        <family val="2"/>
      </rPr>
      <t xml:space="preserve">감열지</t>
    </r>
  </si>
  <si>
    <r>
      <rPr>
        <sz val="9"/>
        <color rgb="FF5A6270"/>
        <rFont val="WenQuanYi Zen Hei"/>
        <family val="2"/>
      </rPr>
      <t xml:space="preserve">오픈마켓 판매</t>
    </r>
    <r>
      <rPr>
        <sz val="9"/>
        <color rgb="FF5A6270"/>
        <rFont val="맑은 고딕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판매현황 기록</t>
    </r>
    <r>
      <rPr>
        <sz val="9"/>
        <color rgb="FF5A6270"/>
        <rFont val="맑은 고딕"/>
        <family val="0"/>
        <charset val="1"/>
      </rPr>
      <t xml:space="preserve">) </t>
    </r>
    <r>
      <rPr>
        <sz val="9"/>
        <color rgb="FF5A6270"/>
        <rFont val="WenQuanYi Zen Hei"/>
        <family val="2"/>
      </rPr>
      <t xml:space="preserve">기준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건수 </t>
    </r>
    <r>
      <rPr>
        <sz val="9"/>
        <color rgb="FF5A6270"/>
        <rFont val="맑은 고딕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판매 기록 수</t>
    </r>
    <r>
      <rPr>
        <sz val="9"/>
        <color rgb="FF5A6270"/>
        <rFont val="맑은 고딕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수량 </t>
    </r>
    <r>
      <rPr>
        <sz val="9"/>
        <color rgb="FF5A6270"/>
        <rFont val="맑은 고딕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롤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주 왼쪽의 </t>
    </r>
    <r>
      <rPr>
        <sz val="9"/>
        <color rgb="FF5A6270"/>
        <rFont val="맑은 고딕"/>
        <family val="0"/>
        <charset val="1"/>
      </rPr>
      <t xml:space="preserve">[+]</t>
    </r>
    <r>
      <rPr>
        <sz val="9"/>
        <color rgb="FF5A6270"/>
        <rFont val="WenQuanYi Zen Hei"/>
        <family val="2"/>
      </rPr>
      <t xml:space="preserve">를 누르면 그 주에 팔린 기록이 펼쳐집니다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주황 줄 </t>
    </r>
    <r>
      <rPr>
        <sz val="9"/>
        <color rgb="FF5A6270"/>
        <rFont val="맑은 고딕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입찰가 테스트 기간</t>
    </r>
    <r>
      <rPr>
        <sz val="9"/>
        <color rgb="FF5A6270"/>
        <rFont val="맑은 고딕"/>
        <family val="0"/>
        <charset val="1"/>
      </rPr>
      <t xml:space="preserve">(9/28~10/6)</t>
    </r>
  </si>
  <si>
    <t xml:space="preserve">재질</t>
  </si>
  <si>
    <t xml:space="preserve">규격 수</t>
  </si>
  <si>
    <r>
      <rPr>
        <b val="true"/>
        <sz val="10"/>
        <color rgb="FFFFFFFF"/>
        <rFont val="WenQuanYi Zen Hei"/>
        <family val="2"/>
      </rPr>
      <t xml:space="preserve">실재고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롤</t>
    </r>
    <r>
      <rPr>
        <b val="true"/>
        <sz val="10"/>
        <color rgb="FFFFFFFF"/>
        <rFont val="맑은 고딕"/>
        <family val="0"/>
        <charset val="1"/>
      </rPr>
      <t xml:space="preserve">)
10/7 </t>
    </r>
    <r>
      <rPr>
        <b val="true"/>
        <sz val="10"/>
        <color rgb="FFFFFFFF"/>
        <rFont val="WenQuanYi Zen Hei"/>
        <family val="2"/>
      </rPr>
      <t xml:space="preserve">기준</t>
    </r>
  </si>
  <si>
    <t xml:space="preserve">오픈마켓 판매
건수</t>
  </si>
  <si>
    <t xml:space="preserve">오픈마켓 판매
롤</t>
  </si>
  <si>
    <t xml:space="preserve">품절 규격</t>
  </si>
  <si>
    <r>
      <rPr>
        <b val="true"/>
        <sz val="10"/>
        <color rgb="FFFFFFFF"/>
        <rFont val="WenQuanYi Zen Hei"/>
        <family val="2"/>
      </rPr>
      <t xml:space="preserve">부족 규격
</t>
    </r>
    <r>
      <rPr>
        <b val="true"/>
        <sz val="10"/>
        <color rgb="FFFFFFFF"/>
        <rFont val="맑은 고딕"/>
        <family val="0"/>
        <charset val="1"/>
      </rPr>
      <t xml:space="preserve">(10</t>
    </r>
    <r>
      <rPr>
        <b val="true"/>
        <sz val="10"/>
        <color rgb="FFFFFFFF"/>
        <rFont val="WenQuanYi Zen Hei"/>
        <family val="2"/>
      </rPr>
      <t xml:space="preserve">롤 이하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</si>
  <si>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아트지</t>
  </si>
  <si>
    <t xml:space="preserve">유포지</t>
  </si>
  <si>
    <t xml:space="preserve">감열지</t>
  </si>
  <si>
    <t xml:space="preserve">합계</t>
  </si>
  <si>
    <r>
      <rPr>
        <sz val="9"/>
        <color rgb="FF5A6270"/>
        <rFont val="WenQuanYi Zen Hei"/>
        <family val="2"/>
      </rPr>
      <t xml:space="preserve">품절</t>
    </r>
    <r>
      <rPr>
        <sz val="9"/>
        <color rgb="FF5A6270"/>
        <rFont val="맑은 고딕"/>
        <family val="0"/>
        <charset val="1"/>
      </rPr>
      <t xml:space="preserve">: </t>
    </r>
    <r>
      <rPr>
        <sz val="9"/>
        <color rgb="FF5A6270"/>
        <rFont val="WenQuanYi Zen Hei"/>
        <family val="2"/>
      </rPr>
      <t xml:space="preserve">아트지 </t>
    </r>
    <r>
      <rPr>
        <sz val="9"/>
        <color rgb="FF5A6270"/>
        <rFont val="맑은 고딕"/>
        <family val="0"/>
        <charset val="1"/>
      </rPr>
      <t xml:space="preserve">70*40,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50*30,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100*70,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100*100   ·   </t>
    </r>
    <r>
      <rPr>
        <sz val="9"/>
        <color rgb="FF5A6270"/>
        <rFont val="WenQuanYi Zen Hei"/>
        <family val="2"/>
      </rPr>
      <t xml:space="preserve">부족</t>
    </r>
    <r>
      <rPr>
        <sz val="9"/>
        <color rgb="FF5A6270"/>
        <rFont val="맑은 고딕"/>
        <family val="0"/>
        <charset val="1"/>
      </rPr>
      <t xml:space="preserve">: </t>
    </r>
    <r>
      <rPr>
        <sz val="9"/>
        <color rgb="FF5A6270"/>
        <rFont val="WenQuanYi Zen Hei"/>
        <family val="2"/>
      </rPr>
      <t xml:space="preserve">아트지 </t>
    </r>
    <r>
      <rPr>
        <sz val="9"/>
        <color rgb="FF5A6270"/>
        <rFont val="맑은 고딕"/>
        <family val="0"/>
        <charset val="1"/>
      </rPr>
      <t xml:space="preserve">100*60 8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아트지 </t>
    </r>
    <r>
      <rPr>
        <sz val="9"/>
        <color rgb="FF5A6270"/>
        <rFont val="맑은 고딕"/>
        <family val="0"/>
        <charset val="1"/>
      </rPr>
      <t xml:space="preserve">100*70 2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60*40 2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100*80 8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100*150 2</t>
    </r>
    <r>
      <rPr>
        <sz val="9"/>
        <color rgb="FF5A6270"/>
        <rFont val="WenQuanYi Zen Hei"/>
        <family val="2"/>
      </rPr>
      <t xml:space="preserve">롤</t>
    </r>
  </si>
  <si>
    <r>
      <rPr>
        <b val="true"/>
        <sz val="12"/>
        <color rgb="FF1F2A44"/>
        <rFont val="WenQuanYi Zen Hei"/>
        <family val="2"/>
      </rPr>
      <t xml:space="preserve">판매처별 한눈에 보기 </t>
    </r>
    <r>
      <rPr>
        <b val="true"/>
        <sz val="12"/>
        <color rgb="FF1F2A44"/>
        <rFont val="맑은 고딕"/>
        <family val="0"/>
        <charset val="1"/>
      </rPr>
      <t xml:space="preserve">(5/25 ~ 10/6 </t>
    </r>
    <r>
      <rPr>
        <b val="true"/>
        <sz val="12"/>
        <color rgb="FF1F2A44"/>
        <rFont val="WenQuanYi Zen Hei"/>
        <family val="2"/>
      </rPr>
      <t xml:space="preserve">오픈마켓 판매 전체</t>
    </r>
    <r>
      <rPr>
        <b val="true"/>
        <sz val="12"/>
        <color rgb="FF1F2A44"/>
        <rFont val="맑은 고딕"/>
        <family val="0"/>
        <charset val="1"/>
      </rPr>
      <t xml:space="preserve">)</t>
    </r>
  </si>
  <si>
    <t xml:space="preserve">판매처</t>
  </si>
  <si>
    <t xml:space="preserve">아트지
건수</t>
  </si>
  <si>
    <t xml:space="preserve">아트지
롤</t>
  </si>
  <si>
    <t xml:space="preserve">유포지
건수</t>
  </si>
  <si>
    <t xml:space="preserve">유포지
롤</t>
  </si>
  <si>
    <t xml:space="preserve">감열지
건수</t>
  </si>
  <si>
    <t xml:space="preserve">감열지
롤</t>
  </si>
  <si>
    <t xml:space="preserve">합계
건수</t>
  </si>
  <si>
    <t xml:space="preserve">합계
롤</t>
  </si>
  <si>
    <t xml:space="preserve">롤 비중</t>
  </si>
  <si>
    <t xml:space="preserve">쿠팡</t>
  </si>
  <si>
    <t xml:space="preserve">지마켓</t>
  </si>
  <si>
    <r>
      <rPr>
        <b val="true"/>
        <sz val="10"/>
        <rFont val="맑은 고딕"/>
        <family val="0"/>
        <charset val="1"/>
      </rPr>
      <t xml:space="preserve">11</t>
    </r>
    <r>
      <rPr>
        <b val="true"/>
        <sz val="10"/>
        <rFont val="WenQuanYi Zen Hei"/>
        <family val="2"/>
      </rPr>
      <t xml:space="preserve">번가</t>
    </r>
  </si>
  <si>
    <t xml:space="preserve">전문몰</t>
  </si>
  <si>
    <r>
      <rPr>
        <sz val="10"/>
        <color rgb="FF5A6270"/>
        <rFont val="맑은 고딕"/>
        <family val="0"/>
        <charset val="1"/>
      </rPr>
      <t xml:space="preserve">(</t>
    </r>
    <r>
      <rPr>
        <sz val="10"/>
        <color rgb="FF5A6270"/>
        <rFont val="WenQuanYi Zen Hei"/>
        <family val="2"/>
      </rPr>
      <t xml:space="preserve">우리 </t>
    </r>
    <r>
      <rPr>
        <sz val="10"/>
        <color rgb="FF5A6270"/>
        <rFont val="맑은 고딕"/>
        <family val="0"/>
        <charset val="1"/>
      </rPr>
      <t xml:space="preserve">· </t>
    </r>
    <r>
      <rPr>
        <sz val="10"/>
        <color rgb="FF5A6270"/>
        <rFont val="WenQuanYi Zen Hei"/>
        <family val="2"/>
      </rPr>
      <t xml:space="preserve">광고</t>
    </r>
    <r>
      <rPr>
        <sz val="10"/>
        <color rgb="FF5A6270"/>
        <rFont val="맑은 고딕"/>
        <family val="0"/>
        <charset val="1"/>
      </rPr>
      <t xml:space="preserve">)</t>
    </r>
  </si>
  <si>
    <t xml:space="preserve">코스모스몰</t>
  </si>
  <si>
    <t xml:space="preserve">재질별</t>
  </si>
  <si>
    <r>
      <rPr>
        <b val="true"/>
        <sz val="10"/>
        <rFont val="WenQuanYi Zen Hei"/>
        <family val="2"/>
      </rPr>
      <t xml:space="preserve">판매처별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같은 판매를 판매처 기준으로 나눈 것</t>
    </r>
    <r>
      <rPr>
        <b val="true"/>
        <sz val="10"/>
        <rFont val="맑은 고딕"/>
        <family val="0"/>
        <charset val="1"/>
      </rPr>
      <t xml:space="preserve">)</t>
    </r>
  </si>
  <si>
    <t xml:space="preserve">기간</t>
  </si>
  <si>
    <r>
      <rPr>
        <b val="true"/>
        <sz val="10"/>
        <color rgb="FFFFFFFF"/>
        <rFont val="WenQuanYi Zen Hei"/>
        <family val="2"/>
      </rPr>
      <t xml:space="preserve">구분 </t>
    </r>
    <r>
      <rPr>
        <b val="true"/>
        <sz val="10"/>
        <color rgb="FFFFFFFF"/>
        <rFont val="맑은 고딕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판매 내용</t>
    </r>
  </si>
  <si>
    <t xml:space="preserve">쿠팡
건수</t>
  </si>
  <si>
    <t xml:space="preserve">쿠팡
롤</t>
  </si>
  <si>
    <t xml:space="preserve">지마켓
건수</t>
  </si>
  <si>
    <t xml:space="preserve">지마켓
롤</t>
  </si>
  <si>
    <r>
      <rPr>
        <b val="true"/>
        <sz val="10"/>
        <color rgb="FFFFFFFF"/>
        <rFont val="맑은 고딕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번가
건수</t>
    </r>
  </si>
  <si>
    <r>
      <rPr>
        <b val="true"/>
        <sz val="10"/>
        <color rgb="FFFFFFFF"/>
        <rFont val="맑은 고딕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번가
롤</t>
    </r>
  </si>
  <si>
    <t xml:space="preserve">전문몰
건수</t>
  </si>
  <si>
    <t xml:space="preserve">전문몰
롤</t>
  </si>
  <si>
    <t xml:space="preserve">코스모스몰
건수</t>
  </si>
  <si>
    <t xml:space="preserve">코스모스몰
롤</t>
  </si>
  <si>
    <t xml:space="preserve">비고</t>
  </si>
  <si>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주</t>
    </r>
  </si>
  <si>
    <t xml:space="preserve">5/25 ~ 5/31</t>
  </si>
  <si>
    <t xml:space="preserve">  5/26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</si>
  <si>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50*30 · </t>
    </r>
    <r>
      <rPr>
        <sz val="10"/>
        <color rgb="FF5A6270"/>
        <rFont val="WenQuanYi Zen Hei"/>
        <family val="2"/>
      </rPr>
      <t xml:space="preserve">전문몰</t>
    </r>
  </si>
  <si>
    <r>
      <rPr>
        <sz val="10"/>
        <color rgb="FF5A6270"/>
        <rFont val="WenQuanYi Zen Hei"/>
        <family val="2"/>
      </rPr>
      <t xml:space="preserve">품절</t>
    </r>
    <r>
      <rPr>
        <sz val="10"/>
        <color rgb="FF5A6270"/>
        <rFont val="맑은 고딕"/>
        <family val="0"/>
        <charset val="1"/>
      </rPr>
      <t xml:space="preserve">/</t>
    </r>
    <r>
      <rPr>
        <sz val="10"/>
        <color rgb="FF5A6270"/>
        <rFont val="WenQuanYi Zen Hei"/>
        <family val="2"/>
      </rPr>
      <t xml:space="preserve">광고안함</t>
    </r>
  </si>
  <si>
    <t xml:space="preserve">  5/27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</si>
  <si>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50*50 · </t>
    </r>
    <r>
      <rPr>
        <sz val="10"/>
        <color rgb="FF5A6270"/>
        <rFont val="WenQuanYi Zen Hei"/>
        <family val="2"/>
      </rPr>
      <t xml:space="preserve">지마켓</t>
    </r>
  </si>
  <si>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월 합계</t>
    </r>
  </si>
  <si>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주</t>
    </r>
  </si>
  <si>
    <t xml:space="preserve">6/1 ~ 6/7</t>
  </si>
  <si>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주</t>
    </r>
  </si>
  <si>
    <t xml:space="preserve">6/8 ~ 6/14</t>
  </si>
  <si>
    <t xml:space="preserve">  6/10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</si>
  <si>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30*15 · </t>
    </r>
    <r>
      <rPr>
        <sz val="10"/>
        <color rgb="FF5A6270"/>
        <rFont val="WenQuanYi Zen Hei"/>
        <family val="2"/>
      </rPr>
      <t xml:space="preserve">전문몰</t>
    </r>
  </si>
  <si>
    <t xml:space="preserve">왁스레진 함께 출고</t>
  </si>
  <si>
    <t xml:space="preserve">  6/11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</si>
  <si>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100*70 · </t>
    </r>
    <r>
      <rPr>
        <sz val="10"/>
        <color rgb="FF5A6270"/>
        <rFont val="WenQuanYi Zen Hei"/>
        <family val="2"/>
      </rPr>
      <t xml:space="preserve">전문몰</t>
    </r>
  </si>
  <si>
    <t xml:space="preserve">  6/12</t>
  </si>
  <si>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주</t>
    </r>
  </si>
  <si>
    <t xml:space="preserve">6/15 ~ 6/21</t>
  </si>
  <si>
    <t xml:space="preserve">  6/18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</si>
  <si>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100*100 · </t>
    </r>
    <r>
      <rPr>
        <sz val="10"/>
        <color rgb="FF5A6270"/>
        <rFont val="WenQuanYi Zen Hei"/>
        <family val="2"/>
      </rPr>
      <t xml:space="preserve">전문몰</t>
    </r>
  </si>
  <si>
    <r>
      <rPr>
        <sz val="10"/>
        <color rgb="FF5A6270"/>
        <rFont val="WenQuanYi Zen Hei"/>
        <family val="2"/>
      </rPr>
      <t xml:space="preserve">오픈몰</t>
    </r>
    <r>
      <rPr>
        <sz val="10"/>
        <color rgb="FF5A6270"/>
        <rFont val="맑은 고딕"/>
        <family val="0"/>
        <charset val="1"/>
      </rPr>
      <t xml:space="preserve">x</t>
    </r>
    <r>
      <rPr>
        <sz val="10"/>
        <color rgb="FF5A6270"/>
        <rFont val="WenQuanYi Zen Hei"/>
        <family val="2"/>
      </rPr>
      <t xml:space="preserve">재고 없어서</t>
    </r>
    <r>
      <rPr>
        <sz val="10"/>
        <color rgb="FF5A6270"/>
        <rFont val="맑은 고딕"/>
        <family val="0"/>
        <charset val="1"/>
      </rPr>
      <t xml:space="preserve">/</t>
    </r>
    <r>
      <rPr>
        <sz val="10"/>
        <color rgb="FF5A6270"/>
        <rFont val="WenQuanYi Zen Hei"/>
        <family val="2"/>
      </rPr>
      <t xml:space="preserve">퀵</t>
    </r>
  </si>
  <si>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주</t>
    </r>
  </si>
  <si>
    <t xml:space="preserve">6/22 ~ 6/28</t>
  </si>
  <si>
    <t xml:space="preserve">  6/22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</si>
  <si>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60*40 · </t>
    </r>
    <r>
      <rPr>
        <sz val="10"/>
        <color rgb="FF5A6270"/>
        <rFont val="WenQuanYi Zen Hei"/>
        <family val="2"/>
      </rPr>
      <t xml:space="preserve">전문몰</t>
    </r>
  </si>
  <si>
    <t xml:space="preserve">레진과 함께 출고</t>
  </si>
  <si>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주</t>
    </r>
  </si>
  <si>
    <t xml:space="preserve">6/29 ~ 6/30</t>
  </si>
  <si>
    <t xml:space="preserve">  6/30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</si>
  <si>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100*150 · </t>
    </r>
    <r>
      <rPr>
        <sz val="10"/>
        <color rgb="FF5A6270"/>
        <rFont val="WenQuanYi Zen Hei"/>
        <family val="2"/>
      </rPr>
      <t xml:space="preserve">전문몰</t>
    </r>
  </si>
  <si>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월 합계</t>
    </r>
  </si>
  <si>
    <r>
      <rPr>
        <b val="true"/>
        <sz val="10"/>
        <rFont val="맑은 고딕"/>
        <family val="0"/>
        <charset val="1"/>
      </rPr>
      <t xml:space="preserve">7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주</t>
    </r>
  </si>
  <si>
    <t xml:space="preserve">7/1 ~ 7/5</t>
  </si>
  <si>
    <r>
      <rPr>
        <b val="true"/>
        <sz val="10"/>
        <rFont val="맑은 고딕"/>
        <family val="0"/>
        <charset val="1"/>
      </rPr>
      <t xml:space="preserve">7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주</t>
    </r>
  </si>
  <si>
    <t xml:space="preserve">7/6 ~ 7/12</t>
  </si>
  <si>
    <t xml:space="preserve">  7/8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</si>
  <si>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70*50 · </t>
    </r>
    <r>
      <rPr>
        <sz val="10"/>
        <color rgb="FF5A6270"/>
        <rFont val="WenQuanYi Zen Hei"/>
        <family val="2"/>
      </rPr>
      <t xml:space="preserve">쿠팡</t>
    </r>
  </si>
  <si>
    <r>
      <rPr>
        <b val="true"/>
        <sz val="10"/>
        <rFont val="맑은 고딕"/>
        <family val="0"/>
        <charset val="1"/>
      </rPr>
      <t xml:space="preserve">7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주</t>
    </r>
  </si>
  <si>
    <t xml:space="preserve">7/13 ~ 7/19</t>
  </si>
  <si>
    <r>
      <rPr>
        <b val="true"/>
        <sz val="10"/>
        <rFont val="맑은 고딕"/>
        <family val="0"/>
        <charset val="1"/>
      </rPr>
      <t xml:space="preserve">7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주</t>
    </r>
  </si>
  <si>
    <t xml:space="preserve">7/20 ~ 7/26</t>
  </si>
  <si>
    <r>
      <rPr>
        <b val="true"/>
        <sz val="10"/>
        <rFont val="맑은 고딕"/>
        <family val="0"/>
        <charset val="1"/>
      </rPr>
      <t xml:space="preserve">7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주</t>
    </r>
  </si>
  <si>
    <t xml:space="preserve">7/27 ~ 7/31</t>
  </si>
  <si>
    <t xml:space="preserve">  7/31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</si>
  <si>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100*90 · </t>
    </r>
    <r>
      <rPr>
        <sz val="10"/>
        <color rgb="FF5A6270"/>
        <rFont val="WenQuanYi Zen Hei"/>
        <family val="2"/>
      </rPr>
      <t xml:space="preserve">쿠팡</t>
    </r>
  </si>
  <si>
    <r>
      <rPr>
        <b val="true"/>
        <sz val="10"/>
        <rFont val="맑은 고딕"/>
        <family val="0"/>
        <charset val="1"/>
      </rPr>
      <t xml:space="preserve">7</t>
    </r>
    <r>
      <rPr>
        <b val="true"/>
        <sz val="10"/>
        <rFont val="WenQuanYi Zen Hei"/>
        <family val="2"/>
      </rPr>
      <t xml:space="preserve">월 합계</t>
    </r>
  </si>
  <si>
    <r>
      <rPr>
        <b val="true"/>
        <sz val="10"/>
        <rFont val="맑은 고딕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주</t>
    </r>
  </si>
  <si>
    <t xml:space="preserve">8/1 ~ 8/2</t>
  </si>
  <si>
    <r>
      <rPr>
        <b val="true"/>
        <sz val="10"/>
        <rFont val="맑은 고딕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주</t>
    </r>
  </si>
  <si>
    <t xml:space="preserve">8/3 ~ 8/9</t>
  </si>
  <si>
    <t xml:space="preserve">  8/3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</si>
  <si>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60*40 · </t>
    </r>
    <r>
      <rPr>
        <sz val="10"/>
        <color rgb="FF5A6270"/>
        <rFont val="WenQuanYi Zen Hei"/>
        <family val="2"/>
      </rPr>
      <t xml:space="preserve">쿠팡</t>
    </r>
  </si>
  <si>
    <t xml:space="preserve">  8/4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</si>
  <si>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100*90 · </t>
    </r>
    <r>
      <rPr>
        <sz val="10"/>
        <color rgb="FF5A6270"/>
        <rFont val="WenQuanYi Zen Hei"/>
        <family val="2"/>
      </rPr>
      <t xml:space="preserve">전문몰</t>
    </r>
  </si>
  <si>
    <t xml:space="preserve">  8/7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</si>
  <si>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100*35 · </t>
    </r>
    <r>
      <rPr>
        <sz val="10"/>
        <color rgb="FF5A6270"/>
        <rFont val="WenQuanYi Zen Hei"/>
        <family val="2"/>
      </rPr>
      <t xml:space="preserve">전문몰</t>
    </r>
  </si>
  <si>
    <r>
      <rPr>
        <b val="true"/>
        <sz val="10"/>
        <rFont val="맑은 고딕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주</t>
    </r>
  </si>
  <si>
    <t xml:space="preserve">8/10 ~ 8/16</t>
  </si>
  <si>
    <t xml:space="preserve">  8/13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</si>
  <si>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100*100 · </t>
    </r>
    <r>
      <rPr>
        <sz val="10"/>
        <color rgb="FF5A6270"/>
        <rFont val="WenQuanYi Zen Hei"/>
        <family val="2"/>
      </rPr>
      <t xml:space="preserve">전문몰</t>
    </r>
  </si>
  <si>
    <r>
      <rPr>
        <b val="true"/>
        <sz val="10"/>
        <rFont val="맑은 고딕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주</t>
    </r>
  </si>
  <si>
    <t xml:space="preserve">8/17 ~ 8/23</t>
  </si>
  <si>
    <t xml:space="preserve">  8/20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</si>
  <si>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100*60 · </t>
    </r>
    <r>
      <rPr>
        <sz val="10"/>
        <color rgb="FF5A6270"/>
        <rFont val="WenQuanYi Zen Hei"/>
        <family val="2"/>
      </rPr>
      <t xml:space="preserve">지마켓</t>
    </r>
  </si>
  <si>
    <t xml:space="preserve">  8/21</t>
  </si>
  <si>
    <r>
      <rPr>
        <sz val="10"/>
        <color rgb="FF5A6270"/>
        <rFont val="WenQuanYi Zen Hei"/>
        <family val="2"/>
      </rPr>
      <t xml:space="preserve">감열지 </t>
    </r>
    <r>
      <rPr>
        <sz val="10"/>
        <color rgb="FF5A6270"/>
        <rFont val="맑은 고딕"/>
        <family val="0"/>
        <charset val="1"/>
      </rPr>
      <t xml:space="preserve">100*100 · </t>
    </r>
    <r>
      <rPr>
        <sz val="10"/>
        <color rgb="FF5A6270"/>
        <rFont val="WenQuanYi Zen Hei"/>
        <family val="2"/>
      </rPr>
      <t xml:space="preserve">지마켓</t>
    </r>
  </si>
  <si>
    <r>
      <rPr>
        <b val="true"/>
        <sz val="10"/>
        <rFont val="맑은 고딕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주</t>
    </r>
  </si>
  <si>
    <t xml:space="preserve">8/24 ~ 8/30</t>
  </si>
  <si>
    <t xml:space="preserve">  8/24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</si>
  <si>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70*50 · </t>
    </r>
    <r>
      <rPr>
        <sz val="10"/>
        <color rgb="FF5A6270"/>
        <rFont val="WenQuanYi Zen Hei"/>
        <family val="2"/>
      </rPr>
      <t xml:space="preserve">전문몰</t>
    </r>
  </si>
  <si>
    <t xml:space="preserve">  8/26</t>
  </si>
  <si>
    <r>
      <rPr>
        <sz val="10"/>
        <color rgb="FF5A6270"/>
        <rFont val="WenQuanYi Zen Hei"/>
        <family val="2"/>
      </rPr>
      <t xml:space="preserve">전문몰 총 </t>
    </r>
    <r>
      <rPr>
        <sz val="10"/>
        <color rgb="FF5A6270"/>
        <rFont val="맑은 고딕"/>
        <family val="0"/>
        <charset val="1"/>
      </rPr>
      <t xml:space="preserve">99</t>
    </r>
    <r>
      <rPr>
        <sz val="10"/>
        <color rgb="FF5A6270"/>
        <rFont val="WenQuanYi Zen Hei"/>
        <family val="2"/>
      </rPr>
      <t xml:space="preserve">롤</t>
    </r>
  </si>
  <si>
    <t xml:space="preserve">  8/27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</si>
  <si>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100*80 · </t>
    </r>
    <r>
      <rPr>
        <sz val="10"/>
        <color rgb="FF5A6270"/>
        <rFont val="WenQuanYi Zen Hei"/>
        <family val="2"/>
      </rPr>
      <t xml:space="preserve">지마켓</t>
    </r>
  </si>
  <si>
    <r>
      <rPr>
        <sz val="10"/>
        <color rgb="FF5A6270"/>
        <rFont val="WenQuanYi Zen Hei"/>
        <family val="2"/>
      </rPr>
      <t xml:space="preserve">지마켓 총 </t>
    </r>
    <r>
      <rPr>
        <sz val="10"/>
        <color rgb="FF5A6270"/>
        <rFont val="맑은 고딕"/>
        <family val="0"/>
        <charset val="1"/>
      </rPr>
      <t xml:space="preserve">63</t>
    </r>
    <r>
      <rPr>
        <sz val="10"/>
        <color rgb="FF5A6270"/>
        <rFont val="WenQuanYi Zen Hei"/>
        <family val="2"/>
      </rPr>
      <t xml:space="preserve">롤</t>
    </r>
  </si>
  <si>
    <r>
      <rPr>
        <sz val="10"/>
        <color rgb="FF5A6270"/>
        <rFont val="WenQuanYi Zen Hei"/>
        <family val="2"/>
      </rPr>
      <t xml:space="preserve">감열지 </t>
    </r>
    <r>
      <rPr>
        <sz val="10"/>
        <color rgb="FF5A6270"/>
        <rFont val="맑은 고딕"/>
        <family val="0"/>
        <charset val="1"/>
      </rPr>
      <t xml:space="preserve">80*70 · </t>
    </r>
    <r>
      <rPr>
        <sz val="10"/>
        <color rgb="FF5A6270"/>
        <rFont val="WenQuanYi Zen Hei"/>
        <family val="2"/>
      </rPr>
      <t xml:space="preserve">쿠팡</t>
    </r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</si>
  <si>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30*15 · </t>
    </r>
    <r>
      <rPr>
        <sz val="10"/>
        <color rgb="FF5A6270"/>
        <rFont val="WenQuanYi Zen Hei"/>
        <family val="2"/>
      </rPr>
      <t xml:space="preserve">쿠팡</t>
    </r>
  </si>
  <si>
    <r>
      <rPr>
        <sz val="10"/>
        <color rgb="FF5A6270"/>
        <rFont val="WenQuanYi Zen Hei"/>
        <family val="2"/>
      </rPr>
      <t xml:space="preserve">쿠팡 총 </t>
    </r>
    <r>
      <rPr>
        <sz val="10"/>
        <color rgb="FF5A6270"/>
        <rFont val="맑은 고딕"/>
        <family val="0"/>
        <charset val="1"/>
      </rPr>
      <t xml:space="preserve">14</t>
    </r>
    <r>
      <rPr>
        <sz val="10"/>
        <color rgb="FF5A6270"/>
        <rFont val="WenQuanYi Zen Hei"/>
        <family val="2"/>
      </rPr>
      <t xml:space="preserve">롤</t>
    </r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</si>
  <si>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100*60 · </t>
    </r>
    <r>
      <rPr>
        <sz val="10"/>
        <color rgb="FF5A6270"/>
        <rFont val="WenQuanYi Zen Hei"/>
        <family val="2"/>
      </rPr>
      <t xml:space="preserve">쿠팡</t>
    </r>
  </si>
  <si>
    <r>
      <rPr>
        <b val="true"/>
        <sz val="10"/>
        <rFont val="맑은 고딕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주</t>
    </r>
  </si>
  <si>
    <t xml:space="preserve">8/31 ~ 8/31</t>
  </si>
  <si>
    <r>
      <rPr>
        <b val="true"/>
        <sz val="10"/>
        <rFont val="맑은 고딕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월 합계</t>
    </r>
  </si>
  <si>
    <r>
      <rPr>
        <b val="true"/>
        <sz val="10"/>
        <rFont val="맑은 고딕"/>
        <family val="0"/>
        <charset val="1"/>
      </rPr>
      <t xml:space="preserve">9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주</t>
    </r>
  </si>
  <si>
    <t xml:space="preserve">9/1 ~ 9/6</t>
  </si>
  <si>
    <t xml:space="preserve">  9/2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</si>
  <si>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100*60 · </t>
    </r>
    <r>
      <rPr>
        <sz val="10"/>
        <color rgb="FF5A6270"/>
        <rFont val="WenQuanYi Zen Hei"/>
        <family val="2"/>
      </rPr>
      <t xml:space="preserve">전문몰</t>
    </r>
  </si>
  <si>
    <t xml:space="preserve">  9/3</t>
  </si>
  <si>
    <t xml:space="preserve">  9/4</t>
  </si>
  <si>
    <r>
      <rPr>
        <b val="true"/>
        <sz val="10"/>
        <rFont val="맑은 고딕"/>
        <family val="0"/>
        <charset val="1"/>
      </rPr>
      <t xml:space="preserve">9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주</t>
    </r>
  </si>
  <si>
    <t xml:space="preserve">9/7 ~ 9/13</t>
  </si>
  <si>
    <t xml:space="preserve">  9/7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</si>
  <si>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40*20 · </t>
    </r>
    <r>
      <rPr>
        <sz val="10"/>
        <color rgb="FF5A6270"/>
        <rFont val="WenQuanYi Zen Hei"/>
        <family val="2"/>
      </rPr>
      <t xml:space="preserve">전문몰</t>
    </r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</si>
  <si>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50*50 · </t>
    </r>
    <r>
      <rPr>
        <sz val="10"/>
        <color rgb="FF5A6270"/>
        <rFont val="WenQuanYi Zen Hei"/>
        <family val="2"/>
      </rPr>
      <t xml:space="preserve">쿠팡</t>
    </r>
  </si>
  <si>
    <t xml:space="preserve">  9/9</t>
  </si>
  <si>
    <t xml:space="preserve">  9/10</t>
  </si>
  <si>
    <r>
      <rPr>
        <sz val="10"/>
        <color rgb="FF5A6270"/>
        <rFont val="WenQuanYi Zen Hei"/>
        <family val="2"/>
      </rPr>
      <t xml:space="preserve">유포지 </t>
    </r>
    <r>
      <rPr>
        <sz val="10"/>
        <color rgb="FF5A6270"/>
        <rFont val="맑은 고딕"/>
        <family val="0"/>
        <charset val="1"/>
      </rPr>
      <t xml:space="preserve">100*70 · </t>
    </r>
    <r>
      <rPr>
        <sz val="10"/>
        <color rgb="FF5A6270"/>
        <rFont val="WenQuanYi Zen Hei"/>
        <family val="2"/>
      </rPr>
      <t xml:space="preserve">쿠팡</t>
    </r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</si>
  <si>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80*60 · </t>
    </r>
    <r>
      <rPr>
        <sz val="10"/>
        <color rgb="FF5A6270"/>
        <rFont val="WenQuanYi Zen Hei"/>
        <family val="2"/>
      </rPr>
      <t xml:space="preserve">전문몰</t>
    </r>
  </si>
  <si>
    <r>
      <rPr>
        <b val="true"/>
        <sz val="10"/>
        <rFont val="맑은 고딕"/>
        <family val="0"/>
        <charset val="1"/>
      </rPr>
      <t xml:space="preserve">9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주</t>
    </r>
  </si>
  <si>
    <t xml:space="preserve">9/14 ~ 9/20</t>
  </si>
  <si>
    <t xml:space="preserve">  9/14</t>
  </si>
  <si>
    <r>
      <rPr>
        <b val="true"/>
        <sz val="10"/>
        <rFont val="맑은 고딕"/>
        <family val="0"/>
        <charset val="1"/>
      </rPr>
      <t xml:space="preserve">9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주</t>
    </r>
  </si>
  <si>
    <t xml:space="preserve">9/21 ~ 9/27</t>
  </si>
  <si>
    <t xml:space="preserve">  9/21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</si>
  <si>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60*40 · </t>
    </r>
    <r>
      <rPr>
        <sz val="10"/>
        <color rgb="FF5A6270"/>
        <rFont val="WenQuanYi Zen Hei"/>
        <family val="2"/>
      </rPr>
      <t xml:space="preserve">전문몰</t>
    </r>
  </si>
  <si>
    <r>
      <rPr>
        <b val="true"/>
        <sz val="10"/>
        <rFont val="맑은 고딕"/>
        <family val="0"/>
        <charset val="1"/>
      </rPr>
      <t xml:space="preserve">9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주</t>
    </r>
  </si>
  <si>
    <t xml:space="preserve">9/28 ~ 9/30</t>
  </si>
  <si>
    <t xml:space="preserve">입찰가 테스트 기간</t>
  </si>
  <si>
    <t xml:space="preserve">  9/30</t>
  </si>
  <si>
    <r>
      <rPr>
        <b val="true"/>
        <sz val="10"/>
        <rFont val="맑은 고딕"/>
        <family val="0"/>
        <charset val="1"/>
      </rPr>
      <t xml:space="preserve">9</t>
    </r>
    <r>
      <rPr>
        <b val="true"/>
        <sz val="10"/>
        <rFont val="WenQuanYi Zen Hei"/>
        <family val="2"/>
      </rPr>
      <t xml:space="preserve">월 합계</t>
    </r>
  </si>
  <si>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주</t>
    </r>
  </si>
  <si>
    <t xml:space="preserve">10/1 ~ 10/4</t>
  </si>
  <si>
    <t xml:space="preserve">  10/1</t>
  </si>
  <si>
    <r>
      <rPr>
        <sz val="10"/>
        <color rgb="FF5A6270"/>
        <rFont val="WenQuanYi Zen Hei"/>
        <family val="2"/>
      </rPr>
      <t xml:space="preserve">아트지 </t>
    </r>
    <r>
      <rPr>
        <sz val="10"/>
        <color rgb="FF5A6270"/>
        <rFont val="맑은 고딕"/>
        <family val="0"/>
        <charset val="1"/>
      </rPr>
      <t xml:space="preserve">40*20 · </t>
    </r>
    <r>
      <rPr>
        <sz val="10"/>
        <color rgb="FF5A6270"/>
        <rFont val="WenQuanYi Zen Hei"/>
        <family val="2"/>
      </rPr>
      <t xml:space="preserve">쿠팡</t>
    </r>
  </si>
  <si>
    <t xml:space="preserve">  10/2</t>
  </si>
  <si>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주</t>
    </r>
  </si>
  <si>
    <t xml:space="preserve">10/5 ~ 10/11</t>
  </si>
  <si>
    <t xml:space="preserve">  10/6</t>
  </si>
  <si>
    <r>
      <rPr>
        <sz val="10"/>
        <color rgb="FF5A6270"/>
        <rFont val="WenQuanYi Zen Hei"/>
        <family val="2"/>
      </rPr>
      <t xml:space="preserve">감열지 </t>
    </r>
    <r>
      <rPr>
        <sz val="10"/>
        <color rgb="FF5A6270"/>
        <rFont val="맑은 고딕"/>
        <family val="0"/>
        <charset val="1"/>
      </rPr>
      <t xml:space="preserve">100*100 · </t>
    </r>
    <r>
      <rPr>
        <sz val="10"/>
        <color rgb="FF5A6270"/>
        <rFont val="WenQuanYi Zen Hei"/>
        <family val="2"/>
      </rPr>
      <t xml:space="preserve">코스모스몰</t>
    </r>
  </si>
  <si>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월 합계</t>
    </r>
  </si>
  <si>
    <t xml:space="preserve">전체 합계</t>
  </si>
  <si>
    <r>
      <rPr>
        <sz val="9"/>
        <color rgb="FF5A6270"/>
        <rFont val="WenQuanYi Zen Hei"/>
        <family val="2"/>
      </rPr>
      <t xml:space="preserve">숫자는 라벨 마스터 판매현황 시트에서 옮겨 적은 값입니다</t>
    </r>
    <r>
      <rPr>
        <sz val="9"/>
        <color rgb="FF5A6270"/>
        <rFont val="맑은 고딕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파란 글씨</t>
    </r>
    <r>
      <rPr>
        <sz val="9"/>
        <color rgb="FF5A6270"/>
        <rFont val="맑은 고딕"/>
        <family val="0"/>
        <charset val="1"/>
      </rPr>
      <t xml:space="preserve">). 80*40</t>
    </r>
    <r>
      <rPr>
        <sz val="9"/>
        <color rgb="FF5A6270"/>
        <rFont val="WenQuanYi Zen Hei"/>
        <family val="2"/>
      </rPr>
      <t xml:space="preserve">은 중국라벨이 아니라 뺐습니다</t>
    </r>
    <r>
      <rPr>
        <sz val="9"/>
        <color rgb="FF5A6270"/>
        <rFont val="맑은 고딕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일반 판매</t>
    </r>
    <r>
      <rPr>
        <sz val="9"/>
        <color rgb="FF5A6270"/>
        <rFont val="맑은 고딕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오픈마켓 외</t>
    </r>
    <r>
      <rPr>
        <sz val="9"/>
        <color rgb="FF5A6270"/>
        <rFont val="맑은 고딕"/>
        <family val="0"/>
        <charset val="1"/>
      </rPr>
      <t xml:space="preserve">)</t>
    </r>
    <r>
      <rPr>
        <sz val="9"/>
        <color rgb="FF5A6270"/>
        <rFont val="WenQuanYi Zen Hei"/>
        <family val="2"/>
      </rPr>
      <t xml:space="preserve">는 기록이 없어 들어가지 않습니다</t>
    </r>
    <r>
      <rPr>
        <sz val="9"/>
        <color rgb="FF5A6270"/>
        <rFont val="맑은 고딕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재질별 합계와 판매처별 합계는 같은 판매를 다르게 나눈 것이라 항상 같습니다</t>
    </r>
    <r>
      <rPr>
        <sz val="9"/>
        <color rgb="FF5A6270"/>
        <rFont val="맑은 고딕"/>
        <family val="0"/>
        <charset val="1"/>
      </rPr>
      <t xml:space="preserve">.</t>
    </r>
  </si>
  <si>
    <r>
      <rPr>
        <b val="true"/>
        <sz val="15"/>
        <color rgb="FF1F2A44"/>
        <rFont val="WenQuanYi Zen Hei"/>
        <family val="2"/>
      </rPr>
      <t xml:space="preserve">쇼핑검색 광고 입찰가 테스트 </t>
    </r>
    <r>
      <rPr>
        <b val="true"/>
        <sz val="15"/>
        <color rgb="FF1F2A44"/>
        <rFont val="맑은 고딕"/>
        <family val="0"/>
        <charset val="1"/>
      </rPr>
      <t xml:space="preserve">(9/28 ~ 10/6)</t>
    </r>
  </si>
  <si>
    <r>
      <rPr>
        <sz val="9"/>
        <color rgb="FF5A6270"/>
        <rFont val="WenQuanYi Zen Hei"/>
        <family val="2"/>
      </rPr>
      <t xml:space="preserve">기존에 광고하던 상품으로 입찰가만 바꿔 가며 순위를 확인한 테스트입니다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우리 판매처 </t>
    </r>
    <r>
      <rPr>
        <sz val="9"/>
        <color rgb="FF5A6270"/>
        <rFont val="맑은 고딕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전문몰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메인페이지 순위를 우선으로 봅니다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입찰가 왼쪽 </t>
    </r>
    <r>
      <rPr>
        <sz val="9"/>
        <color rgb="FF5A6270"/>
        <rFont val="맑은 고딕"/>
        <family val="0"/>
        <charset val="1"/>
      </rPr>
      <t xml:space="preserve">[+]</t>
    </r>
    <r>
      <rPr>
        <sz val="9"/>
        <color rgb="FF5A6270"/>
        <rFont val="WenQuanYi Zen Hei"/>
        <family val="2"/>
      </rPr>
      <t xml:space="preserve">를 누르면 조사한 시각별 기록이 펼쳐집니다</t>
    </r>
  </si>
  <si>
    <t xml:space="preserve">한눈에 보기</t>
  </si>
  <si>
    <t xml:space="preserve">키워드</t>
  </si>
  <si>
    <t xml:space="preserve">광고 상품</t>
  </si>
  <si>
    <t xml:space="preserve">테스트한
입찰가</t>
  </si>
  <si>
    <r>
      <rPr>
        <b val="true"/>
        <sz val="10"/>
        <color rgb="FFFFFFFF"/>
        <rFont val="WenQuanYi Zen Hei"/>
        <family val="2"/>
      </rPr>
      <t xml:space="preserve">메인 </t>
    </r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위
최저 입찰가</t>
    </r>
  </si>
  <si>
    <r>
      <rPr>
        <b val="true"/>
        <sz val="10"/>
        <color rgb="FFFFFFFF"/>
        <rFont val="WenQuanYi Zen Hei"/>
        <family val="2"/>
      </rPr>
      <t xml:space="preserve">메인 </t>
    </r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위 이내
최저 입찰가</t>
    </r>
  </si>
  <si>
    <t xml:space="preserve">가격비교
최고 순위</t>
  </si>
  <si>
    <r>
      <rPr>
        <b val="true"/>
        <sz val="10"/>
        <color rgb="FFFFFFFF"/>
        <rFont val="WenQuanYi Zen Hei"/>
        <family val="2"/>
      </rPr>
      <t xml:space="preserve">메인 </t>
    </r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위
주로 차지한 업체</t>
    </r>
  </si>
  <si>
    <t xml:space="preserve">권장 입찰가</t>
  </si>
  <si>
    <t xml:space="preserve">정리</t>
  </si>
  <si>
    <t xml:space="preserve">아트라벨</t>
  </si>
  <si>
    <r>
      <rPr>
        <sz val="10"/>
        <rFont val="WenQuanYi Zen Hei"/>
        <family val="2"/>
      </rPr>
      <t xml:space="preserve">아트지 </t>
    </r>
    <r>
      <rPr>
        <sz val="10"/>
        <rFont val="맑은 고딕"/>
        <family val="0"/>
        <charset val="1"/>
      </rPr>
      <t xml:space="preserve">60*40</t>
    </r>
  </si>
  <si>
    <r>
      <rPr>
        <sz val="10"/>
        <rFont val="맑은 고딕"/>
        <family val="0"/>
        <charset val="1"/>
      </rPr>
      <t xml:space="preserve">2,000~3,000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</si>
  <si>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</si>
  <si>
    <r>
      <rPr>
        <sz val="10"/>
        <rFont val="WenQuanYi Zen Hei"/>
        <family val="2"/>
      </rPr>
      <t xml:space="preserve">전문몰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우리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</si>
  <si>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color rgb="FF0000FF"/>
        <rFont val="맑은 고딕"/>
        <family val="0"/>
        <charset val="1"/>
      </rPr>
      <t xml:space="preserve">2,300~2,800</t>
    </r>
    <r>
      <rPr>
        <b val="true"/>
        <sz val="10"/>
        <color rgb="FF0000FF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</si>
  <si>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2,300</t>
    </r>
    <r>
      <rPr>
        <sz val="10"/>
        <rFont val="WenQuanYi Zen Hei"/>
        <family val="2"/>
      </rPr>
      <t xml:space="preserve">원에도 메인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(10/6 </t>
    </r>
    <r>
      <rPr>
        <sz val="10"/>
        <rFont val="WenQuanYi Zen Hei"/>
        <family val="2"/>
      </rPr>
      <t xml:space="preserve">오전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같은 </t>
    </r>
    <r>
      <rPr>
        <sz val="10"/>
        <rFont val="맑은 고딕"/>
        <family val="0"/>
        <charset val="1"/>
      </rPr>
      <t xml:space="preserve">2,300</t>
    </r>
    <r>
      <rPr>
        <sz val="10"/>
        <rFont val="WenQuanYi Zen Hei"/>
        <family val="2"/>
      </rPr>
      <t xml:space="preserve">원이 </t>
    </r>
    <r>
      <rPr>
        <sz val="10"/>
        <rFont val="맑은 고딕"/>
        <family val="0"/>
        <charset val="1"/>
      </rPr>
      <t xml:space="preserve">10/2 </t>
    </r>
    <r>
      <rPr>
        <sz val="10"/>
        <rFont val="WenQuanYi Zen Hei"/>
        <family val="2"/>
      </rPr>
      <t xml:space="preserve">오후엔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.</t>
    </r>
  </si>
  <si>
    <t xml:space="preserve">유포라벨</t>
  </si>
  <si>
    <r>
      <rPr>
        <sz val="10"/>
        <rFont val="WenQuanYi Zen Hei"/>
        <family val="2"/>
      </rPr>
      <t xml:space="preserve">유포지 </t>
    </r>
    <r>
      <rPr>
        <sz val="10"/>
        <rFont val="맑은 고딕"/>
        <family val="0"/>
        <charset val="1"/>
      </rPr>
      <t xml:space="preserve">30*15</t>
    </r>
  </si>
  <si>
    <r>
      <rPr>
        <sz val="10"/>
        <rFont val="맑은 고딕"/>
        <family val="0"/>
        <charset val="1"/>
      </rPr>
      <t xml:space="preserve">1,500~6,000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</si>
  <si>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</si>
  <si>
    <t xml:space="preserve">디엘에스피</t>
  </si>
  <si>
    <r>
      <rPr>
        <b val="true"/>
        <sz val="10"/>
        <color rgb="FF0000FF"/>
        <rFont val="맑은 고딕"/>
        <family val="0"/>
        <charset val="1"/>
      </rPr>
      <t xml:space="preserve">3,500</t>
    </r>
    <r>
      <rPr>
        <b val="true"/>
        <sz val="10"/>
        <color rgb="FF0000FF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</si>
  <si>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3,500·4,000</t>
    </r>
    <r>
      <rPr>
        <sz val="10"/>
        <rFont val="WenQuanYi Zen Hei"/>
        <family val="2"/>
      </rPr>
      <t xml:space="preserve">원에서 메인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. 2,800~3,100</t>
    </r>
    <r>
      <rPr>
        <sz val="10"/>
        <rFont val="WenQuanYi Zen Hei"/>
        <family val="2"/>
      </rPr>
      <t xml:space="preserve">원은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가격비교는 </t>
    </r>
    <r>
      <rPr>
        <sz val="10"/>
        <rFont val="맑은 고딕"/>
        <family val="0"/>
        <charset val="1"/>
      </rPr>
      <t xml:space="preserve">6,000</t>
    </r>
    <r>
      <rPr>
        <sz val="10"/>
        <rFont val="WenQuanYi Zen Hei"/>
        <family val="2"/>
      </rPr>
      <t xml:space="preserve">원까지 올려도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.</t>
    </r>
  </si>
  <si>
    <t xml:space="preserve">감열라벨</t>
  </si>
  <si>
    <r>
      <rPr>
        <sz val="10"/>
        <rFont val="WenQuanYi Zen Hei"/>
        <family val="2"/>
      </rPr>
      <t xml:space="preserve">감열지 </t>
    </r>
    <r>
      <rPr>
        <sz val="10"/>
        <rFont val="맑은 고딕"/>
        <family val="0"/>
        <charset val="1"/>
      </rPr>
      <t xml:space="preserve">100*100</t>
    </r>
  </si>
  <si>
    <r>
      <rPr>
        <sz val="10"/>
        <rFont val="맑은 고딕"/>
        <family val="0"/>
        <charset val="1"/>
      </rPr>
      <t xml:space="preserve">2,000~3,900</t>
    </r>
    <r>
      <rPr>
        <sz val="10"/>
        <rFont val="WenQuanYi Zen Hei"/>
        <family val="2"/>
      </rPr>
      <t xml:space="preserve">원</t>
    </r>
  </si>
  <si>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 없음</t>
    </r>
  </si>
  <si>
    <r>
      <rPr>
        <b val="true"/>
        <sz val="10"/>
        <color rgb="FF0000FF"/>
        <rFont val="맑은 고딕"/>
        <family val="0"/>
        <charset val="1"/>
      </rPr>
      <t xml:space="preserve">2,500~2,800</t>
    </r>
    <r>
      <rPr>
        <b val="true"/>
        <sz val="10"/>
        <color rgb="FF0000FF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</si>
  <si>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2,500~3,900</t>
    </r>
    <r>
      <rPr>
        <sz val="10"/>
        <rFont val="WenQuanYi Zen Hei"/>
        <family val="2"/>
      </rPr>
      <t xml:space="preserve">원 모두 메인 </t>
    </r>
    <r>
      <rPr>
        <sz val="10"/>
        <rFont val="맑은 고딕"/>
        <family val="0"/>
        <charset val="1"/>
      </rPr>
      <t xml:space="preserve">2~3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위 디엘에스피</t>
    </r>
    <r>
      <rPr>
        <sz val="10"/>
        <rFont val="맑은 고딕"/>
        <family val="0"/>
        <charset val="1"/>
      </rPr>
      <t xml:space="preserve">(2,000</t>
    </r>
    <r>
      <rPr>
        <sz val="10"/>
        <rFont val="WenQuanYi Zen Hei"/>
        <family val="2"/>
      </rPr>
      <t xml:space="preserve">원 상품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라 입찰가로는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위가 어려움</t>
    </r>
    <r>
      <rPr>
        <sz val="10"/>
        <rFont val="맑은 고딕"/>
        <family val="0"/>
        <charset val="1"/>
      </rPr>
      <t xml:space="preserve">.</t>
    </r>
  </si>
  <si>
    <r>
      <rPr>
        <sz val="9"/>
        <color rgb="FF5A6270"/>
        <rFont val="WenQuanYi Zen Hei"/>
        <family val="2"/>
      </rPr>
      <t xml:space="preserve">권장 입찰가는 테스트 결과를 보고 정한 값입니다</t>
    </r>
    <r>
      <rPr>
        <sz val="9"/>
        <color rgb="FF5A6270"/>
        <rFont val="맑은 고딕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같은 입찰가라도 시간대에 따라 순위가 </t>
    </r>
    <r>
      <rPr>
        <sz val="9"/>
        <color rgb="FF5A6270"/>
        <rFont val="맑은 고딕"/>
        <family val="0"/>
        <charset val="1"/>
      </rPr>
      <t xml:space="preserve">1~2</t>
    </r>
    <r>
      <rPr>
        <sz val="9"/>
        <color rgb="FF5A6270"/>
        <rFont val="WenQuanYi Zen Hei"/>
        <family val="2"/>
      </rPr>
      <t xml:space="preserve">단계 바뀌었습니다</t>
    </r>
    <r>
      <rPr>
        <sz val="9"/>
        <color rgb="FF5A6270"/>
        <rFont val="맑은 고딕"/>
        <family val="0"/>
        <charset val="1"/>
      </rPr>
      <t xml:space="preserve">.</t>
    </r>
  </si>
  <si>
    <r>
      <rPr>
        <b val="true"/>
        <sz val="12"/>
        <color rgb="FF1F2A44"/>
        <rFont val="WenQuanYi Zen Hei"/>
        <family val="2"/>
      </rPr>
      <t xml:space="preserve">테스트 기간 판매 변화 </t>
    </r>
    <r>
      <rPr>
        <b val="true"/>
        <sz val="12"/>
        <color rgb="FF1F2A44"/>
        <rFont val="맑은 고딕"/>
        <family val="0"/>
        <charset val="1"/>
      </rPr>
      <t xml:space="preserve">(</t>
    </r>
    <r>
      <rPr>
        <b val="true"/>
        <sz val="12"/>
        <color rgb="FF1F2A44"/>
        <rFont val="WenQuanYi Zen Hei"/>
        <family val="2"/>
      </rPr>
      <t xml:space="preserve">테스트 전 </t>
    </r>
    <r>
      <rPr>
        <b val="true"/>
        <sz val="12"/>
        <color rgb="FF1F2A44"/>
        <rFont val="맑은 고딕"/>
        <family val="0"/>
        <charset val="1"/>
      </rPr>
      <t xml:space="preserve">9</t>
    </r>
    <r>
      <rPr>
        <b val="true"/>
        <sz val="12"/>
        <color rgb="FF1F2A44"/>
        <rFont val="WenQuanYi Zen Hei"/>
        <family val="2"/>
      </rPr>
      <t xml:space="preserve">일 </t>
    </r>
    <r>
      <rPr>
        <b val="true"/>
        <sz val="12"/>
        <color rgb="FF1F2A44"/>
        <rFont val="맑은 고딕"/>
        <family val="0"/>
        <charset val="1"/>
      </rPr>
      <t xml:space="preserve">vs </t>
    </r>
    <r>
      <rPr>
        <b val="true"/>
        <sz val="12"/>
        <color rgb="FF1F2A44"/>
        <rFont val="WenQuanYi Zen Hei"/>
        <family val="2"/>
      </rPr>
      <t xml:space="preserve">테스트 </t>
    </r>
    <r>
      <rPr>
        <b val="true"/>
        <sz val="12"/>
        <color rgb="FF1F2A44"/>
        <rFont val="맑은 고딕"/>
        <family val="0"/>
        <charset val="1"/>
      </rPr>
      <t xml:space="preserve">9</t>
    </r>
    <r>
      <rPr>
        <b val="true"/>
        <sz val="12"/>
        <color rgb="FF1F2A44"/>
        <rFont val="WenQuanYi Zen Hei"/>
        <family val="2"/>
      </rPr>
      <t xml:space="preserve">일</t>
    </r>
    <r>
      <rPr>
        <b val="true"/>
        <sz val="12"/>
        <color rgb="FF1F2A44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</si>
  <si>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테스트 전
</t>
    </r>
    <r>
      <rPr>
        <b val="true"/>
        <sz val="10"/>
        <color rgb="FFFFFFFF"/>
        <rFont val="맑은 고딕"/>
        <family val="0"/>
        <charset val="1"/>
      </rPr>
      <t xml:space="preserve">9/19~9/27
</t>
    </r>
    <r>
      <rPr>
        <b val="true"/>
        <sz val="10"/>
        <color rgb="FFFFFFFF"/>
        <rFont val="WenQuanYi Zen Hei"/>
        <family val="2"/>
      </rPr>
      <t xml:space="preserve">건수</t>
    </r>
  </si>
  <si>
    <t xml:space="preserve">테스트 전
롤</t>
  </si>
  <si>
    <r>
      <rPr>
        <b val="true"/>
        <sz val="10"/>
        <color rgb="FFFFFFFF"/>
        <rFont val="WenQuanYi Zen Hei"/>
        <family val="2"/>
      </rPr>
      <t xml:space="preserve">테스트 중
</t>
    </r>
    <r>
      <rPr>
        <b val="true"/>
        <sz val="10"/>
        <color rgb="FFFFFFFF"/>
        <rFont val="맑은 고딕"/>
        <family val="0"/>
        <charset val="1"/>
      </rPr>
      <t xml:space="preserve">9/28~10/6
</t>
    </r>
    <r>
      <rPr>
        <b val="true"/>
        <sz val="10"/>
        <color rgb="FFFFFFFF"/>
        <rFont val="WenQuanYi Zen Hei"/>
        <family val="2"/>
      </rPr>
      <t xml:space="preserve">건수</t>
    </r>
  </si>
  <si>
    <t xml:space="preserve">테스트 중
롤</t>
  </si>
  <si>
    <t xml:space="preserve">건수 변화</t>
  </si>
  <si>
    <t xml:space="preserve">롤 변화</t>
  </si>
  <si>
    <t xml:space="preserve">그중 전문몰
테스트 중 건수</t>
  </si>
  <si>
    <t xml:space="preserve">그중 전문몰
테스트 중 롤</t>
  </si>
  <si>
    <r>
      <rPr>
        <sz val="10"/>
        <rFont val="WenQuanYi Zen Hei"/>
        <family val="2"/>
      </rPr>
      <t xml:space="preserve">아트라벨 → 아트지 </t>
    </r>
    <r>
      <rPr>
        <sz val="10"/>
        <rFont val="맑은 고딕"/>
        <family val="0"/>
        <charset val="1"/>
      </rPr>
      <t xml:space="preserve">60*40</t>
    </r>
  </si>
  <si>
    <r>
      <rPr>
        <sz val="10"/>
        <rFont val="WenQuanYi Zen Hei"/>
        <family val="2"/>
      </rPr>
      <t xml:space="preserve">유포라벨 → 유포지 </t>
    </r>
    <r>
      <rPr>
        <sz val="10"/>
        <rFont val="맑은 고딕"/>
        <family val="0"/>
        <charset val="1"/>
      </rPr>
      <t xml:space="preserve">30*15</t>
    </r>
  </si>
  <si>
    <r>
      <rPr>
        <sz val="10"/>
        <rFont val="WenQuanYi Zen Hei"/>
        <family val="2"/>
      </rPr>
      <t xml:space="preserve">감열라벨 → 감열지 </t>
    </r>
    <r>
      <rPr>
        <sz val="10"/>
        <rFont val="맑은 고딕"/>
        <family val="0"/>
        <charset val="1"/>
      </rPr>
      <t xml:space="preserve">100*100</t>
    </r>
  </si>
  <si>
    <r>
      <rPr>
        <sz val="9"/>
        <color rgb="FF5A6270"/>
        <rFont val="WenQuanYi Zen Hei"/>
        <family val="2"/>
      </rPr>
      <t xml:space="preserve">광고 상품만 보면 → 아트지 </t>
    </r>
    <r>
      <rPr>
        <sz val="9"/>
        <color rgb="FF5A6270"/>
        <rFont val="맑은 고딕"/>
        <family val="0"/>
        <charset val="1"/>
      </rPr>
      <t xml:space="preserve">60*40: </t>
    </r>
    <r>
      <rPr>
        <sz val="9"/>
        <color rgb="FF5A6270"/>
        <rFont val="WenQuanYi Zen Hei"/>
        <family val="2"/>
      </rPr>
      <t xml:space="preserve">전문몰 </t>
    </r>
    <r>
      <rPr>
        <sz val="9"/>
        <color rgb="FF5A6270"/>
        <rFont val="맑은 고딕"/>
        <family val="0"/>
        <charset val="1"/>
      </rPr>
      <t xml:space="preserve">1</t>
    </r>
    <r>
      <rPr>
        <sz val="9"/>
        <color rgb="FF5A6270"/>
        <rFont val="WenQuanYi Zen Hei"/>
        <family val="2"/>
      </rPr>
      <t xml:space="preserve">건 → </t>
    </r>
    <r>
      <rPr>
        <sz val="9"/>
        <color rgb="FF5A6270"/>
        <rFont val="맑은 고딕"/>
        <family val="0"/>
        <charset val="1"/>
      </rPr>
      <t xml:space="preserve">0</t>
    </r>
    <r>
      <rPr>
        <sz val="9"/>
        <color rgb="FF5A6270"/>
        <rFont val="WenQuanYi Zen Hei"/>
        <family val="2"/>
      </rPr>
      <t xml:space="preserve">건 </t>
    </r>
    <r>
      <rPr>
        <sz val="9"/>
        <color rgb="FF5A6270"/>
        <rFont val="맑은 고딕"/>
        <family val="0"/>
        <charset val="1"/>
      </rPr>
      <t xml:space="preserve">(0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), </t>
    </r>
    <r>
      <rPr>
        <sz val="9"/>
        <color rgb="FF5A6270"/>
        <rFont val="WenQuanYi Zen Hei"/>
        <family val="2"/>
      </rPr>
      <t xml:space="preserve">전체 판매처 테스트 중 </t>
    </r>
    <r>
      <rPr>
        <sz val="9"/>
        <color rgb="FF5A6270"/>
        <rFont val="맑은 고딕"/>
        <family val="0"/>
        <charset val="1"/>
      </rPr>
      <t xml:space="preserve">2</t>
    </r>
    <r>
      <rPr>
        <sz val="9"/>
        <color rgb="FF5A6270"/>
        <rFont val="WenQuanYi Zen Hei"/>
        <family val="2"/>
      </rPr>
      <t xml:space="preserve">건 </t>
    </r>
    <r>
      <rPr>
        <sz val="9"/>
        <color rgb="FF5A6270"/>
        <rFont val="맑은 고딕"/>
        <family val="0"/>
        <charset val="1"/>
      </rPr>
      <t xml:space="preserve">2</t>
    </r>
    <r>
      <rPr>
        <sz val="9"/>
        <color rgb="FF5A6270"/>
        <rFont val="WenQuanYi Zen Hei"/>
        <family val="2"/>
      </rPr>
      <t xml:space="preserve">롤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유포지 </t>
    </r>
    <r>
      <rPr>
        <sz val="9"/>
        <color rgb="FF5A6270"/>
        <rFont val="맑은 고딕"/>
        <family val="0"/>
        <charset val="1"/>
      </rPr>
      <t xml:space="preserve">30*15: </t>
    </r>
    <r>
      <rPr>
        <sz val="9"/>
        <color rgb="FF5A6270"/>
        <rFont val="WenQuanYi Zen Hei"/>
        <family val="2"/>
      </rPr>
      <t xml:space="preserve">전문몰 </t>
    </r>
    <r>
      <rPr>
        <sz val="9"/>
        <color rgb="FF5A6270"/>
        <rFont val="맑은 고딕"/>
        <family val="0"/>
        <charset val="1"/>
      </rPr>
      <t xml:space="preserve">0</t>
    </r>
    <r>
      <rPr>
        <sz val="9"/>
        <color rgb="FF5A6270"/>
        <rFont val="WenQuanYi Zen Hei"/>
        <family val="2"/>
      </rPr>
      <t xml:space="preserve">건 → </t>
    </r>
    <r>
      <rPr>
        <sz val="9"/>
        <color rgb="FF5A6270"/>
        <rFont val="맑은 고딕"/>
        <family val="0"/>
        <charset val="1"/>
      </rPr>
      <t xml:space="preserve">2</t>
    </r>
    <r>
      <rPr>
        <sz val="9"/>
        <color rgb="FF5A6270"/>
        <rFont val="WenQuanYi Zen Hei"/>
        <family val="2"/>
      </rPr>
      <t xml:space="preserve">건 </t>
    </r>
    <r>
      <rPr>
        <sz val="9"/>
        <color rgb="FF5A6270"/>
        <rFont val="맑은 고딕"/>
        <family val="0"/>
        <charset val="1"/>
      </rPr>
      <t xml:space="preserve">(2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), </t>
    </r>
    <r>
      <rPr>
        <sz val="9"/>
        <color rgb="FF5A6270"/>
        <rFont val="WenQuanYi Zen Hei"/>
        <family val="2"/>
      </rPr>
      <t xml:space="preserve">전체 판매처 테스트 중 </t>
    </r>
    <r>
      <rPr>
        <sz val="9"/>
        <color rgb="FF5A6270"/>
        <rFont val="맑은 고딕"/>
        <family val="0"/>
        <charset val="1"/>
      </rPr>
      <t xml:space="preserve">2</t>
    </r>
    <r>
      <rPr>
        <sz val="9"/>
        <color rgb="FF5A6270"/>
        <rFont val="WenQuanYi Zen Hei"/>
        <family val="2"/>
      </rPr>
      <t xml:space="preserve">건 </t>
    </r>
    <r>
      <rPr>
        <sz val="9"/>
        <color rgb="FF5A6270"/>
        <rFont val="맑은 고딕"/>
        <family val="0"/>
        <charset val="1"/>
      </rPr>
      <t xml:space="preserve">2</t>
    </r>
    <r>
      <rPr>
        <sz val="9"/>
        <color rgb="FF5A6270"/>
        <rFont val="WenQuanYi Zen Hei"/>
        <family val="2"/>
      </rPr>
      <t xml:space="preserve">롤 </t>
    </r>
    <r>
      <rPr>
        <sz val="9"/>
        <color rgb="FF5A6270"/>
        <rFont val="맑은 고딕"/>
        <family val="0"/>
        <charset val="1"/>
      </rPr>
      <t xml:space="preserve">· </t>
    </r>
    <r>
      <rPr>
        <sz val="9"/>
        <color rgb="FF5A6270"/>
        <rFont val="WenQuanYi Zen Hei"/>
        <family val="2"/>
      </rPr>
      <t xml:space="preserve">감열지 </t>
    </r>
    <r>
      <rPr>
        <sz val="9"/>
        <color rgb="FF5A6270"/>
        <rFont val="맑은 고딕"/>
        <family val="0"/>
        <charset val="1"/>
      </rPr>
      <t xml:space="preserve">100*100: </t>
    </r>
    <r>
      <rPr>
        <sz val="9"/>
        <color rgb="FF5A6270"/>
        <rFont val="WenQuanYi Zen Hei"/>
        <family val="2"/>
      </rPr>
      <t xml:space="preserve">전문몰 </t>
    </r>
    <r>
      <rPr>
        <sz val="9"/>
        <color rgb="FF5A6270"/>
        <rFont val="맑은 고딕"/>
        <family val="0"/>
        <charset val="1"/>
      </rPr>
      <t xml:space="preserve">0</t>
    </r>
    <r>
      <rPr>
        <sz val="9"/>
        <color rgb="FF5A6270"/>
        <rFont val="WenQuanYi Zen Hei"/>
        <family val="2"/>
      </rPr>
      <t xml:space="preserve">건 → </t>
    </r>
    <r>
      <rPr>
        <sz val="9"/>
        <color rgb="FF5A6270"/>
        <rFont val="맑은 고딕"/>
        <family val="0"/>
        <charset val="1"/>
      </rPr>
      <t xml:space="preserve">0</t>
    </r>
    <r>
      <rPr>
        <sz val="9"/>
        <color rgb="FF5A6270"/>
        <rFont val="WenQuanYi Zen Hei"/>
        <family val="2"/>
      </rPr>
      <t xml:space="preserve">건 </t>
    </r>
    <r>
      <rPr>
        <sz val="9"/>
        <color rgb="FF5A6270"/>
        <rFont val="맑은 고딕"/>
        <family val="0"/>
        <charset val="1"/>
      </rPr>
      <t xml:space="preserve">(0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맑은 고딕"/>
        <family val="0"/>
        <charset val="1"/>
      </rPr>
      <t xml:space="preserve">), </t>
    </r>
    <r>
      <rPr>
        <sz val="9"/>
        <color rgb="FF5A6270"/>
        <rFont val="WenQuanYi Zen Hei"/>
        <family val="2"/>
      </rPr>
      <t xml:space="preserve">전체 판매처 테스트 중 </t>
    </r>
    <r>
      <rPr>
        <sz val="9"/>
        <color rgb="FF5A6270"/>
        <rFont val="맑은 고딕"/>
        <family val="0"/>
        <charset val="1"/>
      </rPr>
      <t xml:space="preserve">2</t>
    </r>
    <r>
      <rPr>
        <sz val="9"/>
        <color rgb="FF5A6270"/>
        <rFont val="WenQuanYi Zen Hei"/>
        <family val="2"/>
      </rPr>
      <t xml:space="preserve">건 </t>
    </r>
    <r>
      <rPr>
        <sz val="9"/>
        <color rgb="FF5A6270"/>
        <rFont val="맑은 고딕"/>
        <family val="0"/>
        <charset val="1"/>
      </rPr>
      <t xml:space="preserve">7</t>
    </r>
    <r>
      <rPr>
        <sz val="9"/>
        <color rgb="FF5A6270"/>
        <rFont val="WenQuanYi Zen Hei"/>
        <family val="2"/>
      </rPr>
      <t xml:space="preserve">롤</t>
    </r>
  </si>
  <si>
    <r>
      <rPr>
        <sz val="10"/>
        <color rgb="FF1F2A44"/>
        <rFont val="WenQuanYi Zen Hei"/>
        <family val="2"/>
      </rPr>
      <t xml:space="preserve">정리</t>
    </r>
    <r>
      <rPr>
        <sz val="10"/>
        <color rgb="FF1F2A44"/>
        <rFont val="맑은 고딕"/>
        <family val="0"/>
        <charset val="1"/>
      </rPr>
      <t xml:space="preserve">: </t>
    </r>
    <r>
      <rPr>
        <sz val="10"/>
        <color rgb="FF1F2A44"/>
        <rFont val="WenQuanYi Zen Hei"/>
        <family val="2"/>
      </rPr>
      <t xml:space="preserve">테스트 기간에 판매가 늘었지만</t>
    </r>
    <r>
      <rPr>
        <sz val="10"/>
        <color rgb="FF1F2A44"/>
        <rFont val="맑은 고딕"/>
        <family val="0"/>
        <charset val="1"/>
      </rPr>
      <t xml:space="preserve">, </t>
    </r>
    <r>
      <rPr>
        <sz val="10"/>
        <color rgb="FF1F2A44"/>
        <rFont val="WenQuanYi Zen Hei"/>
        <family val="2"/>
      </rPr>
      <t xml:space="preserve">쿠팡 대량 주문</t>
    </r>
    <r>
      <rPr>
        <sz val="10"/>
        <color rgb="FF1F2A44"/>
        <rFont val="맑은 고딕"/>
        <family val="0"/>
        <charset val="1"/>
      </rPr>
      <t xml:space="preserve">(</t>
    </r>
    <r>
      <rPr>
        <sz val="10"/>
        <color rgb="FF1F2A44"/>
        <rFont val="WenQuanYi Zen Hei"/>
        <family val="2"/>
      </rPr>
      <t xml:space="preserve">아트지 </t>
    </r>
    <r>
      <rPr>
        <sz val="10"/>
        <color rgb="FF1F2A44"/>
        <rFont val="맑은 고딕"/>
        <family val="0"/>
        <charset val="1"/>
      </rPr>
      <t xml:space="preserve">40*20 12</t>
    </r>
    <r>
      <rPr>
        <sz val="10"/>
        <color rgb="FF1F2A44"/>
        <rFont val="WenQuanYi Zen Hei"/>
        <family val="2"/>
      </rPr>
      <t xml:space="preserve">롤</t>
    </r>
    <r>
      <rPr>
        <sz val="10"/>
        <color rgb="FF1F2A44"/>
        <rFont val="맑은 고딕"/>
        <family val="0"/>
        <charset val="1"/>
      </rPr>
      <t xml:space="preserve">, </t>
    </r>
    <r>
      <rPr>
        <sz val="10"/>
        <color rgb="FF1F2A44"/>
        <rFont val="WenQuanYi Zen Hei"/>
        <family val="2"/>
      </rPr>
      <t xml:space="preserve">감열지 </t>
    </r>
    <r>
      <rPr>
        <sz val="10"/>
        <color rgb="FF1F2A44"/>
        <rFont val="맑은 고딕"/>
        <family val="0"/>
        <charset val="1"/>
      </rPr>
      <t xml:space="preserve">80*70 10</t>
    </r>
    <r>
      <rPr>
        <sz val="10"/>
        <color rgb="FF1F2A44"/>
        <rFont val="WenQuanYi Zen Hei"/>
        <family val="2"/>
      </rPr>
      <t xml:space="preserve">롤</t>
    </r>
    <r>
      <rPr>
        <sz val="10"/>
        <color rgb="FF1F2A44"/>
        <rFont val="맑은 고딕"/>
        <family val="0"/>
        <charset val="1"/>
      </rPr>
      <t xml:space="preserve">)</t>
    </r>
    <r>
      <rPr>
        <sz val="10"/>
        <color rgb="FF1F2A44"/>
        <rFont val="WenQuanYi Zen Hei"/>
        <family val="2"/>
      </rPr>
      <t xml:space="preserve">과 코스모스몰 </t>
    </r>
    <r>
      <rPr>
        <sz val="10"/>
        <color rgb="FF1F2A44"/>
        <rFont val="맑은 고딕"/>
        <family val="0"/>
        <charset val="1"/>
      </rPr>
      <t xml:space="preserve">6</t>
    </r>
    <r>
      <rPr>
        <sz val="10"/>
        <color rgb="FF1F2A44"/>
        <rFont val="WenQuanYi Zen Hei"/>
        <family val="2"/>
      </rPr>
      <t xml:space="preserve">롤이 커서 입찰가 변경 효과로만 보기는 어렵습니다</t>
    </r>
    <r>
      <rPr>
        <sz val="10"/>
        <color rgb="FF1F2A44"/>
        <rFont val="맑은 고딕"/>
        <family val="0"/>
        <charset val="1"/>
      </rPr>
      <t xml:space="preserve">. </t>
    </r>
    <r>
      <rPr>
        <sz val="10"/>
        <color rgb="FF1F2A44"/>
        <rFont val="WenQuanYi Zen Hei"/>
        <family val="2"/>
      </rPr>
      <t xml:space="preserve">전문몰에서는 유포지</t>
    </r>
    <r>
      <rPr>
        <sz val="10"/>
        <color rgb="FF1F2A44"/>
        <rFont val="맑은 고딕"/>
        <family val="0"/>
        <charset val="1"/>
      </rPr>
      <t xml:space="preserve">(</t>
    </r>
    <r>
      <rPr>
        <sz val="10"/>
        <color rgb="FF1F2A44"/>
        <rFont val="WenQuanYi Zen Hei"/>
        <family val="2"/>
      </rPr>
      <t xml:space="preserve">유포라벨</t>
    </r>
    <r>
      <rPr>
        <sz val="10"/>
        <color rgb="FF1F2A44"/>
        <rFont val="맑은 고딕"/>
        <family val="0"/>
        <charset val="1"/>
      </rPr>
      <t xml:space="preserve">) </t>
    </r>
    <r>
      <rPr>
        <sz val="10"/>
        <color rgb="FF1F2A44"/>
        <rFont val="WenQuanYi Zen Hei"/>
        <family val="2"/>
      </rPr>
      <t xml:space="preserve">판매가 </t>
    </r>
    <r>
      <rPr>
        <sz val="10"/>
        <color rgb="FF1F2A44"/>
        <rFont val="맑은 고딕"/>
        <family val="0"/>
        <charset val="1"/>
      </rPr>
      <t xml:space="preserve">3</t>
    </r>
    <r>
      <rPr>
        <sz val="10"/>
        <color rgb="FF1F2A44"/>
        <rFont val="WenQuanYi Zen Hei"/>
        <family val="2"/>
      </rPr>
      <t xml:space="preserve">건 생겼습니다</t>
    </r>
    <r>
      <rPr>
        <sz val="10"/>
        <color rgb="FF1F2A44"/>
        <rFont val="맑은 고딕"/>
        <family val="0"/>
        <charset val="1"/>
      </rPr>
      <t xml:space="preserve">.</t>
    </r>
  </si>
  <si>
    <r>
      <rPr>
        <b val="true"/>
        <sz val="12"/>
        <color rgb="FF1F2A44"/>
        <rFont val="WenQuanYi Zen Hei"/>
        <family val="2"/>
      </rPr>
      <t xml:space="preserve">재질별 입찰가 → 순위 </t>
    </r>
    <r>
      <rPr>
        <b val="true"/>
        <sz val="12"/>
        <color rgb="FF1F2A44"/>
        <rFont val="맑은 고딕"/>
        <family val="0"/>
        <charset val="1"/>
      </rPr>
      <t xml:space="preserve">(</t>
    </r>
    <r>
      <rPr>
        <b val="true"/>
        <sz val="12"/>
        <color rgb="FF1F2A44"/>
        <rFont val="WenQuanYi Zen Hei"/>
        <family val="2"/>
      </rPr>
      <t xml:space="preserve">입찰가 낮은 순</t>
    </r>
    <r>
      <rPr>
        <b val="true"/>
        <sz val="12"/>
        <color rgb="FF1F2A44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</si>
  <si>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아트지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아트라벨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아트지 </t>
    </r>
    <r>
      <rPr>
        <b val="true"/>
        <sz val="10"/>
        <color rgb="FFFFFFFF"/>
        <rFont val="맑은 고딕"/>
        <family val="0"/>
        <charset val="1"/>
      </rPr>
      <t xml:space="preserve">60*40</t>
    </r>
  </si>
  <si>
    <t xml:space="preserve">입찰가</t>
  </si>
  <si>
    <t xml:space="preserve">조사 횟수</t>
  </si>
  <si>
    <r>
      <rPr>
        <b val="true"/>
        <sz val="10"/>
        <color rgb="FFFFFFFF"/>
        <rFont val="WenQuanYi Zen Hei"/>
        <family val="2"/>
      </rPr>
      <t xml:space="preserve">메인 순위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조사한 순서대로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</si>
  <si>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가격비교 순위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조사한 순서대로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</si>
  <si>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메인 최고</t>
  </si>
  <si>
    <t xml:space="preserve">가격비교 최고</t>
  </si>
  <si>
    <t xml:space="preserve">메모</t>
  </si>
  <si>
    <t xml:space="preserve">조사 안 함</t>
  </si>
  <si>
    <t xml:space="preserve">-</t>
  </si>
  <si>
    <t xml:space="preserve">  9/29 10:39</t>
  </si>
  <si>
    <r>
      <rPr>
        <sz val="10"/>
        <color rgb="FF5A6270"/>
        <rFont val="WenQuanYi Zen Hei"/>
        <family val="2"/>
      </rPr>
      <t xml:space="preserve">오전</t>
    </r>
    <r>
      <rPr>
        <sz val="10"/>
        <color rgb="FF5A6270"/>
        <rFont val="맑은 고딕"/>
        <family val="0"/>
        <charset val="1"/>
      </rPr>
      <t xml:space="preserve">(09~12)</t>
    </r>
  </si>
  <si>
    <r>
      <rPr>
        <sz val="10"/>
        <color rgb="FF5A6270"/>
        <rFont val="맑은 고딕"/>
        <family val="0"/>
        <charset val="1"/>
      </rPr>
      <t xml:space="preserve">2</t>
    </r>
    <r>
      <rPr>
        <sz val="10"/>
        <color rgb="FF5A6270"/>
        <rFont val="WenQuanYi Zen Hei"/>
        <family val="2"/>
      </rPr>
      <t xml:space="preserve">위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</si>
  <si>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위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</si>
  <si>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4</t>
    </r>
    <r>
      <rPr>
        <sz val="10"/>
        <rFont val="WenQuanYi Zen Hei"/>
        <family val="2"/>
      </rPr>
      <t xml:space="preserve">위</t>
    </r>
  </si>
  <si>
    <r>
      <rPr>
        <b val="true"/>
        <sz val="10"/>
        <color rgb="FF1D7A3E"/>
        <rFont val="맑은 고딕"/>
        <family val="0"/>
        <charset val="1"/>
      </rPr>
      <t xml:space="preserve">1</t>
    </r>
    <r>
      <rPr>
        <b val="true"/>
        <sz val="10"/>
        <color rgb="FF1D7A3E"/>
        <rFont val="WenQuanYi Zen Hei"/>
        <family val="2"/>
      </rPr>
      <t xml:space="preserve">위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</si>
  <si>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위</t>
    </r>
  </si>
  <si>
    <t xml:space="preserve">  10/2 15:18</t>
  </si>
  <si>
    <r>
      <rPr>
        <sz val="10"/>
        <color rgb="FF5A6270"/>
        <rFont val="WenQuanYi Zen Hei"/>
        <family val="2"/>
      </rPr>
      <t xml:space="preserve">오후</t>
    </r>
    <r>
      <rPr>
        <sz val="10"/>
        <color rgb="FF5A6270"/>
        <rFont val="맑은 고딕"/>
        <family val="0"/>
        <charset val="1"/>
      </rPr>
      <t xml:space="preserve">(14~18)</t>
    </r>
  </si>
  <si>
    <r>
      <rPr>
        <sz val="10"/>
        <color rgb="FF5A6270"/>
        <rFont val="맑은 고딕"/>
        <family val="0"/>
        <charset val="1"/>
      </rPr>
      <t xml:space="preserve">4</t>
    </r>
    <r>
      <rPr>
        <sz val="10"/>
        <color rgb="FF5A6270"/>
        <rFont val="WenQuanYi Zen Hei"/>
        <family val="2"/>
      </rPr>
      <t xml:space="preserve">위</t>
    </r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</si>
  <si>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포스틱라벨스토어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하이하이몰</t>
    </r>
  </si>
  <si>
    <t xml:space="preserve">  10/6 10:59</t>
  </si>
  <si>
    <r>
      <rPr>
        <sz val="10"/>
        <color rgb="FF5A6270"/>
        <rFont val="맑은 고딕"/>
        <family val="0"/>
        <charset val="1"/>
      </rPr>
      <t xml:space="preserve">1</t>
    </r>
    <r>
      <rPr>
        <sz val="10"/>
        <color rgb="FF5A6270"/>
        <rFont val="WenQuanYi Zen Hei"/>
        <family val="2"/>
      </rPr>
      <t xml:space="preserve">위</t>
    </r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</si>
  <si>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포스틱라벨스토어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아이플랜스토어</t>
    </r>
  </si>
  <si>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위</t>
    </r>
  </si>
  <si>
    <t xml:space="preserve">  10/2 13:01</t>
  </si>
  <si>
    <r>
      <rPr>
        <sz val="10"/>
        <color rgb="FF5A6270"/>
        <rFont val="WenQuanYi Zen Hei"/>
        <family val="2"/>
      </rPr>
      <t xml:space="preserve">점심</t>
    </r>
    <r>
      <rPr>
        <sz val="10"/>
        <color rgb="FF5A6270"/>
        <rFont val="맑은 고딕"/>
        <family val="0"/>
        <charset val="1"/>
      </rPr>
      <t xml:space="preserve">(12~14)</t>
    </r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</si>
  <si>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하이하이몰</t>
    </r>
  </si>
  <si>
    <t xml:space="preserve">  10/2 11:35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</si>
  <si>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위</t>
    </r>
  </si>
  <si>
    <t xml:space="preserve">  9/29 14:03</t>
  </si>
  <si>
    <t xml:space="preserve">  9/30 15:47</t>
  </si>
  <si>
    <r>
      <rPr>
        <sz val="10"/>
        <color rgb="FF5A6270"/>
        <rFont val="맑은 고딕"/>
        <family val="0"/>
        <charset val="1"/>
      </rPr>
      <t xml:space="preserve">3</t>
    </r>
    <r>
      <rPr>
        <sz val="10"/>
        <color rgb="FF5A6270"/>
        <rFont val="WenQuanYi Zen Hei"/>
        <family val="2"/>
      </rPr>
      <t xml:space="preserve">위</t>
    </r>
  </si>
  <si>
    <t xml:space="preserve">  10/1 15:43</t>
  </si>
  <si>
    <r>
      <rPr>
        <b val="true"/>
        <sz val="10"/>
        <color rgb="FFFFFFFF"/>
        <rFont val="WenQuanYi Zen Hei"/>
        <family val="2"/>
      </rPr>
      <t xml:space="preserve">유포지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유포라벨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유포지 </t>
    </r>
    <r>
      <rPr>
        <b val="true"/>
        <sz val="10"/>
        <color rgb="FFFFFFFF"/>
        <rFont val="맑은 고딕"/>
        <family val="0"/>
        <charset val="1"/>
      </rPr>
      <t xml:space="preserve">30*15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</si>
  <si>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페이지 중단</t>
    </r>
  </si>
  <si>
    <t xml:space="preserve">  9/28 13:42</t>
  </si>
  <si>
    <r>
      <rPr>
        <sz val="10"/>
        <color rgb="FF5A6270"/>
        <rFont val="맑은 고딕"/>
        <family val="0"/>
        <charset val="1"/>
      </rPr>
      <t xml:space="preserve">1</t>
    </r>
    <r>
      <rPr>
        <sz val="10"/>
        <color rgb="FF5A6270"/>
        <rFont val="WenQuanYi Zen Hei"/>
        <family val="2"/>
      </rPr>
      <t xml:space="preserve">페이지 중단</t>
    </r>
  </si>
  <si>
    <r>
      <rPr>
        <sz val="10"/>
        <color rgb="FF5A6270"/>
        <rFont val="WenQuanYi Zen Hei"/>
        <family val="2"/>
      </rPr>
      <t xml:space="preserve">가격비교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포스틱라벨스토어</t>
    </r>
  </si>
  <si>
    <t xml:space="preserve">  9/28 15:37</t>
  </si>
  <si>
    <t xml:space="preserve">  9/28 15:50</t>
  </si>
  <si>
    <t xml:space="preserve">  10/2 11:39</t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</si>
  <si>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디엘에스피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</si>
  <si>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4</t>
    </r>
    <r>
      <rPr>
        <sz val="10"/>
        <rFont val="WenQuanYi Zen Hei"/>
        <family val="2"/>
      </rPr>
      <t xml:space="preserve">위</t>
    </r>
  </si>
  <si>
    <t xml:space="preserve">  9/28 15:56</t>
  </si>
  <si>
    <r>
      <rPr>
        <sz val="10"/>
        <color rgb="FF5A6270"/>
        <rFont val="WenQuanYi Zen Hei"/>
        <family val="2"/>
      </rPr>
      <t xml:space="preserve">가격비교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포스틱라벨스토어</t>
    </r>
  </si>
  <si>
    <t xml:space="preserve">  10/2 13:05</t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</si>
  <si>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포스틱라벨스토어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</si>
  <si>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위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</si>
  <si>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4</t>
    </r>
    <r>
      <rPr>
        <sz val="10"/>
        <rFont val="WenQuanYi Zen Hei"/>
        <family val="2"/>
      </rPr>
      <t xml:space="preserve">위</t>
    </r>
  </si>
  <si>
    <t xml:space="preserve">  9/28 </t>
  </si>
  <si>
    <t xml:space="preserve">  9/29 10:40</t>
  </si>
  <si>
    <r>
      <rPr>
        <sz val="10"/>
        <color rgb="FF5A6270"/>
        <rFont val="WenQuanYi Zen Hei"/>
        <family val="2"/>
      </rPr>
      <t xml:space="preserve">오전</t>
    </r>
    <r>
      <rPr>
        <sz val="10"/>
        <color rgb="FF5A6270"/>
        <rFont val="맑은 고딕"/>
        <family val="0"/>
        <charset val="1"/>
      </rPr>
      <t xml:space="preserve">(09~13)</t>
    </r>
  </si>
  <si>
    <t xml:space="preserve">  10/2 15:19</t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</si>
  <si>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디엘에스피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</si>
  <si>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위</t>
    </r>
  </si>
  <si>
    <t xml:space="preserve">  9/29 14:04</t>
  </si>
  <si>
    <t xml:space="preserve">  9/29 14:53</t>
  </si>
  <si>
    <t xml:space="preserve">  9/29 17:01</t>
  </si>
  <si>
    <r>
      <rPr>
        <b val="true"/>
        <sz val="10"/>
        <color rgb="FFFFFFFF"/>
        <rFont val="WenQuanYi Zen Hei"/>
        <family val="2"/>
      </rPr>
      <t xml:space="preserve">감열지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감열라벨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감열지 </t>
    </r>
    <r>
      <rPr>
        <b val="true"/>
        <sz val="10"/>
        <color rgb="FFFFFFFF"/>
        <rFont val="맑은 고딕"/>
        <family val="0"/>
        <charset val="1"/>
      </rPr>
      <t xml:space="preserve">100*100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</si>
  <si>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페이지 중단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페이지 중단</t>
    </r>
  </si>
  <si>
    <t xml:space="preserve">  10/1 16:43</t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</si>
  <si>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위</t>
    </r>
  </si>
  <si>
    <t xml:space="preserve">  10/2 11:37</t>
  </si>
  <si>
    <r>
      <rPr>
        <sz val="10"/>
        <color rgb="FF5A6270"/>
        <rFont val="맑은 고딕"/>
        <family val="0"/>
        <charset val="1"/>
      </rPr>
      <t xml:space="preserve">5</t>
    </r>
    <r>
      <rPr>
        <sz val="10"/>
        <color rgb="FF5A6270"/>
        <rFont val="WenQuanYi Zen Hei"/>
        <family val="2"/>
      </rPr>
      <t xml:space="preserve">위</t>
    </r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</si>
  <si>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조타라벨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</si>
  <si>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위</t>
    </r>
  </si>
  <si>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위</t>
    </r>
  </si>
  <si>
    <t xml:space="preserve">  10/2 13:03</t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</si>
  <si>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우주사무기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</t>
    </r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</si>
  <si>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우주사무기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우주사무기</t>
    </r>
  </si>
  <si>
    <r>
      <rPr>
        <sz val="10"/>
        <color rgb="FF5A6270"/>
        <rFont val="WenQuanYi Zen Hei"/>
        <family val="2"/>
      </rPr>
      <t xml:space="preserve">메인 </t>
    </r>
    <r>
      <rPr>
        <sz val="10"/>
        <color rgb="FF5A6270"/>
        <rFont val="맑은 고딕"/>
        <family val="0"/>
        <charset val="1"/>
      </rPr>
      <t xml:space="preserve">1~3</t>
    </r>
    <r>
      <rPr>
        <sz val="10"/>
        <color rgb="FF5A6270"/>
        <rFont val="WenQuanYi Zen Hei"/>
        <family val="2"/>
      </rPr>
      <t xml:space="preserve">위</t>
    </r>
    <r>
      <rPr>
        <sz val="10"/>
        <color rgb="FF5A6270"/>
        <rFont val="맑은 고딕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디엘에스피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전문몰 </t>
    </r>
    <r>
      <rPr>
        <sz val="10"/>
        <color rgb="FF5A6270"/>
        <rFont val="맑은 고딕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우주사무기</t>
    </r>
  </si>
  <si>
    <t xml:space="preserve">  10/6 14:23</t>
  </si>
  <si>
    <t xml:space="preserve">  10/6 16:56</t>
  </si>
  <si>
    <r>
      <rPr>
        <sz val="9"/>
        <color rgb="FF5A6270"/>
        <rFont val="WenQuanYi Zen Hei"/>
        <family val="2"/>
      </rPr>
      <t xml:space="preserve">출처</t>
    </r>
    <r>
      <rPr>
        <sz val="9"/>
        <color rgb="FF5A6270"/>
        <rFont val="맑은 고딕"/>
        <family val="0"/>
        <charset val="1"/>
      </rPr>
      <t xml:space="preserve">: </t>
    </r>
    <r>
      <rPr>
        <sz val="9"/>
        <color rgb="FF5A6270"/>
        <rFont val="WenQuanYi Zen Hei"/>
        <family val="2"/>
      </rPr>
      <t xml:space="preserve">바코드프린터 네이버쇼핑 광고 입찰 관리 엑셀 ‘</t>
    </r>
    <r>
      <rPr>
        <sz val="9"/>
        <color rgb="FF5A6270"/>
        <rFont val="맑은 고딕"/>
        <family val="0"/>
        <charset val="1"/>
      </rPr>
      <t xml:space="preserve">02_</t>
    </r>
    <r>
      <rPr>
        <sz val="9"/>
        <color rgb="FF5A6270"/>
        <rFont val="WenQuanYi Zen Hei"/>
        <family val="2"/>
      </rPr>
      <t xml:space="preserve">입찰조사</t>
    </r>
    <r>
      <rPr>
        <sz val="9"/>
        <color rgb="FF5A6270"/>
        <rFont val="맑은 고딕"/>
        <family val="0"/>
        <charset val="1"/>
      </rPr>
      <t xml:space="preserve">_RAW’ (</t>
    </r>
    <r>
      <rPr>
        <sz val="9"/>
        <color rgb="FF5A6270"/>
        <rFont val="WenQuanYi Zen Hei"/>
        <family val="2"/>
      </rPr>
      <t xml:space="preserve">유포</t>
    </r>
    <r>
      <rPr>
        <sz val="9"/>
        <color rgb="FF5A6270"/>
        <rFont val="맑은 고딕"/>
        <family val="0"/>
        <charset val="1"/>
      </rPr>
      <t xml:space="preserve">·</t>
    </r>
    <r>
      <rPr>
        <sz val="9"/>
        <color rgb="FF5A6270"/>
        <rFont val="WenQuanYi Zen Hei"/>
        <family val="2"/>
      </rPr>
      <t xml:space="preserve">감열</t>
    </r>
    <r>
      <rPr>
        <sz val="9"/>
        <color rgb="FF5A6270"/>
        <rFont val="맑은 고딕"/>
        <family val="0"/>
        <charset val="1"/>
      </rPr>
      <t xml:space="preserve">·</t>
    </r>
    <r>
      <rPr>
        <sz val="9"/>
        <color rgb="FF5A6270"/>
        <rFont val="WenQuanYi Zen Hei"/>
        <family val="2"/>
      </rPr>
      <t xml:space="preserve">아트라벨</t>
    </r>
    <r>
      <rPr>
        <sz val="9"/>
        <color rgb="FF5A6270"/>
        <rFont val="맑은 고딕"/>
        <family val="0"/>
        <charset val="1"/>
      </rPr>
      <t xml:space="preserve">, 9/28~10/6 33</t>
    </r>
    <r>
      <rPr>
        <sz val="9"/>
        <color rgb="FF5A6270"/>
        <rFont val="WenQuanYi Zen Hei"/>
        <family val="2"/>
      </rPr>
      <t xml:space="preserve">회 조사</t>
    </r>
    <r>
      <rPr>
        <sz val="9"/>
        <color rgb="FF5A6270"/>
        <rFont val="맑은 고딕"/>
        <family val="0"/>
        <charset val="1"/>
      </rPr>
      <t xml:space="preserve">). </t>
    </r>
    <r>
      <rPr>
        <sz val="9"/>
        <color rgb="FF5A6270"/>
        <rFont val="WenQuanYi Zen Hei"/>
        <family val="2"/>
      </rPr>
      <t xml:space="preserve">순위가 “</t>
    </r>
    <r>
      <rPr>
        <sz val="9"/>
        <color rgb="FF5A6270"/>
        <rFont val="맑은 고딕"/>
        <family val="0"/>
        <charset val="1"/>
      </rPr>
      <t xml:space="preserve">1</t>
    </r>
    <r>
      <rPr>
        <sz val="9"/>
        <color rgb="FF5A6270"/>
        <rFont val="WenQuanYi Zen Hei"/>
        <family val="2"/>
      </rPr>
      <t xml:space="preserve">페이지 중단”처럼 적힌 조사는 숫자 순위 없음으로 봤습니다</t>
    </r>
    <r>
      <rPr>
        <sz val="9"/>
        <color rgb="FF5A6270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</si>
</sst>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-#,##0;\-"/>
    <numFmt numFmtId="166" formatCode="0%"/>
    <numFmt numFmtId="167" formatCode="#,##0;\-#,##0;&quot;-원&quot;"/>
    <numFmt numFmtId="168" formatCode="\+#,##0;\-#,##0;0"/>
    <numFmt numFmtId="169" formatCode="0\회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2A44"/>
      <name val="WenQuanYi Zen Hei"/>
      <family val="2"/>
    </font>
    <font>
      <b val="true"/>
      <sz val="15"/>
      <color rgb="FF1F2A44"/>
      <name val="맑은 고딕"/>
      <family val="0"/>
      <charset val="1"/>
    </font>
    <font>
      <sz val="9"/>
      <color rgb="FF5A6270"/>
      <name val="WenQuanYi Zen Hei"/>
      <family val="2"/>
    </font>
    <font>
      <sz val="9"/>
      <color rgb="FF5A6270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color rgb="FF0000FF"/>
      <name val="맑은 고딕"/>
      <family val="0"/>
      <charset val="1"/>
    </font>
    <font>
      <sz val="10"/>
      <color rgb="FF0000FF"/>
      <name val="맑은 고딕"/>
      <family val="0"/>
      <charset val="1"/>
    </font>
    <font>
      <b val="true"/>
      <sz val="10"/>
      <name val="맑은 고딕"/>
      <family val="0"/>
      <charset val="1"/>
    </font>
    <font>
      <b val="true"/>
      <sz val="12"/>
      <color rgb="FF1F2A44"/>
      <name val="WenQuanYi Zen Hei"/>
      <family val="2"/>
    </font>
    <font>
      <b val="true"/>
      <sz val="12"/>
      <color rgb="FF1F2A44"/>
      <name val="맑은 고딕"/>
      <family val="0"/>
      <charset val="1"/>
    </font>
    <font>
      <sz val="10"/>
      <color rgb="FF5A6270"/>
      <name val="맑은 고딕"/>
      <family val="0"/>
      <charset val="1"/>
    </font>
    <font>
      <sz val="10"/>
      <color rgb="FF5A6270"/>
      <name val="WenQuanYi Zen Hei"/>
      <family val="2"/>
    </font>
    <font>
      <b val="true"/>
      <sz val="10"/>
      <color rgb="FFB26A00"/>
      <name val="맑은 고딕"/>
      <family val="0"/>
      <charset val="1"/>
    </font>
    <font>
      <b val="true"/>
      <sz val="10"/>
      <color rgb="FFB26A00"/>
      <name val="WenQuanYi Zen Hei"/>
      <family val="2"/>
    </font>
    <font>
      <sz val="10"/>
      <name val="WenQuanYi Zen Hei"/>
      <family val="2"/>
    </font>
    <font>
      <b val="true"/>
      <sz val="10"/>
      <color rgb="FF0000FF"/>
      <name val="WenQuanYi Zen Hei"/>
      <family val="2"/>
    </font>
    <font>
      <sz val="10"/>
      <color rgb="FF1F2A44"/>
      <name val="WenQuanYi Zen Hei"/>
      <family val="2"/>
    </font>
    <font>
      <sz val="10"/>
      <color rgb="FF1F2A44"/>
      <name val="맑은 고딕"/>
      <family val="0"/>
      <charset val="1"/>
    </font>
    <font>
      <b val="true"/>
      <sz val="10"/>
      <color rgb="FF1D7A3E"/>
      <name val="맑은 고딕"/>
      <family val="0"/>
      <charset val="1"/>
    </font>
    <font>
      <b val="true"/>
      <sz val="10"/>
      <color rgb="FF1D7A3E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F2F3F5"/>
        <bgColor rgb="FFE9EEF7"/>
      </patternFill>
    </fill>
    <fill>
      <patternFill patternType="solid">
        <fgColor rgb="FFD6DFEE"/>
        <bgColor rgb="FFD5D9E0"/>
      </patternFill>
    </fill>
    <fill>
      <patternFill patternType="solid">
        <fgColor rgb="FFE9EEF7"/>
        <bgColor rgb="FFF2F3F5"/>
      </patternFill>
    </fill>
    <fill>
      <patternFill patternType="solid">
        <fgColor rgb="FFFFF1D6"/>
        <bgColor rgb="FFF2F3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5D9E0"/>
      </left>
      <right style="thin">
        <color rgb="FFD5D9E0"/>
      </right>
      <top style="thin">
        <color rgb="FFD5D9E0"/>
      </top>
      <bottom style="thin">
        <color rgb="FFD5D9E0"/>
      </bottom>
      <diagonal/>
    </border>
    <border diagonalUp="false" diagonalDown="false">
      <left style="thin">
        <color rgb="FFD5D9E0"/>
      </left>
      <right/>
      <top style="thin">
        <color rgb="FFD5D9E0"/>
      </top>
      <bottom style="thin">
        <color rgb="FFD5D9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4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4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D7A3E"/>
      <rgbColor rgb="FF000080"/>
      <rgbColor rgb="FFB26A00"/>
      <rgbColor rgb="FF800080"/>
      <rgbColor rgb="FF008080"/>
      <rgbColor rgb="FFC0C0C0"/>
      <rgbColor rgb="FF808080"/>
      <rgbColor rgb="FF9999FF"/>
      <rgbColor rgb="FF993366"/>
      <rgbColor rgb="FFFFF1D6"/>
      <rgbColor rgb="FFE9EEF7"/>
      <rgbColor rgb="FF660066"/>
      <rgbColor rgb="FFFF8080"/>
      <rgbColor rgb="FF0066CC"/>
      <rgbColor rgb="FFD5D9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3F5"/>
      <rgbColor rgb="FFD6DFE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27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1"/>
    <pageSetUpPr fitToPage="false"/>
  </sheetPr>
  <dimension ref="A1:W108"/>
  <sheetViews>
    <sheetView showFormulas="false" showGridLines="false" showRowColHeaders="true" showZeros="true" rightToLeft="false" tabSelected="true" showOutlineSymbols="true" defaultGridColor="true" view="normal" topLeftCell="A22" colorId="64" zoomScale="100" zoomScaleNormal="100" zoomScalePageLayoutView="100" workbookViewId="0">
      <pane xSplit="2" ySplit="0" topLeftCell="C22" activePane="topRight" state="frozen"/>
      <selection pane="topLeft" activeCell="A22" activeCellId="0" sqref="A22"/>
      <selection pane="top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10" min="3" style="0" width="8"/>
    <col collapsed="false" customWidth="true" hidden="false" outlineLevel="0" max="11" min="11" style="0" width="2"/>
    <col collapsed="false" customWidth="true" hidden="false" outlineLevel="0" max="22" min="13" style="0" width="8"/>
    <col collapsed="false" customWidth="true" hidden="false" outlineLevel="0" max="23" min="23" style="0" width="22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3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15" hidden="false" customHeight="false" outlineLevel="0" collapsed="false">
      <c r="A5" s="4" t="s">
        <v>9</v>
      </c>
      <c r="B5" s="5" t="n">
        <v>10</v>
      </c>
      <c r="C5" s="6" t="n">
        <v>337</v>
      </c>
      <c r="D5" s="7" t="n">
        <v>18</v>
      </c>
      <c r="E5" s="7" t="n">
        <v>71</v>
      </c>
      <c r="F5" s="5" t="n">
        <v>1</v>
      </c>
      <c r="G5" s="5" t="n">
        <v>2</v>
      </c>
    </row>
    <row r="6" customFormat="false" ht="15" hidden="false" customHeight="false" outlineLevel="0" collapsed="false">
      <c r="A6" s="4" t="s">
        <v>10</v>
      </c>
      <c r="B6" s="5" t="n">
        <v>12</v>
      </c>
      <c r="C6" s="6" t="n">
        <v>288</v>
      </c>
      <c r="D6" s="7" t="n">
        <v>25</v>
      </c>
      <c r="E6" s="7" t="n">
        <v>123</v>
      </c>
      <c r="F6" s="5" t="n">
        <v>3</v>
      </c>
      <c r="G6" s="5" t="n">
        <v>3</v>
      </c>
    </row>
    <row r="7" customFormat="false" ht="15" hidden="false" customHeight="false" outlineLevel="0" collapsed="false">
      <c r="A7" s="4" t="s">
        <v>11</v>
      </c>
      <c r="B7" s="5" t="n">
        <v>2</v>
      </c>
      <c r="C7" s="6" t="n">
        <v>369</v>
      </c>
      <c r="D7" s="7" t="n">
        <v>5</v>
      </c>
      <c r="E7" s="7" t="n">
        <v>34</v>
      </c>
      <c r="F7" s="5" t="n">
        <v>0</v>
      </c>
      <c r="G7" s="5" t="n">
        <v>0</v>
      </c>
    </row>
    <row r="8" customFormat="false" ht="15" hidden="false" customHeight="false" outlineLevel="0" collapsed="false">
      <c r="A8" s="8" t="s">
        <v>12</v>
      </c>
      <c r="B8" s="9" t="n">
        <f aca="false">B5+B6+B7</f>
        <v>24</v>
      </c>
      <c r="C8" s="9" t="n">
        <f aca="false">C5+C6+C7</f>
        <v>994</v>
      </c>
      <c r="D8" s="9" t="n">
        <f aca="false">D5+D6+D7</f>
        <v>48</v>
      </c>
      <c r="E8" s="9" t="n">
        <f aca="false">E5+E6+E7</f>
        <v>228</v>
      </c>
      <c r="F8" s="9" t="n">
        <f aca="false">F5+F6+F7</f>
        <v>4</v>
      </c>
      <c r="G8" s="9" t="n">
        <f aca="false">G5+G6+G7</f>
        <v>5</v>
      </c>
    </row>
    <row r="9" customFormat="false" ht="15" hidden="false" customHeight="false" outlineLevel="0" collapsed="false">
      <c r="A9" s="2" t="s">
        <v>13</v>
      </c>
    </row>
    <row r="11" customFormat="false" ht="17.15" hidden="false" customHeight="false" outlineLevel="0" collapsed="false">
      <c r="A11" s="10" t="s">
        <v>14</v>
      </c>
    </row>
    <row r="12" customFormat="false" ht="30" hidden="false" customHeight="true" outlineLevel="0" collapsed="false">
      <c r="A12" s="3" t="s">
        <v>15</v>
      </c>
      <c r="B12" s="3"/>
      <c r="C12" s="3" t="s">
        <v>16</v>
      </c>
      <c r="D12" s="3" t="s">
        <v>17</v>
      </c>
      <c r="E12" s="3" t="s">
        <v>18</v>
      </c>
      <c r="F12" s="3" t="s">
        <v>19</v>
      </c>
      <c r="G12" s="3" t="s">
        <v>20</v>
      </c>
      <c r="H12" s="3" t="s">
        <v>21</v>
      </c>
      <c r="I12" s="3" t="s">
        <v>22</v>
      </c>
      <c r="J12" s="3" t="s">
        <v>23</v>
      </c>
      <c r="K12" s="3" t="s">
        <v>24</v>
      </c>
    </row>
    <row r="13" customFormat="false" ht="15" hidden="false" customHeight="false" outlineLevel="0" collapsed="false">
      <c r="A13" s="4" t="s">
        <v>25</v>
      </c>
      <c r="B13" s="11"/>
      <c r="C13" s="7" t="n">
        <v>8</v>
      </c>
      <c r="D13" s="7" t="n">
        <v>20</v>
      </c>
      <c r="E13" s="7" t="n">
        <v>4</v>
      </c>
      <c r="F13" s="7" t="n">
        <v>5</v>
      </c>
      <c r="G13" s="7" t="n">
        <v>2</v>
      </c>
      <c r="H13" s="7" t="n">
        <v>11</v>
      </c>
      <c r="I13" s="12" t="n">
        <f aca="false">C13+E13+G13</f>
        <v>14</v>
      </c>
      <c r="J13" s="12" t="n">
        <f aca="false">D13+F13+H13</f>
        <v>36</v>
      </c>
      <c r="K13" s="13" t="n">
        <f aca="false">J13/J18</f>
        <v>0.157894736842105</v>
      </c>
    </row>
    <row r="14" customFormat="false" ht="15" hidden="false" customHeight="false" outlineLevel="0" collapsed="false">
      <c r="A14" s="4" t="s">
        <v>26</v>
      </c>
      <c r="B14" s="11"/>
      <c r="C14" s="7" t="n">
        <v>2</v>
      </c>
      <c r="D14" s="7" t="n">
        <v>25</v>
      </c>
      <c r="E14" s="7" t="n">
        <v>1</v>
      </c>
      <c r="F14" s="7" t="n">
        <v>19</v>
      </c>
      <c r="G14" s="7" t="n">
        <v>2</v>
      </c>
      <c r="H14" s="7" t="n">
        <v>17</v>
      </c>
      <c r="I14" s="12" t="n">
        <f aca="false">C14+E14+G14</f>
        <v>5</v>
      </c>
      <c r="J14" s="12" t="n">
        <f aca="false">D14+F14+H14</f>
        <v>61</v>
      </c>
      <c r="K14" s="13" t="n">
        <f aca="false">J14/J18</f>
        <v>0.267543859649123</v>
      </c>
    </row>
    <row r="15" customFormat="false" ht="15" hidden="false" customHeight="false" outlineLevel="0" collapsed="false">
      <c r="A15" s="14" t="s">
        <v>27</v>
      </c>
      <c r="B15" s="11"/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12" t="n">
        <f aca="false">C15+E15+G15</f>
        <v>0</v>
      </c>
      <c r="J15" s="12" t="n">
        <f aca="false">D15+F15+H15</f>
        <v>0</v>
      </c>
      <c r="K15" s="13" t="n">
        <f aca="false">J15/J18</f>
        <v>0</v>
      </c>
    </row>
    <row r="16" customFormat="false" ht="15" hidden="false" customHeight="false" outlineLevel="0" collapsed="false">
      <c r="A16" s="4" t="s">
        <v>28</v>
      </c>
      <c r="B16" s="11" t="s">
        <v>29</v>
      </c>
      <c r="C16" s="7" t="n">
        <v>8</v>
      </c>
      <c r="D16" s="7" t="n">
        <v>26</v>
      </c>
      <c r="E16" s="7" t="n">
        <v>20</v>
      </c>
      <c r="F16" s="7" t="n">
        <v>99</v>
      </c>
      <c r="G16" s="7" t="n">
        <v>0</v>
      </c>
      <c r="H16" s="7" t="n">
        <v>0</v>
      </c>
      <c r="I16" s="12" t="n">
        <f aca="false">C16+E16+G16</f>
        <v>28</v>
      </c>
      <c r="J16" s="12" t="n">
        <f aca="false">D16+F16+H16</f>
        <v>125</v>
      </c>
      <c r="K16" s="13" t="n">
        <f aca="false">J16/J18</f>
        <v>0.548245614035088</v>
      </c>
    </row>
    <row r="17" customFormat="false" ht="15" hidden="false" customHeight="false" outlineLevel="0" collapsed="false">
      <c r="A17" s="4" t="s">
        <v>30</v>
      </c>
      <c r="B17" s="11"/>
      <c r="C17" s="7" t="n">
        <v>0</v>
      </c>
      <c r="D17" s="7" t="n">
        <v>0</v>
      </c>
      <c r="E17" s="7" t="n">
        <v>0</v>
      </c>
      <c r="F17" s="7" t="n">
        <v>0</v>
      </c>
      <c r="G17" s="7" t="n">
        <v>1</v>
      </c>
      <c r="H17" s="7" t="n">
        <v>6</v>
      </c>
      <c r="I17" s="12" t="n">
        <f aca="false">C17+E17+G17</f>
        <v>1</v>
      </c>
      <c r="J17" s="12" t="n">
        <f aca="false">D17+F17+H17</f>
        <v>6</v>
      </c>
      <c r="K17" s="13" t="n">
        <f aca="false">J17/J18</f>
        <v>0.0263157894736842</v>
      </c>
    </row>
    <row r="18" customFormat="false" ht="15" hidden="false" customHeight="false" outlineLevel="0" collapsed="false">
      <c r="A18" s="8" t="s">
        <v>12</v>
      </c>
      <c r="B18" s="15"/>
      <c r="C18" s="9" t="n">
        <f aca="false">C13+C14+C15+C16+C17</f>
        <v>18</v>
      </c>
      <c r="D18" s="9" t="n">
        <f aca="false">D13+D14+D15+D16+D17</f>
        <v>71</v>
      </c>
      <c r="E18" s="9" t="n">
        <f aca="false">E13+E14+E15+E16+E17</f>
        <v>25</v>
      </c>
      <c r="F18" s="9" t="n">
        <f aca="false">F13+F14+F15+F16+F17</f>
        <v>123</v>
      </c>
      <c r="G18" s="9" t="n">
        <f aca="false">G13+G14+G15+G16+G17</f>
        <v>5</v>
      </c>
      <c r="H18" s="9" t="n">
        <f aca="false">H13+H14+H15+H16+H17</f>
        <v>34</v>
      </c>
      <c r="I18" s="9" t="n">
        <f aca="false">I13+I14+I15+I16+I17</f>
        <v>48</v>
      </c>
      <c r="J18" s="9" t="n">
        <f aca="false">J13+J14+J15+J16+J17</f>
        <v>228</v>
      </c>
      <c r="K18" s="16" t="n">
        <f aca="false">J18/J18</f>
        <v>1</v>
      </c>
    </row>
    <row r="20" customFormat="false" ht="15" hidden="false" customHeight="false" outlineLevel="0" collapsed="false">
      <c r="C20" s="17" t="s">
        <v>31</v>
      </c>
      <c r="D20" s="17"/>
      <c r="E20" s="17"/>
      <c r="F20" s="17"/>
      <c r="G20" s="17"/>
      <c r="H20" s="17"/>
      <c r="I20" s="17" t="s">
        <v>12</v>
      </c>
      <c r="J20" s="17"/>
      <c r="M20" s="17" t="s">
        <v>32</v>
      </c>
      <c r="N20" s="17"/>
      <c r="O20" s="17"/>
      <c r="P20" s="17"/>
      <c r="Q20" s="17"/>
      <c r="R20" s="17"/>
      <c r="S20" s="17"/>
      <c r="T20" s="17"/>
      <c r="U20" s="17"/>
      <c r="V20" s="17"/>
    </row>
    <row r="21" customFormat="false" ht="30" hidden="false" customHeight="true" outlineLevel="0" collapsed="false">
      <c r="A21" s="3" t="s">
        <v>33</v>
      </c>
      <c r="B21" s="3" t="s">
        <v>34</v>
      </c>
      <c r="C21" s="3" t="s">
        <v>16</v>
      </c>
      <c r="D21" s="3" t="s">
        <v>17</v>
      </c>
      <c r="E21" s="3" t="s">
        <v>18</v>
      </c>
      <c r="F21" s="3" t="s">
        <v>19</v>
      </c>
      <c r="G21" s="3" t="s">
        <v>20</v>
      </c>
      <c r="H21" s="3" t="s">
        <v>21</v>
      </c>
      <c r="I21" s="3" t="s">
        <v>22</v>
      </c>
      <c r="J21" s="3" t="s">
        <v>23</v>
      </c>
      <c r="K21" s="3"/>
      <c r="L21" s="3" t="s">
        <v>35</v>
      </c>
      <c r="M21" s="3" t="s">
        <v>36</v>
      </c>
      <c r="N21" s="3" t="s">
        <v>37</v>
      </c>
      <c r="O21" s="3" t="s">
        <v>38</v>
      </c>
      <c r="P21" s="18" t="s">
        <v>39</v>
      </c>
      <c r="Q21" s="18" t="s">
        <v>40</v>
      </c>
      <c r="R21" s="3" t="s">
        <v>41</v>
      </c>
      <c r="S21" s="3" t="s">
        <v>42</v>
      </c>
      <c r="T21" s="3" t="s">
        <v>43</v>
      </c>
      <c r="U21" s="3" t="s">
        <v>44</v>
      </c>
      <c r="V21" s="3" t="s">
        <v>45</v>
      </c>
    </row>
    <row r="22" customFormat="false" ht="15" hidden="false" customHeight="false" outlineLevel="0" collapsed="false">
      <c r="A22" s="19" t="s">
        <v>46</v>
      </c>
      <c r="B22" s="20" t="s">
        <v>47</v>
      </c>
      <c r="C22" s="21" t="n">
        <f aca="false">SUM(C23:C24)</f>
        <v>1</v>
      </c>
      <c r="D22" s="21" t="n">
        <f aca="false">SUM(D23:D24)</f>
        <v>20</v>
      </c>
      <c r="E22" s="21" t="n">
        <f aca="false">SUM(E23:E24)</f>
        <v>1</v>
      </c>
      <c r="F22" s="21" t="n">
        <f aca="false">SUM(F23:F24)</f>
        <v>50</v>
      </c>
      <c r="G22" s="21" t="n">
        <f aca="false">SUM(G23:G24)</f>
        <v>0</v>
      </c>
      <c r="H22" s="21" t="n">
        <f aca="false">SUM(H23:H24)</f>
        <v>0</v>
      </c>
      <c r="I22" s="21" t="n">
        <f aca="false">SUM(I23:I24)</f>
        <v>2</v>
      </c>
      <c r="J22" s="21" t="n">
        <f aca="false">SUM(J23:J24)</f>
        <v>70</v>
      </c>
      <c r="M22" s="21" t="n">
        <f aca="false">SUM(M23:M24)</f>
        <v>0</v>
      </c>
      <c r="N22" s="21" t="n">
        <f aca="false">SUM(N23:N24)</f>
        <v>0</v>
      </c>
      <c r="O22" s="21" t="n">
        <f aca="false">SUM(O23:O24)</f>
        <v>1</v>
      </c>
      <c r="P22" s="21" t="n">
        <f aca="false">SUM(P23:P24)</f>
        <v>20</v>
      </c>
      <c r="Q22" s="21" t="n">
        <f aca="false">SUM(Q23:Q24)</f>
        <v>0</v>
      </c>
      <c r="R22" s="21" t="n">
        <f aca="false">SUM(R23:R24)</f>
        <v>0</v>
      </c>
      <c r="S22" s="21" t="n">
        <f aca="false">SUM(S23:S24)</f>
        <v>1</v>
      </c>
      <c r="T22" s="21" t="n">
        <f aca="false">SUM(T23:T24)</f>
        <v>50</v>
      </c>
      <c r="U22" s="21" t="n">
        <f aca="false">SUM(U23:U24)</f>
        <v>0</v>
      </c>
      <c r="V22" s="21" t="n">
        <f aca="false">SUM(V23:V24)</f>
        <v>0</v>
      </c>
      <c r="W22" s="22"/>
    </row>
    <row r="23" customFormat="false" ht="15" hidden="true" customHeight="false" outlineLevel="1" collapsed="false">
      <c r="A23" s="11" t="s">
        <v>48</v>
      </c>
      <c r="B23" s="23" t="s">
        <v>49</v>
      </c>
      <c r="C23" s="5"/>
      <c r="D23" s="5"/>
      <c r="E23" s="7" t="n">
        <v>1</v>
      </c>
      <c r="F23" s="7" t="n">
        <v>50</v>
      </c>
      <c r="G23" s="5"/>
      <c r="H23" s="5"/>
      <c r="I23" s="5" t="n">
        <f aca="false">C23+E23+G23</f>
        <v>1</v>
      </c>
      <c r="J23" s="5" t="n">
        <f aca="false">D23+F23+H23</f>
        <v>50</v>
      </c>
      <c r="M23" s="5"/>
      <c r="N23" s="5"/>
      <c r="O23" s="5"/>
      <c r="P23" s="5"/>
      <c r="Q23" s="5"/>
      <c r="R23" s="5"/>
      <c r="S23" s="7" t="n">
        <v>1</v>
      </c>
      <c r="T23" s="7" t="n">
        <v>50</v>
      </c>
      <c r="U23" s="5"/>
      <c r="V23" s="5"/>
      <c r="W23" s="23" t="s">
        <v>50</v>
      </c>
    </row>
    <row r="24" customFormat="false" ht="15" hidden="true" customHeight="false" outlineLevel="1" collapsed="false">
      <c r="A24" s="11" t="s">
        <v>51</v>
      </c>
      <c r="B24" s="23" t="s">
        <v>52</v>
      </c>
      <c r="C24" s="7" t="n">
        <v>1</v>
      </c>
      <c r="D24" s="7" t="n">
        <v>20</v>
      </c>
      <c r="E24" s="5"/>
      <c r="F24" s="5"/>
      <c r="G24" s="5"/>
      <c r="H24" s="5"/>
      <c r="I24" s="5" t="n">
        <f aca="false">C24+E24+G24</f>
        <v>1</v>
      </c>
      <c r="J24" s="5" t="n">
        <f aca="false">D24+F24+H24</f>
        <v>20</v>
      </c>
      <c r="M24" s="5"/>
      <c r="N24" s="5"/>
      <c r="O24" s="7" t="n">
        <v>1</v>
      </c>
      <c r="P24" s="7" t="n">
        <v>20</v>
      </c>
      <c r="Q24" s="5"/>
      <c r="R24" s="5"/>
      <c r="S24" s="5"/>
      <c r="T24" s="5"/>
      <c r="U24" s="5"/>
      <c r="V24" s="5"/>
      <c r="W24" s="11"/>
    </row>
    <row r="25" customFormat="false" ht="15" hidden="false" customHeight="false" outlineLevel="0" collapsed="false">
      <c r="A25" s="24" t="s">
        <v>53</v>
      </c>
      <c r="B25" s="25"/>
      <c r="C25" s="26" t="n">
        <f aca="false">C22</f>
        <v>1</v>
      </c>
      <c r="D25" s="26" t="n">
        <f aca="false">D22</f>
        <v>20</v>
      </c>
      <c r="E25" s="26" t="n">
        <f aca="false">E22</f>
        <v>1</v>
      </c>
      <c r="F25" s="26" t="n">
        <f aca="false">F22</f>
        <v>50</v>
      </c>
      <c r="G25" s="26" t="n">
        <f aca="false">G22</f>
        <v>0</v>
      </c>
      <c r="H25" s="26" t="n">
        <f aca="false">H22</f>
        <v>0</v>
      </c>
      <c r="I25" s="26" t="n">
        <f aca="false">I22</f>
        <v>2</v>
      </c>
      <c r="J25" s="26" t="n">
        <f aca="false">J22</f>
        <v>70</v>
      </c>
      <c r="M25" s="26" t="n">
        <f aca="false">M22</f>
        <v>0</v>
      </c>
      <c r="N25" s="26" t="n">
        <f aca="false">N22</f>
        <v>0</v>
      </c>
      <c r="O25" s="26" t="n">
        <f aca="false">O22</f>
        <v>1</v>
      </c>
      <c r="P25" s="26" t="n">
        <f aca="false">P22</f>
        <v>20</v>
      </c>
      <c r="Q25" s="26" t="n">
        <f aca="false">Q22</f>
        <v>0</v>
      </c>
      <c r="R25" s="26" t="n">
        <f aca="false">R22</f>
        <v>0</v>
      </c>
      <c r="S25" s="26" t="n">
        <f aca="false">S22</f>
        <v>1</v>
      </c>
      <c r="T25" s="26" t="n">
        <f aca="false">T22</f>
        <v>50</v>
      </c>
      <c r="U25" s="26" t="n">
        <f aca="false">U22</f>
        <v>0</v>
      </c>
      <c r="V25" s="26" t="n">
        <f aca="false">V22</f>
        <v>0</v>
      </c>
      <c r="W25" s="25"/>
    </row>
    <row r="27" customFormat="false" ht="15" hidden="false" customHeight="false" outlineLevel="0" collapsed="false">
      <c r="A27" s="19" t="s">
        <v>54</v>
      </c>
      <c r="B27" s="20" t="s">
        <v>55</v>
      </c>
      <c r="C27" s="21" t="n">
        <v>0</v>
      </c>
      <c r="D27" s="21" t="n">
        <v>0</v>
      </c>
      <c r="E27" s="21" t="n">
        <v>0</v>
      </c>
      <c r="F27" s="21" t="n">
        <v>0</v>
      </c>
      <c r="G27" s="21" t="n">
        <v>0</v>
      </c>
      <c r="H27" s="21" t="n">
        <v>0</v>
      </c>
      <c r="I27" s="21" t="n">
        <v>0</v>
      </c>
      <c r="J27" s="21" t="n">
        <v>0</v>
      </c>
      <c r="M27" s="21" t="n">
        <v>0</v>
      </c>
      <c r="N27" s="21" t="n">
        <v>0</v>
      </c>
      <c r="O27" s="21" t="n">
        <v>0</v>
      </c>
      <c r="P27" s="21" t="n">
        <v>0</v>
      </c>
      <c r="Q27" s="21" t="n">
        <v>0</v>
      </c>
      <c r="R27" s="21" t="n">
        <v>0</v>
      </c>
      <c r="S27" s="21" t="n">
        <v>0</v>
      </c>
      <c r="T27" s="21" t="n">
        <v>0</v>
      </c>
      <c r="U27" s="21" t="n">
        <v>0</v>
      </c>
      <c r="V27" s="21" t="n">
        <v>0</v>
      </c>
      <c r="W27" s="22"/>
    </row>
    <row r="28" customFormat="false" ht="15" hidden="false" customHeight="false" outlineLevel="0" collapsed="false">
      <c r="A28" s="19" t="s">
        <v>56</v>
      </c>
      <c r="B28" s="20" t="s">
        <v>57</v>
      </c>
      <c r="C28" s="21" t="n">
        <f aca="false">SUM(C29:C31)</f>
        <v>0</v>
      </c>
      <c r="D28" s="21" t="n">
        <f aca="false">SUM(D29:D31)</f>
        <v>0</v>
      </c>
      <c r="E28" s="21" t="n">
        <f aca="false">SUM(E29:E31)</f>
        <v>3</v>
      </c>
      <c r="F28" s="21" t="n">
        <f aca="false">SUM(F29:F31)</f>
        <v>7</v>
      </c>
      <c r="G28" s="21" t="n">
        <f aca="false">SUM(G29:G31)</f>
        <v>0</v>
      </c>
      <c r="H28" s="21" t="n">
        <f aca="false">SUM(H29:H31)</f>
        <v>0</v>
      </c>
      <c r="I28" s="21" t="n">
        <f aca="false">SUM(I29:I31)</f>
        <v>3</v>
      </c>
      <c r="J28" s="21" t="n">
        <f aca="false">SUM(J29:J31)</f>
        <v>7</v>
      </c>
      <c r="M28" s="21" t="n">
        <f aca="false">SUM(M29:M31)</f>
        <v>0</v>
      </c>
      <c r="N28" s="21" t="n">
        <f aca="false">SUM(N29:N31)</f>
        <v>0</v>
      </c>
      <c r="O28" s="21" t="n">
        <f aca="false">SUM(O29:O31)</f>
        <v>0</v>
      </c>
      <c r="P28" s="21" t="n">
        <f aca="false">SUM(P29:P31)</f>
        <v>0</v>
      </c>
      <c r="Q28" s="21" t="n">
        <f aca="false">SUM(Q29:Q31)</f>
        <v>0</v>
      </c>
      <c r="R28" s="21" t="n">
        <f aca="false">SUM(R29:R31)</f>
        <v>0</v>
      </c>
      <c r="S28" s="21" t="n">
        <f aca="false">SUM(S29:S31)</f>
        <v>3</v>
      </c>
      <c r="T28" s="21" t="n">
        <f aca="false">SUM(T29:T31)</f>
        <v>7</v>
      </c>
      <c r="U28" s="21" t="n">
        <f aca="false">SUM(U29:U31)</f>
        <v>0</v>
      </c>
      <c r="V28" s="21" t="n">
        <f aca="false">SUM(V29:V31)</f>
        <v>0</v>
      </c>
      <c r="W28" s="22"/>
    </row>
    <row r="29" customFormat="false" ht="15" hidden="true" customHeight="false" outlineLevel="1" collapsed="false">
      <c r="A29" s="11" t="s">
        <v>58</v>
      </c>
      <c r="B29" s="23" t="s">
        <v>59</v>
      </c>
      <c r="C29" s="5"/>
      <c r="D29" s="5"/>
      <c r="E29" s="7" t="n">
        <v>1</v>
      </c>
      <c r="F29" s="7" t="n">
        <v>5</v>
      </c>
      <c r="G29" s="5"/>
      <c r="H29" s="5"/>
      <c r="I29" s="5" t="n">
        <f aca="false">C29+E29+G29</f>
        <v>1</v>
      </c>
      <c r="J29" s="5" t="n">
        <f aca="false">D29+F29+H29</f>
        <v>5</v>
      </c>
      <c r="M29" s="5"/>
      <c r="N29" s="5"/>
      <c r="O29" s="5"/>
      <c r="P29" s="5"/>
      <c r="Q29" s="5"/>
      <c r="R29" s="5"/>
      <c r="S29" s="7" t="n">
        <v>1</v>
      </c>
      <c r="T29" s="7" t="n">
        <v>5</v>
      </c>
      <c r="U29" s="5"/>
      <c r="V29" s="5"/>
      <c r="W29" s="23" t="s">
        <v>60</v>
      </c>
    </row>
    <row r="30" customFormat="false" ht="15" hidden="true" customHeight="false" outlineLevel="1" collapsed="false">
      <c r="A30" s="11" t="s">
        <v>61</v>
      </c>
      <c r="B30" s="23" t="s">
        <v>62</v>
      </c>
      <c r="C30" s="5"/>
      <c r="D30" s="5"/>
      <c r="E30" s="7" t="n">
        <v>1</v>
      </c>
      <c r="F30" s="7" t="n">
        <v>1</v>
      </c>
      <c r="G30" s="5"/>
      <c r="H30" s="5"/>
      <c r="I30" s="5" t="n">
        <f aca="false">C30+E30+G30</f>
        <v>1</v>
      </c>
      <c r="J30" s="5" t="n">
        <f aca="false">D30+F30+H30</f>
        <v>1</v>
      </c>
      <c r="M30" s="5"/>
      <c r="N30" s="5"/>
      <c r="O30" s="5"/>
      <c r="P30" s="5"/>
      <c r="Q30" s="5"/>
      <c r="R30" s="5"/>
      <c r="S30" s="7" t="n">
        <v>1</v>
      </c>
      <c r="T30" s="7" t="n">
        <v>1</v>
      </c>
      <c r="U30" s="5"/>
      <c r="V30" s="5"/>
      <c r="W30" s="11"/>
    </row>
    <row r="31" customFormat="false" ht="15" hidden="true" customHeight="false" outlineLevel="1" collapsed="false">
      <c r="A31" s="11" t="s">
        <v>63</v>
      </c>
      <c r="B31" s="23" t="s">
        <v>59</v>
      </c>
      <c r="C31" s="5"/>
      <c r="D31" s="5"/>
      <c r="E31" s="7" t="n">
        <v>1</v>
      </c>
      <c r="F31" s="7" t="n">
        <v>1</v>
      </c>
      <c r="G31" s="5"/>
      <c r="H31" s="5"/>
      <c r="I31" s="5" t="n">
        <f aca="false">C31+E31+G31</f>
        <v>1</v>
      </c>
      <c r="J31" s="5" t="n">
        <f aca="false">D31+F31+H31</f>
        <v>1</v>
      </c>
      <c r="M31" s="5"/>
      <c r="N31" s="5"/>
      <c r="O31" s="5"/>
      <c r="P31" s="5"/>
      <c r="Q31" s="5"/>
      <c r="R31" s="5"/>
      <c r="S31" s="7" t="n">
        <v>1</v>
      </c>
      <c r="T31" s="7" t="n">
        <v>1</v>
      </c>
      <c r="U31" s="5"/>
      <c r="V31" s="5"/>
      <c r="W31" s="11"/>
    </row>
    <row r="32" customFormat="false" ht="15" hidden="false" customHeight="false" outlineLevel="0" collapsed="false">
      <c r="A32" s="19" t="s">
        <v>64</v>
      </c>
      <c r="B32" s="20" t="s">
        <v>65</v>
      </c>
      <c r="C32" s="21" t="n">
        <f aca="false">SUM(C33:C33)</f>
        <v>1</v>
      </c>
      <c r="D32" s="21" t="n">
        <f aca="false">SUM(D33:D33)</f>
        <v>10</v>
      </c>
      <c r="E32" s="21" t="n">
        <f aca="false">SUM(E33:E33)</f>
        <v>0</v>
      </c>
      <c r="F32" s="21" t="n">
        <f aca="false">SUM(F33:F33)</f>
        <v>0</v>
      </c>
      <c r="G32" s="21" t="n">
        <f aca="false">SUM(G33:G33)</f>
        <v>0</v>
      </c>
      <c r="H32" s="21" t="n">
        <f aca="false">SUM(H33:H33)</f>
        <v>0</v>
      </c>
      <c r="I32" s="21" t="n">
        <f aca="false">SUM(I33:I33)</f>
        <v>1</v>
      </c>
      <c r="J32" s="21" t="n">
        <f aca="false">SUM(J33:J33)</f>
        <v>10</v>
      </c>
      <c r="M32" s="21" t="n">
        <f aca="false">SUM(M33:M33)</f>
        <v>0</v>
      </c>
      <c r="N32" s="21" t="n">
        <f aca="false">SUM(N33:N33)</f>
        <v>0</v>
      </c>
      <c r="O32" s="21" t="n">
        <f aca="false">SUM(O33:O33)</f>
        <v>0</v>
      </c>
      <c r="P32" s="21" t="n">
        <f aca="false">SUM(P33:P33)</f>
        <v>0</v>
      </c>
      <c r="Q32" s="21" t="n">
        <f aca="false">SUM(Q33:Q33)</f>
        <v>0</v>
      </c>
      <c r="R32" s="21" t="n">
        <f aca="false">SUM(R33:R33)</f>
        <v>0</v>
      </c>
      <c r="S32" s="21" t="n">
        <f aca="false">SUM(S33:S33)</f>
        <v>1</v>
      </c>
      <c r="T32" s="21" t="n">
        <f aca="false">SUM(T33:T33)</f>
        <v>10</v>
      </c>
      <c r="U32" s="21" t="n">
        <f aca="false">SUM(U33:U33)</f>
        <v>0</v>
      </c>
      <c r="V32" s="21" t="n">
        <f aca="false">SUM(V33:V33)</f>
        <v>0</v>
      </c>
      <c r="W32" s="22"/>
    </row>
    <row r="33" customFormat="false" ht="15" hidden="true" customHeight="false" outlineLevel="1" collapsed="false">
      <c r="A33" s="11" t="s">
        <v>66</v>
      </c>
      <c r="B33" s="23" t="s">
        <v>67</v>
      </c>
      <c r="C33" s="7" t="n">
        <v>1</v>
      </c>
      <c r="D33" s="7" t="n">
        <v>10</v>
      </c>
      <c r="E33" s="5"/>
      <c r="F33" s="5"/>
      <c r="G33" s="5"/>
      <c r="H33" s="5"/>
      <c r="I33" s="5" t="n">
        <f aca="false">C33+E33+G33</f>
        <v>1</v>
      </c>
      <c r="J33" s="5" t="n">
        <f aca="false">D33+F33+H33</f>
        <v>10</v>
      </c>
      <c r="M33" s="5"/>
      <c r="N33" s="5"/>
      <c r="O33" s="5"/>
      <c r="P33" s="5"/>
      <c r="Q33" s="5"/>
      <c r="R33" s="5"/>
      <c r="S33" s="7" t="n">
        <v>1</v>
      </c>
      <c r="T33" s="7" t="n">
        <v>10</v>
      </c>
      <c r="U33" s="5"/>
      <c r="V33" s="5"/>
      <c r="W33" s="23" t="s">
        <v>68</v>
      </c>
    </row>
    <row r="34" customFormat="false" ht="15" hidden="false" customHeight="false" outlineLevel="0" collapsed="false">
      <c r="A34" s="19" t="s">
        <v>69</v>
      </c>
      <c r="B34" s="20" t="s">
        <v>70</v>
      </c>
      <c r="C34" s="21" t="n">
        <f aca="false">SUM(C35:C35)</f>
        <v>0</v>
      </c>
      <c r="D34" s="21" t="n">
        <f aca="false">SUM(D35:D35)</f>
        <v>0</v>
      </c>
      <c r="E34" s="21" t="n">
        <f aca="false">SUM(E35:E35)</f>
        <v>1</v>
      </c>
      <c r="F34" s="21" t="n">
        <f aca="false">SUM(F35:F35)</f>
        <v>5</v>
      </c>
      <c r="G34" s="21" t="n">
        <f aca="false">SUM(G35:G35)</f>
        <v>0</v>
      </c>
      <c r="H34" s="21" t="n">
        <f aca="false">SUM(H35:H35)</f>
        <v>0</v>
      </c>
      <c r="I34" s="21" t="n">
        <f aca="false">SUM(I35:I35)</f>
        <v>1</v>
      </c>
      <c r="J34" s="21" t="n">
        <f aca="false">SUM(J35:J35)</f>
        <v>5</v>
      </c>
      <c r="M34" s="21" t="n">
        <f aca="false">SUM(M35:M35)</f>
        <v>0</v>
      </c>
      <c r="N34" s="21" t="n">
        <f aca="false">SUM(N35:N35)</f>
        <v>0</v>
      </c>
      <c r="O34" s="21" t="n">
        <f aca="false">SUM(O35:O35)</f>
        <v>0</v>
      </c>
      <c r="P34" s="21" t="n">
        <f aca="false">SUM(P35:P35)</f>
        <v>0</v>
      </c>
      <c r="Q34" s="21" t="n">
        <f aca="false">SUM(Q35:Q35)</f>
        <v>0</v>
      </c>
      <c r="R34" s="21" t="n">
        <f aca="false">SUM(R35:R35)</f>
        <v>0</v>
      </c>
      <c r="S34" s="21" t="n">
        <f aca="false">SUM(S35:S35)</f>
        <v>1</v>
      </c>
      <c r="T34" s="21" t="n">
        <f aca="false">SUM(T35:T35)</f>
        <v>5</v>
      </c>
      <c r="U34" s="21" t="n">
        <f aca="false">SUM(U35:U35)</f>
        <v>0</v>
      </c>
      <c r="V34" s="21" t="n">
        <f aca="false">SUM(V35:V35)</f>
        <v>0</v>
      </c>
      <c r="W34" s="22"/>
    </row>
    <row r="35" customFormat="false" ht="15" hidden="true" customHeight="false" outlineLevel="1" collapsed="false">
      <c r="A35" s="11" t="s">
        <v>71</v>
      </c>
      <c r="B35" s="23" t="s">
        <v>72</v>
      </c>
      <c r="C35" s="5"/>
      <c r="D35" s="5"/>
      <c r="E35" s="7" t="n">
        <v>1</v>
      </c>
      <c r="F35" s="7" t="n">
        <v>5</v>
      </c>
      <c r="G35" s="5"/>
      <c r="H35" s="5"/>
      <c r="I35" s="5" t="n">
        <f aca="false">C35+E35+G35</f>
        <v>1</v>
      </c>
      <c r="J35" s="5" t="n">
        <f aca="false">D35+F35+H35</f>
        <v>5</v>
      </c>
      <c r="M35" s="5"/>
      <c r="N35" s="5"/>
      <c r="O35" s="5"/>
      <c r="P35" s="5"/>
      <c r="Q35" s="5"/>
      <c r="R35" s="5"/>
      <c r="S35" s="7" t="n">
        <v>1</v>
      </c>
      <c r="T35" s="7" t="n">
        <v>5</v>
      </c>
      <c r="U35" s="5"/>
      <c r="V35" s="5"/>
      <c r="W35" s="23" t="s">
        <v>73</v>
      </c>
    </row>
    <row r="36" customFormat="false" ht="15" hidden="false" customHeight="false" outlineLevel="0" collapsed="false">
      <c r="A36" s="19" t="s">
        <v>74</v>
      </c>
      <c r="B36" s="20" t="s">
        <v>75</v>
      </c>
      <c r="C36" s="21" t="n">
        <f aca="false">SUM(C37:C37)</f>
        <v>0</v>
      </c>
      <c r="D36" s="21" t="n">
        <f aca="false">SUM(D37:D37)</f>
        <v>0</v>
      </c>
      <c r="E36" s="21" t="n">
        <f aca="false">SUM(E37:E37)</f>
        <v>1</v>
      </c>
      <c r="F36" s="21" t="n">
        <f aca="false">SUM(F37:F37)</f>
        <v>5</v>
      </c>
      <c r="G36" s="21" t="n">
        <f aca="false">SUM(G37:G37)</f>
        <v>0</v>
      </c>
      <c r="H36" s="21" t="n">
        <f aca="false">SUM(H37:H37)</f>
        <v>0</v>
      </c>
      <c r="I36" s="21" t="n">
        <f aca="false">SUM(I37:I37)</f>
        <v>1</v>
      </c>
      <c r="J36" s="21" t="n">
        <f aca="false">SUM(J37:J37)</f>
        <v>5</v>
      </c>
      <c r="M36" s="21" t="n">
        <f aca="false">SUM(M37:M37)</f>
        <v>0</v>
      </c>
      <c r="N36" s="21" t="n">
        <f aca="false">SUM(N37:N37)</f>
        <v>0</v>
      </c>
      <c r="O36" s="21" t="n">
        <f aca="false">SUM(O37:O37)</f>
        <v>0</v>
      </c>
      <c r="P36" s="21" t="n">
        <f aca="false">SUM(P37:P37)</f>
        <v>0</v>
      </c>
      <c r="Q36" s="21" t="n">
        <f aca="false">SUM(Q37:Q37)</f>
        <v>0</v>
      </c>
      <c r="R36" s="21" t="n">
        <f aca="false">SUM(R37:R37)</f>
        <v>0</v>
      </c>
      <c r="S36" s="21" t="n">
        <f aca="false">SUM(S37:S37)</f>
        <v>1</v>
      </c>
      <c r="T36" s="21" t="n">
        <f aca="false">SUM(T37:T37)</f>
        <v>5</v>
      </c>
      <c r="U36" s="21" t="n">
        <f aca="false">SUM(U37:U37)</f>
        <v>0</v>
      </c>
      <c r="V36" s="21" t="n">
        <f aca="false">SUM(V37:V37)</f>
        <v>0</v>
      </c>
      <c r="W36" s="22"/>
    </row>
    <row r="37" customFormat="false" ht="15" hidden="true" customHeight="false" outlineLevel="1" collapsed="false">
      <c r="A37" s="11" t="s">
        <v>76</v>
      </c>
      <c r="B37" s="23" t="s">
        <v>77</v>
      </c>
      <c r="C37" s="5"/>
      <c r="D37" s="5"/>
      <c r="E37" s="7" t="n">
        <v>1</v>
      </c>
      <c r="F37" s="7" t="n">
        <v>5</v>
      </c>
      <c r="G37" s="5"/>
      <c r="H37" s="5"/>
      <c r="I37" s="5" t="n">
        <f aca="false">C37+E37+G37</f>
        <v>1</v>
      </c>
      <c r="J37" s="5" t="n">
        <f aca="false">D37+F37+H37</f>
        <v>5</v>
      </c>
      <c r="M37" s="5"/>
      <c r="N37" s="5"/>
      <c r="O37" s="5"/>
      <c r="P37" s="5"/>
      <c r="Q37" s="5"/>
      <c r="R37" s="5"/>
      <c r="S37" s="7" t="n">
        <v>1</v>
      </c>
      <c r="T37" s="7" t="n">
        <v>5</v>
      </c>
      <c r="U37" s="5"/>
      <c r="V37" s="5"/>
      <c r="W37" s="11"/>
    </row>
    <row r="38" customFormat="false" ht="15" hidden="false" customHeight="false" outlineLevel="0" collapsed="false">
      <c r="A38" s="24" t="s">
        <v>78</v>
      </c>
      <c r="B38" s="25"/>
      <c r="C38" s="26" t="n">
        <f aca="false">C27+C28+C32+C34+C36</f>
        <v>1</v>
      </c>
      <c r="D38" s="26" t="n">
        <f aca="false">D27+D28+D32+D34+D36</f>
        <v>10</v>
      </c>
      <c r="E38" s="26" t="n">
        <f aca="false">E27+E28+E32+E34+E36</f>
        <v>5</v>
      </c>
      <c r="F38" s="26" t="n">
        <f aca="false">F27+F28+F32+F34+F36</f>
        <v>17</v>
      </c>
      <c r="G38" s="26" t="n">
        <f aca="false">G27+G28+G32+G34+G36</f>
        <v>0</v>
      </c>
      <c r="H38" s="26" t="n">
        <f aca="false">H27+H28+H32+H34+H36</f>
        <v>0</v>
      </c>
      <c r="I38" s="26" t="n">
        <f aca="false">I27+I28+I32+I34+I36</f>
        <v>6</v>
      </c>
      <c r="J38" s="26" t="n">
        <f aca="false">J27+J28+J32+J34+J36</f>
        <v>27</v>
      </c>
      <c r="M38" s="26" t="n">
        <f aca="false">M27+M28+M32+M34+M36</f>
        <v>0</v>
      </c>
      <c r="N38" s="26" t="n">
        <f aca="false">N27+N28+N32+N34+N36</f>
        <v>0</v>
      </c>
      <c r="O38" s="26" t="n">
        <f aca="false">O27+O28+O32+O34+O36</f>
        <v>0</v>
      </c>
      <c r="P38" s="26" t="n">
        <f aca="false">P27+P28+P32+P34+P36</f>
        <v>0</v>
      </c>
      <c r="Q38" s="26" t="n">
        <f aca="false">Q27+Q28+Q32+Q34+Q36</f>
        <v>0</v>
      </c>
      <c r="R38" s="26" t="n">
        <f aca="false">R27+R28+R32+R34+R36</f>
        <v>0</v>
      </c>
      <c r="S38" s="26" t="n">
        <f aca="false">S27+S28+S32+S34+S36</f>
        <v>6</v>
      </c>
      <c r="T38" s="26" t="n">
        <f aca="false">T27+T28+T32+T34+T36</f>
        <v>27</v>
      </c>
      <c r="U38" s="26" t="n">
        <f aca="false">U27+U28+U32+U34+U36</f>
        <v>0</v>
      </c>
      <c r="V38" s="26" t="n">
        <f aca="false">V27+V28+V32+V34+V36</f>
        <v>0</v>
      </c>
      <c r="W38" s="25"/>
    </row>
    <row r="40" customFormat="false" ht="15" hidden="false" customHeight="false" outlineLevel="0" collapsed="false">
      <c r="A40" s="19" t="s">
        <v>79</v>
      </c>
      <c r="B40" s="20" t="s">
        <v>80</v>
      </c>
      <c r="C40" s="21" t="n">
        <v>0</v>
      </c>
      <c r="D40" s="21" t="n">
        <v>0</v>
      </c>
      <c r="E40" s="21" t="n">
        <v>0</v>
      </c>
      <c r="F40" s="21" t="n">
        <v>0</v>
      </c>
      <c r="G40" s="21" t="n">
        <v>0</v>
      </c>
      <c r="H40" s="21" t="n">
        <v>0</v>
      </c>
      <c r="I40" s="21" t="n">
        <v>0</v>
      </c>
      <c r="J40" s="21" t="n">
        <v>0</v>
      </c>
      <c r="M40" s="21" t="n">
        <v>0</v>
      </c>
      <c r="N40" s="21" t="n">
        <v>0</v>
      </c>
      <c r="O40" s="21" t="n">
        <v>0</v>
      </c>
      <c r="P40" s="21" t="n">
        <v>0</v>
      </c>
      <c r="Q40" s="21" t="n">
        <v>0</v>
      </c>
      <c r="R40" s="21" t="n">
        <v>0</v>
      </c>
      <c r="S40" s="21" t="n">
        <v>0</v>
      </c>
      <c r="T40" s="21" t="n">
        <v>0</v>
      </c>
      <c r="U40" s="21" t="n">
        <v>0</v>
      </c>
      <c r="V40" s="21" t="n">
        <v>0</v>
      </c>
      <c r="W40" s="22"/>
    </row>
    <row r="41" customFormat="false" ht="15" hidden="false" customHeight="false" outlineLevel="0" collapsed="false">
      <c r="A41" s="19" t="s">
        <v>81</v>
      </c>
      <c r="B41" s="20" t="s">
        <v>82</v>
      </c>
      <c r="C41" s="21" t="n">
        <f aca="false">SUM(C42:C42)</f>
        <v>0</v>
      </c>
      <c r="D41" s="21" t="n">
        <f aca="false">SUM(D42:D42)</f>
        <v>0</v>
      </c>
      <c r="E41" s="21" t="n">
        <f aca="false">SUM(E42:E42)</f>
        <v>1</v>
      </c>
      <c r="F41" s="21" t="n">
        <f aca="false">SUM(F42:F42)</f>
        <v>1</v>
      </c>
      <c r="G41" s="21" t="n">
        <f aca="false">SUM(G42:G42)</f>
        <v>0</v>
      </c>
      <c r="H41" s="21" t="n">
        <f aca="false">SUM(H42:H42)</f>
        <v>0</v>
      </c>
      <c r="I41" s="21" t="n">
        <f aca="false">SUM(I42:I42)</f>
        <v>1</v>
      </c>
      <c r="J41" s="21" t="n">
        <f aca="false">SUM(J42:J42)</f>
        <v>1</v>
      </c>
      <c r="M41" s="21" t="n">
        <f aca="false">SUM(M42:M42)</f>
        <v>1</v>
      </c>
      <c r="N41" s="21" t="n">
        <f aca="false">SUM(N42:N42)</f>
        <v>1</v>
      </c>
      <c r="O41" s="21" t="n">
        <f aca="false">SUM(O42:O42)</f>
        <v>0</v>
      </c>
      <c r="P41" s="21" t="n">
        <f aca="false">SUM(P42:P42)</f>
        <v>0</v>
      </c>
      <c r="Q41" s="21" t="n">
        <f aca="false">SUM(Q42:Q42)</f>
        <v>0</v>
      </c>
      <c r="R41" s="21" t="n">
        <f aca="false">SUM(R42:R42)</f>
        <v>0</v>
      </c>
      <c r="S41" s="21" t="n">
        <f aca="false">SUM(S42:S42)</f>
        <v>0</v>
      </c>
      <c r="T41" s="21" t="n">
        <f aca="false">SUM(T42:T42)</f>
        <v>0</v>
      </c>
      <c r="U41" s="21" t="n">
        <f aca="false">SUM(U42:U42)</f>
        <v>0</v>
      </c>
      <c r="V41" s="21" t="n">
        <f aca="false">SUM(V42:V42)</f>
        <v>0</v>
      </c>
      <c r="W41" s="22"/>
    </row>
    <row r="42" customFormat="false" ht="15" hidden="true" customHeight="false" outlineLevel="1" collapsed="false">
      <c r="A42" s="11" t="s">
        <v>83</v>
      </c>
      <c r="B42" s="23" t="s">
        <v>84</v>
      </c>
      <c r="C42" s="5"/>
      <c r="D42" s="5"/>
      <c r="E42" s="7" t="n">
        <v>1</v>
      </c>
      <c r="F42" s="7" t="n">
        <v>1</v>
      </c>
      <c r="G42" s="5"/>
      <c r="H42" s="5"/>
      <c r="I42" s="5" t="n">
        <f aca="false">C42+E42+G42</f>
        <v>1</v>
      </c>
      <c r="J42" s="5" t="n">
        <f aca="false">D42+F42+H42</f>
        <v>1</v>
      </c>
      <c r="M42" s="7" t="n">
        <v>1</v>
      </c>
      <c r="N42" s="7" t="n">
        <v>1</v>
      </c>
      <c r="O42" s="5"/>
      <c r="P42" s="5"/>
      <c r="Q42" s="5"/>
      <c r="R42" s="5"/>
      <c r="S42" s="5"/>
      <c r="T42" s="5"/>
      <c r="U42" s="5"/>
      <c r="V42" s="5"/>
      <c r="W42" s="11"/>
    </row>
    <row r="43" customFormat="false" ht="15" hidden="false" customHeight="false" outlineLevel="0" collapsed="false">
      <c r="A43" s="19" t="s">
        <v>85</v>
      </c>
      <c r="B43" s="20" t="s">
        <v>86</v>
      </c>
      <c r="C43" s="21" t="n">
        <v>0</v>
      </c>
      <c r="D43" s="21" t="n">
        <v>0</v>
      </c>
      <c r="E43" s="21" t="n">
        <v>0</v>
      </c>
      <c r="F43" s="21" t="n">
        <v>0</v>
      </c>
      <c r="G43" s="21" t="n">
        <v>0</v>
      </c>
      <c r="H43" s="21" t="n">
        <v>0</v>
      </c>
      <c r="I43" s="21" t="n">
        <v>0</v>
      </c>
      <c r="J43" s="21" t="n">
        <v>0</v>
      </c>
      <c r="M43" s="21" t="n">
        <v>0</v>
      </c>
      <c r="N43" s="21" t="n">
        <v>0</v>
      </c>
      <c r="O43" s="21" t="n">
        <v>0</v>
      </c>
      <c r="P43" s="21" t="n">
        <v>0</v>
      </c>
      <c r="Q43" s="21" t="n">
        <v>0</v>
      </c>
      <c r="R43" s="21" t="n">
        <v>0</v>
      </c>
      <c r="S43" s="21" t="n">
        <v>0</v>
      </c>
      <c r="T43" s="21" t="n">
        <v>0</v>
      </c>
      <c r="U43" s="21" t="n">
        <v>0</v>
      </c>
      <c r="V43" s="21" t="n">
        <v>0</v>
      </c>
      <c r="W43" s="22"/>
    </row>
    <row r="44" customFormat="false" ht="15" hidden="false" customHeight="false" outlineLevel="0" collapsed="false">
      <c r="A44" s="19" t="s">
        <v>87</v>
      </c>
      <c r="B44" s="20" t="s">
        <v>88</v>
      </c>
      <c r="C44" s="21" t="n">
        <v>0</v>
      </c>
      <c r="D44" s="21" t="n">
        <v>0</v>
      </c>
      <c r="E44" s="21" t="n">
        <v>0</v>
      </c>
      <c r="F44" s="21" t="n">
        <v>0</v>
      </c>
      <c r="G44" s="21" t="n">
        <v>0</v>
      </c>
      <c r="H44" s="21" t="n">
        <v>0</v>
      </c>
      <c r="I44" s="21" t="n">
        <v>0</v>
      </c>
      <c r="J44" s="21" t="n">
        <v>0</v>
      </c>
      <c r="M44" s="21" t="n">
        <v>0</v>
      </c>
      <c r="N44" s="21" t="n">
        <v>0</v>
      </c>
      <c r="O44" s="21" t="n">
        <v>0</v>
      </c>
      <c r="P44" s="21" t="n">
        <v>0</v>
      </c>
      <c r="Q44" s="21" t="n">
        <v>0</v>
      </c>
      <c r="R44" s="21" t="n">
        <v>0</v>
      </c>
      <c r="S44" s="21" t="n">
        <v>0</v>
      </c>
      <c r="T44" s="21" t="n">
        <v>0</v>
      </c>
      <c r="U44" s="21" t="n">
        <v>0</v>
      </c>
      <c r="V44" s="21" t="n">
        <v>0</v>
      </c>
      <c r="W44" s="22"/>
    </row>
    <row r="45" customFormat="false" ht="15" hidden="false" customHeight="false" outlineLevel="0" collapsed="false">
      <c r="A45" s="19" t="s">
        <v>89</v>
      </c>
      <c r="B45" s="20" t="s">
        <v>90</v>
      </c>
      <c r="C45" s="21" t="n">
        <f aca="false">SUM(C46:C46)</f>
        <v>0</v>
      </c>
      <c r="D45" s="21" t="n">
        <f aca="false">SUM(D46:D46)</f>
        <v>0</v>
      </c>
      <c r="E45" s="21" t="n">
        <f aca="false">SUM(E46:E46)</f>
        <v>1</v>
      </c>
      <c r="F45" s="21" t="n">
        <f aca="false">SUM(F46:F46)</f>
        <v>1</v>
      </c>
      <c r="G45" s="21" t="n">
        <f aca="false">SUM(G46:G46)</f>
        <v>0</v>
      </c>
      <c r="H45" s="21" t="n">
        <f aca="false">SUM(H46:H46)</f>
        <v>0</v>
      </c>
      <c r="I45" s="21" t="n">
        <f aca="false">SUM(I46:I46)</f>
        <v>1</v>
      </c>
      <c r="J45" s="21" t="n">
        <f aca="false">SUM(J46:J46)</f>
        <v>1</v>
      </c>
      <c r="M45" s="21" t="n">
        <f aca="false">SUM(M46:M46)</f>
        <v>1</v>
      </c>
      <c r="N45" s="21" t="n">
        <f aca="false">SUM(N46:N46)</f>
        <v>1</v>
      </c>
      <c r="O45" s="21" t="n">
        <f aca="false">SUM(O46:O46)</f>
        <v>0</v>
      </c>
      <c r="P45" s="21" t="n">
        <f aca="false">SUM(P46:P46)</f>
        <v>0</v>
      </c>
      <c r="Q45" s="21" t="n">
        <f aca="false">SUM(Q46:Q46)</f>
        <v>0</v>
      </c>
      <c r="R45" s="21" t="n">
        <f aca="false">SUM(R46:R46)</f>
        <v>0</v>
      </c>
      <c r="S45" s="21" t="n">
        <f aca="false">SUM(S46:S46)</f>
        <v>0</v>
      </c>
      <c r="T45" s="21" t="n">
        <f aca="false">SUM(T46:T46)</f>
        <v>0</v>
      </c>
      <c r="U45" s="21" t="n">
        <f aca="false">SUM(U46:U46)</f>
        <v>0</v>
      </c>
      <c r="V45" s="21" t="n">
        <f aca="false">SUM(V46:V46)</f>
        <v>0</v>
      </c>
      <c r="W45" s="22"/>
    </row>
    <row r="46" customFormat="false" ht="15" hidden="true" customHeight="false" outlineLevel="1" collapsed="false">
      <c r="A46" s="11" t="s">
        <v>91</v>
      </c>
      <c r="B46" s="23" t="s">
        <v>92</v>
      </c>
      <c r="C46" s="5"/>
      <c r="D46" s="5"/>
      <c r="E46" s="7" t="n">
        <v>1</v>
      </c>
      <c r="F46" s="7" t="n">
        <v>1</v>
      </c>
      <c r="G46" s="5"/>
      <c r="H46" s="5"/>
      <c r="I46" s="5" t="n">
        <f aca="false">C46+E46+G46</f>
        <v>1</v>
      </c>
      <c r="J46" s="5" t="n">
        <f aca="false">D46+F46+H46</f>
        <v>1</v>
      </c>
      <c r="M46" s="7" t="n">
        <v>1</v>
      </c>
      <c r="N46" s="7" t="n">
        <v>1</v>
      </c>
      <c r="O46" s="5"/>
      <c r="P46" s="5"/>
      <c r="Q46" s="5"/>
      <c r="R46" s="5"/>
      <c r="S46" s="5"/>
      <c r="T46" s="5"/>
      <c r="U46" s="5"/>
      <c r="V46" s="5"/>
      <c r="W46" s="11"/>
    </row>
    <row r="47" customFormat="false" ht="15" hidden="false" customHeight="false" outlineLevel="0" collapsed="false">
      <c r="A47" s="24" t="s">
        <v>93</v>
      </c>
      <c r="B47" s="25"/>
      <c r="C47" s="26" t="n">
        <f aca="false">C40+C41+C43+C44+C45</f>
        <v>0</v>
      </c>
      <c r="D47" s="26" t="n">
        <f aca="false">D40+D41+D43+D44+D45</f>
        <v>0</v>
      </c>
      <c r="E47" s="26" t="n">
        <f aca="false">E40+E41+E43+E44+E45</f>
        <v>2</v>
      </c>
      <c r="F47" s="26" t="n">
        <f aca="false">F40+F41+F43+F44+F45</f>
        <v>2</v>
      </c>
      <c r="G47" s="26" t="n">
        <f aca="false">G40+G41+G43+G44+G45</f>
        <v>0</v>
      </c>
      <c r="H47" s="26" t="n">
        <f aca="false">H40+H41+H43+H44+H45</f>
        <v>0</v>
      </c>
      <c r="I47" s="26" t="n">
        <f aca="false">I40+I41+I43+I44+I45</f>
        <v>2</v>
      </c>
      <c r="J47" s="26" t="n">
        <f aca="false">J40+J41+J43+J44+J45</f>
        <v>2</v>
      </c>
      <c r="M47" s="26" t="n">
        <f aca="false">M40+M41+M43+M44+M45</f>
        <v>2</v>
      </c>
      <c r="N47" s="26" t="n">
        <f aca="false">N40+N41+N43+N44+N45</f>
        <v>2</v>
      </c>
      <c r="O47" s="26" t="n">
        <f aca="false">O40+O41+O43+O44+O45</f>
        <v>0</v>
      </c>
      <c r="P47" s="26" t="n">
        <f aca="false">P40+P41+P43+P44+P45</f>
        <v>0</v>
      </c>
      <c r="Q47" s="26" t="n">
        <f aca="false">Q40+Q41+Q43+Q44+Q45</f>
        <v>0</v>
      </c>
      <c r="R47" s="26" t="n">
        <f aca="false">R40+R41+R43+R44+R45</f>
        <v>0</v>
      </c>
      <c r="S47" s="26" t="n">
        <f aca="false">S40+S41+S43+S44+S45</f>
        <v>0</v>
      </c>
      <c r="T47" s="26" t="n">
        <f aca="false">T40+T41+T43+T44+T45</f>
        <v>0</v>
      </c>
      <c r="U47" s="26" t="n">
        <f aca="false">U40+U41+U43+U44+U45</f>
        <v>0</v>
      </c>
      <c r="V47" s="26" t="n">
        <f aca="false">V40+V41+V43+V44+V45</f>
        <v>0</v>
      </c>
      <c r="W47" s="25"/>
    </row>
    <row r="49" customFormat="false" ht="15" hidden="false" customHeight="false" outlineLevel="0" collapsed="false">
      <c r="A49" s="19" t="s">
        <v>94</v>
      </c>
      <c r="B49" s="20" t="s">
        <v>95</v>
      </c>
      <c r="C49" s="21" t="n">
        <v>0</v>
      </c>
      <c r="D49" s="21" t="n">
        <v>0</v>
      </c>
      <c r="E49" s="21" t="n">
        <v>0</v>
      </c>
      <c r="F49" s="21" t="n">
        <v>0</v>
      </c>
      <c r="G49" s="21" t="n">
        <v>0</v>
      </c>
      <c r="H49" s="21" t="n">
        <v>0</v>
      </c>
      <c r="I49" s="21" t="n">
        <v>0</v>
      </c>
      <c r="J49" s="21" t="n">
        <v>0</v>
      </c>
      <c r="M49" s="21" t="n">
        <v>0</v>
      </c>
      <c r="N49" s="21" t="n">
        <v>0</v>
      </c>
      <c r="O49" s="21" t="n">
        <v>0</v>
      </c>
      <c r="P49" s="21" t="n">
        <v>0</v>
      </c>
      <c r="Q49" s="21" t="n">
        <v>0</v>
      </c>
      <c r="R49" s="21" t="n">
        <v>0</v>
      </c>
      <c r="S49" s="21" t="n">
        <v>0</v>
      </c>
      <c r="T49" s="21" t="n">
        <v>0</v>
      </c>
      <c r="U49" s="21" t="n">
        <v>0</v>
      </c>
      <c r="V49" s="21" t="n">
        <v>0</v>
      </c>
      <c r="W49" s="22"/>
    </row>
    <row r="50" customFormat="false" ht="15" hidden="false" customHeight="false" outlineLevel="0" collapsed="false">
      <c r="A50" s="19" t="s">
        <v>96</v>
      </c>
      <c r="B50" s="20" t="s">
        <v>97</v>
      </c>
      <c r="C50" s="21" t="n">
        <f aca="false">SUM(C51:C53)</f>
        <v>1</v>
      </c>
      <c r="D50" s="21" t="n">
        <f aca="false">SUM(D51:D53)</f>
        <v>1</v>
      </c>
      <c r="E50" s="21" t="n">
        <f aca="false">SUM(E51:E53)</f>
        <v>2</v>
      </c>
      <c r="F50" s="21" t="n">
        <f aca="false">SUM(F51:F53)</f>
        <v>3</v>
      </c>
      <c r="G50" s="21" t="n">
        <f aca="false">SUM(G51:G53)</f>
        <v>0</v>
      </c>
      <c r="H50" s="21" t="n">
        <f aca="false">SUM(H51:H53)</f>
        <v>0</v>
      </c>
      <c r="I50" s="21" t="n">
        <f aca="false">SUM(I51:I53)</f>
        <v>3</v>
      </c>
      <c r="J50" s="21" t="n">
        <f aca="false">SUM(J51:J53)</f>
        <v>4</v>
      </c>
      <c r="M50" s="21" t="n">
        <f aca="false">SUM(M51:M53)</f>
        <v>1</v>
      </c>
      <c r="N50" s="21" t="n">
        <f aca="false">SUM(N51:N53)</f>
        <v>1</v>
      </c>
      <c r="O50" s="21" t="n">
        <f aca="false">SUM(O51:O53)</f>
        <v>0</v>
      </c>
      <c r="P50" s="21" t="n">
        <f aca="false">SUM(P51:P53)</f>
        <v>0</v>
      </c>
      <c r="Q50" s="21" t="n">
        <f aca="false">SUM(Q51:Q53)</f>
        <v>0</v>
      </c>
      <c r="R50" s="21" t="n">
        <f aca="false">SUM(R51:R53)</f>
        <v>0</v>
      </c>
      <c r="S50" s="21" t="n">
        <f aca="false">SUM(S51:S53)</f>
        <v>2</v>
      </c>
      <c r="T50" s="21" t="n">
        <f aca="false">SUM(T51:T53)</f>
        <v>3</v>
      </c>
      <c r="U50" s="21" t="n">
        <f aca="false">SUM(U51:U53)</f>
        <v>0</v>
      </c>
      <c r="V50" s="21" t="n">
        <f aca="false">SUM(V51:V53)</f>
        <v>0</v>
      </c>
      <c r="W50" s="22"/>
    </row>
    <row r="51" customFormat="false" ht="15" hidden="true" customHeight="false" outlineLevel="1" collapsed="false">
      <c r="A51" s="11" t="s">
        <v>98</v>
      </c>
      <c r="B51" s="23" t="s">
        <v>99</v>
      </c>
      <c r="C51" s="7" t="n">
        <v>1</v>
      </c>
      <c r="D51" s="7" t="n">
        <v>1</v>
      </c>
      <c r="E51" s="5"/>
      <c r="F51" s="5"/>
      <c r="G51" s="5"/>
      <c r="H51" s="5"/>
      <c r="I51" s="5" t="n">
        <f aca="false">C51+E51+G51</f>
        <v>1</v>
      </c>
      <c r="J51" s="5" t="n">
        <f aca="false">D51+F51+H51</f>
        <v>1</v>
      </c>
      <c r="M51" s="7" t="n">
        <v>1</v>
      </c>
      <c r="N51" s="7" t="n">
        <v>1</v>
      </c>
      <c r="O51" s="5"/>
      <c r="P51" s="5"/>
      <c r="Q51" s="5"/>
      <c r="R51" s="5"/>
      <c r="S51" s="5"/>
      <c r="T51" s="5"/>
      <c r="U51" s="5"/>
      <c r="V51" s="5"/>
      <c r="W51" s="11"/>
    </row>
    <row r="52" customFormat="false" ht="15" hidden="true" customHeight="false" outlineLevel="1" collapsed="false">
      <c r="A52" s="11" t="s">
        <v>100</v>
      </c>
      <c r="B52" s="23" t="s">
        <v>101</v>
      </c>
      <c r="C52" s="5"/>
      <c r="D52" s="5"/>
      <c r="E52" s="7" t="n">
        <v>1</v>
      </c>
      <c r="F52" s="7" t="n">
        <v>2</v>
      </c>
      <c r="G52" s="5"/>
      <c r="H52" s="5"/>
      <c r="I52" s="5" t="n">
        <f aca="false">C52+E52+G52</f>
        <v>1</v>
      </c>
      <c r="J52" s="5" t="n">
        <f aca="false">D52+F52+H52</f>
        <v>2</v>
      </c>
      <c r="M52" s="5"/>
      <c r="N52" s="5"/>
      <c r="O52" s="5"/>
      <c r="P52" s="5"/>
      <c r="Q52" s="5"/>
      <c r="R52" s="5"/>
      <c r="S52" s="7" t="n">
        <v>1</v>
      </c>
      <c r="T52" s="7" t="n">
        <v>2</v>
      </c>
      <c r="U52" s="5"/>
      <c r="V52" s="5"/>
      <c r="W52" s="11"/>
    </row>
    <row r="53" customFormat="false" ht="15" hidden="true" customHeight="false" outlineLevel="1" collapsed="false">
      <c r="A53" s="11" t="s">
        <v>102</v>
      </c>
      <c r="B53" s="23" t="s">
        <v>103</v>
      </c>
      <c r="C53" s="5"/>
      <c r="D53" s="5"/>
      <c r="E53" s="7" t="n">
        <v>1</v>
      </c>
      <c r="F53" s="7" t="n">
        <v>1</v>
      </c>
      <c r="G53" s="5"/>
      <c r="H53" s="5"/>
      <c r="I53" s="5" t="n">
        <f aca="false">C53+E53+G53</f>
        <v>1</v>
      </c>
      <c r="J53" s="5" t="n">
        <f aca="false">D53+F53+H53</f>
        <v>1</v>
      </c>
      <c r="M53" s="5"/>
      <c r="N53" s="5"/>
      <c r="O53" s="5"/>
      <c r="P53" s="5"/>
      <c r="Q53" s="5"/>
      <c r="R53" s="5"/>
      <c r="S53" s="7" t="n">
        <v>1</v>
      </c>
      <c r="T53" s="7" t="n">
        <v>1</v>
      </c>
      <c r="U53" s="5"/>
      <c r="V53" s="5"/>
      <c r="W53" s="11"/>
    </row>
    <row r="54" customFormat="false" ht="15" hidden="false" customHeight="false" outlineLevel="0" collapsed="false">
      <c r="A54" s="19" t="s">
        <v>104</v>
      </c>
      <c r="B54" s="20" t="s">
        <v>105</v>
      </c>
      <c r="C54" s="21" t="n">
        <f aca="false">SUM(C55:C56)</f>
        <v>0</v>
      </c>
      <c r="D54" s="21" t="n">
        <f aca="false">SUM(D55:D56)</f>
        <v>0</v>
      </c>
      <c r="E54" s="21" t="n">
        <f aca="false">SUM(E55:E56)</f>
        <v>2</v>
      </c>
      <c r="F54" s="21" t="n">
        <f aca="false">SUM(F55:F56)</f>
        <v>7</v>
      </c>
      <c r="G54" s="21" t="n">
        <f aca="false">SUM(G55:G56)</f>
        <v>0</v>
      </c>
      <c r="H54" s="21" t="n">
        <f aca="false">SUM(H55:H56)</f>
        <v>0</v>
      </c>
      <c r="I54" s="21" t="n">
        <f aca="false">SUM(I55:I56)</f>
        <v>2</v>
      </c>
      <c r="J54" s="21" t="n">
        <f aca="false">SUM(J55:J56)</f>
        <v>7</v>
      </c>
      <c r="M54" s="21" t="n">
        <f aca="false">SUM(M55:M56)</f>
        <v>0</v>
      </c>
      <c r="N54" s="21" t="n">
        <f aca="false">SUM(N55:N56)</f>
        <v>0</v>
      </c>
      <c r="O54" s="21" t="n">
        <f aca="false">SUM(O55:O56)</f>
        <v>0</v>
      </c>
      <c r="P54" s="21" t="n">
        <f aca="false">SUM(P55:P56)</f>
        <v>0</v>
      </c>
      <c r="Q54" s="21" t="n">
        <f aca="false">SUM(Q55:Q56)</f>
        <v>0</v>
      </c>
      <c r="R54" s="21" t="n">
        <f aca="false">SUM(R55:R56)</f>
        <v>0</v>
      </c>
      <c r="S54" s="21" t="n">
        <f aca="false">SUM(S55:S56)</f>
        <v>2</v>
      </c>
      <c r="T54" s="21" t="n">
        <f aca="false">SUM(T55:T56)</f>
        <v>7</v>
      </c>
      <c r="U54" s="21" t="n">
        <f aca="false">SUM(U55:U56)</f>
        <v>0</v>
      </c>
      <c r="V54" s="21" t="n">
        <f aca="false">SUM(V55:V56)</f>
        <v>0</v>
      </c>
      <c r="W54" s="22"/>
    </row>
    <row r="55" customFormat="false" ht="15" hidden="true" customHeight="false" outlineLevel="1" collapsed="false">
      <c r="A55" s="11" t="s">
        <v>106</v>
      </c>
      <c r="B55" s="23" t="s">
        <v>107</v>
      </c>
      <c r="C55" s="5"/>
      <c r="D55" s="5"/>
      <c r="E55" s="7" t="n">
        <v>1</v>
      </c>
      <c r="F55" s="7" t="n">
        <v>2</v>
      </c>
      <c r="G55" s="5"/>
      <c r="H55" s="5"/>
      <c r="I55" s="5" t="n">
        <f aca="false">C55+E55+G55</f>
        <v>1</v>
      </c>
      <c r="J55" s="5" t="n">
        <f aca="false">D55+F55+H55</f>
        <v>2</v>
      </c>
      <c r="M55" s="5"/>
      <c r="N55" s="5"/>
      <c r="O55" s="5"/>
      <c r="P55" s="5"/>
      <c r="Q55" s="5"/>
      <c r="R55" s="5"/>
      <c r="S55" s="7" t="n">
        <v>1</v>
      </c>
      <c r="T55" s="7" t="n">
        <v>2</v>
      </c>
      <c r="U55" s="5"/>
      <c r="V55" s="5"/>
      <c r="W55" s="11"/>
    </row>
    <row r="56" customFormat="false" ht="15" hidden="true" customHeight="false" outlineLevel="1" collapsed="false">
      <c r="A56" s="11" t="s">
        <v>106</v>
      </c>
      <c r="B56" s="23" t="s">
        <v>107</v>
      </c>
      <c r="C56" s="5"/>
      <c r="D56" s="5"/>
      <c r="E56" s="7" t="n">
        <v>1</v>
      </c>
      <c r="F56" s="7" t="n">
        <v>5</v>
      </c>
      <c r="G56" s="5"/>
      <c r="H56" s="5"/>
      <c r="I56" s="5" t="n">
        <f aca="false">C56+E56+G56</f>
        <v>1</v>
      </c>
      <c r="J56" s="5" t="n">
        <f aca="false">D56+F56+H56</f>
        <v>5</v>
      </c>
      <c r="M56" s="5"/>
      <c r="N56" s="5"/>
      <c r="O56" s="5"/>
      <c r="P56" s="5"/>
      <c r="Q56" s="5"/>
      <c r="R56" s="5"/>
      <c r="S56" s="7" t="n">
        <v>1</v>
      </c>
      <c r="T56" s="7" t="n">
        <v>5</v>
      </c>
      <c r="U56" s="5"/>
      <c r="V56" s="5"/>
      <c r="W56" s="11"/>
    </row>
    <row r="57" customFormat="false" ht="15" hidden="false" customHeight="false" outlineLevel="0" collapsed="false">
      <c r="A57" s="19" t="s">
        <v>108</v>
      </c>
      <c r="B57" s="20" t="s">
        <v>109</v>
      </c>
      <c r="C57" s="21" t="n">
        <f aca="false">SUM(C58:C62)</f>
        <v>1</v>
      </c>
      <c r="D57" s="21" t="n">
        <f aca="false">SUM(D58:D62)</f>
        <v>5</v>
      </c>
      <c r="E57" s="21" t="n">
        <f aca="false">SUM(E58:E62)</f>
        <v>3</v>
      </c>
      <c r="F57" s="21" t="n">
        <f aca="false">SUM(F58:F62)</f>
        <v>7</v>
      </c>
      <c r="G57" s="21" t="n">
        <f aca="false">SUM(G58:G62)</f>
        <v>1</v>
      </c>
      <c r="H57" s="21" t="n">
        <f aca="false">SUM(H58:H62)</f>
        <v>16</v>
      </c>
      <c r="I57" s="21" t="n">
        <f aca="false">SUM(I58:I62)</f>
        <v>5</v>
      </c>
      <c r="J57" s="21" t="n">
        <f aca="false">SUM(J58:J62)</f>
        <v>28</v>
      </c>
      <c r="M57" s="21" t="n">
        <f aca="false">SUM(M58:M62)</f>
        <v>0</v>
      </c>
      <c r="N57" s="21" t="n">
        <f aca="false">SUM(N58:N62)</f>
        <v>0</v>
      </c>
      <c r="O57" s="21" t="n">
        <f aca="false">SUM(O58:O62)</f>
        <v>2</v>
      </c>
      <c r="P57" s="21" t="n">
        <f aca="false">SUM(P58:P62)</f>
        <v>21</v>
      </c>
      <c r="Q57" s="21" t="n">
        <f aca="false">SUM(Q58:Q62)</f>
        <v>0</v>
      </c>
      <c r="R57" s="21" t="n">
        <f aca="false">SUM(R58:R62)</f>
        <v>0</v>
      </c>
      <c r="S57" s="21" t="n">
        <f aca="false">SUM(S58:S62)</f>
        <v>3</v>
      </c>
      <c r="T57" s="21" t="n">
        <f aca="false">SUM(T58:T62)</f>
        <v>7</v>
      </c>
      <c r="U57" s="21" t="n">
        <f aca="false">SUM(U58:U62)</f>
        <v>0</v>
      </c>
      <c r="V57" s="21" t="n">
        <f aca="false">SUM(V58:V62)</f>
        <v>0</v>
      </c>
      <c r="W57" s="22"/>
    </row>
    <row r="58" customFormat="false" ht="15" hidden="true" customHeight="false" outlineLevel="1" collapsed="false">
      <c r="A58" s="11" t="s">
        <v>110</v>
      </c>
      <c r="B58" s="23" t="s">
        <v>111</v>
      </c>
      <c r="C58" s="7" t="n">
        <v>1</v>
      </c>
      <c r="D58" s="7" t="n">
        <v>5</v>
      </c>
      <c r="E58" s="5"/>
      <c r="F58" s="5"/>
      <c r="G58" s="5"/>
      <c r="H58" s="5"/>
      <c r="I58" s="5" t="n">
        <f aca="false">C58+E58+G58</f>
        <v>1</v>
      </c>
      <c r="J58" s="5" t="n">
        <f aca="false">D58+F58+H58</f>
        <v>5</v>
      </c>
      <c r="M58" s="5"/>
      <c r="N58" s="5"/>
      <c r="O58" s="7" t="n">
        <v>1</v>
      </c>
      <c r="P58" s="7" t="n">
        <v>5</v>
      </c>
      <c r="Q58" s="5"/>
      <c r="R58" s="5"/>
      <c r="S58" s="5"/>
      <c r="T58" s="5"/>
      <c r="U58" s="5"/>
      <c r="V58" s="5"/>
      <c r="W58" s="11"/>
    </row>
    <row r="59" customFormat="false" ht="15" hidden="true" customHeight="false" outlineLevel="1" collapsed="false">
      <c r="A59" s="11" t="s">
        <v>112</v>
      </c>
      <c r="B59" s="23" t="s">
        <v>107</v>
      </c>
      <c r="C59" s="5"/>
      <c r="D59" s="5"/>
      <c r="E59" s="7" t="n">
        <v>1</v>
      </c>
      <c r="F59" s="7" t="n">
        <v>1</v>
      </c>
      <c r="G59" s="5"/>
      <c r="H59" s="5"/>
      <c r="I59" s="5" t="n">
        <f aca="false">C59+E59+G59</f>
        <v>1</v>
      </c>
      <c r="J59" s="5" t="n">
        <f aca="false">D59+F59+H59</f>
        <v>1</v>
      </c>
      <c r="M59" s="5"/>
      <c r="N59" s="5"/>
      <c r="O59" s="5"/>
      <c r="P59" s="5"/>
      <c r="Q59" s="5"/>
      <c r="R59" s="5"/>
      <c r="S59" s="7" t="n">
        <v>1</v>
      </c>
      <c r="T59" s="7" t="n">
        <v>1</v>
      </c>
      <c r="U59" s="5"/>
      <c r="V59" s="5"/>
      <c r="W59" s="11"/>
    </row>
    <row r="60" customFormat="false" ht="15" hidden="true" customHeight="false" outlineLevel="1" collapsed="false">
      <c r="A60" s="11" t="s">
        <v>112</v>
      </c>
      <c r="B60" s="23" t="s">
        <v>107</v>
      </c>
      <c r="C60" s="5"/>
      <c r="D60" s="5"/>
      <c r="E60" s="7" t="n">
        <v>1</v>
      </c>
      <c r="F60" s="7" t="n">
        <v>5</v>
      </c>
      <c r="G60" s="5"/>
      <c r="H60" s="5"/>
      <c r="I60" s="5" t="n">
        <f aca="false">C60+E60+G60</f>
        <v>1</v>
      </c>
      <c r="J60" s="5" t="n">
        <f aca="false">D60+F60+H60</f>
        <v>5</v>
      </c>
      <c r="M60" s="5"/>
      <c r="N60" s="5"/>
      <c r="O60" s="5"/>
      <c r="P60" s="5"/>
      <c r="Q60" s="5"/>
      <c r="R60" s="5"/>
      <c r="S60" s="7" t="n">
        <v>1</v>
      </c>
      <c r="T60" s="7" t="n">
        <v>5</v>
      </c>
      <c r="U60" s="5"/>
      <c r="V60" s="5"/>
      <c r="W60" s="11"/>
    </row>
    <row r="61" customFormat="false" ht="15" hidden="true" customHeight="false" outlineLevel="1" collapsed="false">
      <c r="A61" s="11" t="s">
        <v>112</v>
      </c>
      <c r="B61" s="23" t="s">
        <v>107</v>
      </c>
      <c r="C61" s="5"/>
      <c r="D61" s="5"/>
      <c r="E61" s="7" t="n">
        <v>1</v>
      </c>
      <c r="F61" s="7" t="n">
        <v>1</v>
      </c>
      <c r="G61" s="5"/>
      <c r="H61" s="5"/>
      <c r="I61" s="5" t="n">
        <f aca="false">C61+E61+G61</f>
        <v>1</v>
      </c>
      <c r="J61" s="5" t="n">
        <f aca="false">D61+F61+H61</f>
        <v>1</v>
      </c>
      <c r="M61" s="5"/>
      <c r="N61" s="5"/>
      <c r="O61" s="5"/>
      <c r="P61" s="5"/>
      <c r="Q61" s="5"/>
      <c r="R61" s="5"/>
      <c r="S61" s="7" t="n">
        <v>1</v>
      </c>
      <c r="T61" s="7" t="n">
        <v>1</v>
      </c>
      <c r="U61" s="5"/>
      <c r="V61" s="5"/>
      <c r="W61" s="11"/>
    </row>
    <row r="62" customFormat="false" ht="15" hidden="true" customHeight="false" outlineLevel="1" collapsed="false">
      <c r="A62" s="11" t="s">
        <v>112</v>
      </c>
      <c r="B62" s="23" t="s">
        <v>113</v>
      </c>
      <c r="C62" s="5"/>
      <c r="D62" s="5"/>
      <c r="E62" s="5"/>
      <c r="F62" s="5"/>
      <c r="G62" s="7" t="n">
        <v>1</v>
      </c>
      <c r="H62" s="7" t="n">
        <v>16</v>
      </c>
      <c r="I62" s="5" t="n">
        <f aca="false">C62+E62+G62</f>
        <v>1</v>
      </c>
      <c r="J62" s="5" t="n">
        <f aca="false">D62+F62+H62</f>
        <v>16</v>
      </c>
      <c r="M62" s="5"/>
      <c r="N62" s="5"/>
      <c r="O62" s="7" t="n">
        <v>1</v>
      </c>
      <c r="P62" s="7" t="n">
        <v>16</v>
      </c>
      <c r="Q62" s="5"/>
      <c r="R62" s="5"/>
      <c r="S62" s="5"/>
      <c r="T62" s="5"/>
      <c r="U62" s="5"/>
      <c r="V62" s="5"/>
      <c r="W62" s="11"/>
    </row>
    <row r="63" customFormat="false" ht="15" hidden="false" customHeight="false" outlineLevel="0" collapsed="false">
      <c r="A63" s="19" t="s">
        <v>114</v>
      </c>
      <c r="B63" s="20" t="s">
        <v>115</v>
      </c>
      <c r="C63" s="21" t="n">
        <f aca="false">SUM(C64:C69)</f>
        <v>1</v>
      </c>
      <c r="D63" s="21" t="n">
        <f aca="false">SUM(D64:D69)</f>
        <v>2</v>
      </c>
      <c r="E63" s="21" t="n">
        <f aca="false">SUM(E64:E69)</f>
        <v>4</v>
      </c>
      <c r="F63" s="21" t="n">
        <f aca="false">SUM(F64:F69)</f>
        <v>26</v>
      </c>
      <c r="G63" s="21" t="n">
        <f aca="false">SUM(G64:G69)</f>
        <v>1</v>
      </c>
      <c r="H63" s="21" t="n">
        <f aca="false">SUM(H64:H69)</f>
        <v>1</v>
      </c>
      <c r="I63" s="21" t="n">
        <f aca="false">SUM(I64:I69)</f>
        <v>6</v>
      </c>
      <c r="J63" s="21" t="n">
        <f aca="false">SUM(J64:J69)</f>
        <v>29</v>
      </c>
      <c r="M63" s="21" t="n">
        <f aca="false">SUM(M64:M69)</f>
        <v>3</v>
      </c>
      <c r="N63" s="21" t="n">
        <f aca="false">SUM(N64:N69)</f>
        <v>5</v>
      </c>
      <c r="O63" s="21" t="n">
        <f aca="false">SUM(O64:O69)</f>
        <v>1</v>
      </c>
      <c r="P63" s="21" t="n">
        <f aca="false">SUM(P64:P69)</f>
        <v>19</v>
      </c>
      <c r="Q63" s="21" t="n">
        <f aca="false">SUM(Q64:Q69)</f>
        <v>0</v>
      </c>
      <c r="R63" s="21" t="n">
        <f aca="false">SUM(R64:R69)</f>
        <v>0</v>
      </c>
      <c r="S63" s="21" t="n">
        <f aca="false">SUM(S64:S69)</f>
        <v>2</v>
      </c>
      <c r="T63" s="21" t="n">
        <f aca="false">SUM(T64:T69)</f>
        <v>5</v>
      </c>
      <c r="U63" s="21" t="n">
        <f aca="false">SUM(U64:U69)</f>
        <v>0</v>
      </c>
      <c r="V63" s="21" t="n">
        <f aca="false">SUM(V64:V69)</f>
        <v>0</v>
      </c>
      <c r="W63" s="22"/>
    </row>
    <row r="64" customFormat="false" ht="15" hidden="true" customHeight="false" outlineLevel="1" collapsed="false">
      <c r="A64" s="11" t="s">
        <v>116</v>
      </c>
      <c r="B64" s="23" t="s">
        <v>117</v>
      </c>
      <c r="C64" s="5"/>
      <c r="D64" s="5"/>
      <c r="E64" s="7" t="n">
        <v>1</v>
      </c>
      <c r="F64" s="7" t="n">
        <v>4</v>
      </c>
      <c r="G64" s="5"/>
      <c r="H64" s="5"/>
      <c r="I64" s="5" t="n">
        <f aca="false">C64+E64+G64</f>
        <v>1</v>
      </c>
      <c r="J64" s="5" t="n">
        <f aca="false">D64+F64+H64</f>
        <v>4</v>
      </c>
      <c r="M64" s="5"/>
      <c r="N64" s="5"/>
      <c r="O64" s="5"/>
      <c r="P64" s="5"/>
      <c r="Q64" s="5"/>
      <c r="R64" s="5"/>
      <c r="S64" s="7" t="n">
        <v>1</v>
      </c>
      <c r="T64" s="7" t="n">
        <v>4</v>
      </c>
      <c r="U64" s="5"/>
      <c r="V64" s="5"/>
      <c r="W64" s="11"/>
    </row>
    <row r="65" customFormat="false" ht="15" hidden="true" customHeight="false" outlineLevel="1" collapsed="false">
      <c r="A65" s="11" t="s">
        <v>118</v>
      </c>
      <c r="B65" s="23" t="s">
        <v>117</v>
      </c>
      <c r="C65" s="5"/>
      <c r="D65" s="5"/>
      <c r="E65" s="7" t="n">
        <v>1</v>
      </c>
      <c r="F65" s="7" t="n">
        <v>1</v>
      </c>
      <c r="G65" s="5"/>
      <c r="H65" s="5"/>
      <c r="I65" s="5" t="n">
        <f aca="false">C65+E65+G65</f>
        <v>1</v>
      </c>
      <c r="J65" s="5" t="n">
        <f aca="false">D65+F65+H65</f>
        <v>1</v>
      </c>
      <c r="M65" s="5"/>
      <c r="N65" s="5"/>
      <c r="O65" s="5"/>
      <c r="P65" s="5"/>
      <c r="Q65" s="5"/>
      <c r="R65" s="5"/>
      <c r="S65" s="7" t="n">
        <v>1</v>
      </c>
      <c r="T65" s="7" t="n">
        <v>1</v>
      </c>
      <c r="U65" s="5"/>
      <c r="V65" s="5"/>
      <c r="W65" s="23" t="s">
        <v>119</v>
      </c>
    </row>
    <row r="66" customFormat="false" ht="15" hidden="true" customHeight="false" outlineLevel="1" collapsed="false">
      <c r="A66" s="11" t="s">
        <v>120</v>
      </c>
      <c r="B66" s="23" t="s">
        <v>121</v>
      </c>
      <c r="C66" s="5"/>
      <c r="D66" s="5"/>
      <c r="E66" s="7" t="n">
        <v>1</v>
      </c>
      <c r="F66" s="7" t="n">
        <v>19</v>
      </c>
      <c r="G66" s="5"/>
      <c r="H66" s="5"/>
      <c r="I66" s="5" t="n">
        <f aca="false">C66+E66+G66</f>
        <v>1</v>
      </c>
      <c r="J66" s="5" t="n">
        <f aca="false">D66+F66+H66</f>
        <v>19</v>
      </c>
      <c r="M66" s="5"/>
      <c r="N66" s="5"/>
      <c r="O66" s="7" t="n">
        <v>1</v>
      </c>
      <c r="P66" s="7" t="n">
        <v>19</v>
      </c>
      <c r="Q66" s="5"/>
      <c r="R66" s="5"/>
      <c r="S66" s="5"/>
      <c r="T66" s="5"/>
      <c r="U66" s="5"/>
      <c r="V66" s="5"/>
      <c r="W66" s="23" t="s">
        <v>122</v>
      </c>
    </row>
    <row r="67" customFormat="false" ht="15" hidden="true" customHeight="false" outlineLevel="1" collapsed="false">
      <c r="A67" s="11" t="s">
        <v>120</v>
      </c>
      <c r="B67" s="23" t="s">
        <v>123</v>
      </c>
      <c r="C67" s="5"/>
      <c r="D67" s="5"/>
      <c r="E67" s="5"/>
      <c r="F67" s="5"/>
      <c r="G67" s="7" t="n">
        <v>1</v>
      </c>
      <c r="H67" s="7" t="n">
        <v>1</v>
      </c>
      <c r="I67" s="5" t="n">
        <f aca="false">C67+E67+G67</f>
        <v>1</v>
      </c>
      <c r="J67" s="5" t="n">
        <f aca="false">D67+F67+H67</f>
        <v>1</v>
      </c>
      <c r="M67" s="7" t="n">
        <v>1</v>
      </c>
      <c r="N67" s="7" t="n">
        <v>1</v>
      </c>
      <c r="O67" s="5"/>
      <c r="P67" s="5"/>
      <c r="Q67" s="5"/>
      <c r="R67" s="5"/>
      <c r="S67" s="5"/>
      <c r="T67" s="5"/>
      <c r="U67" s="5"/>
      <c r="V67" s="5"/>
      <c r="W67" s="11"/>
    </row>
    <row r="68" customFormat="false" ht="15" hidden="true" customHeight="false" outlineLevel="1" collapsed="false">
      <c r="A68" s="11" t="s">
        <v>120</v>
      </c>
      <c r="B68" s="23" t="s">
        <v>124</v>
      </c>
      <c r="C68" s="5"/>
      <c r="D68" s="5"/>
      <c r="E68" s="7" t="n">
        <v>1</v>
      </c>
      <c r="F68" s="7" t="n">
        <v>2</v>
      </c>
      <c r="G68" s="5"/>
      <c r="H68" s="5"/>
      <c r="I68" s="5" t="n">
        <f aca="false">C68+E68+G68</f>
        <v>1</v>
      </c>
      <c r="J68" s="5" t="n">
        <f aca="false">D68+F68+H68</f>
        <v>2</v>
      </c>
      <c r="M68" s="7" t="n">
        <v>1</v>
      </c>
      <c r="N68" s="7" t="n">
        <v>2</v>
      </c>
      <c r="O68" s="5"/>
      <c r="P68" s="5"/>
      <c r="Q68" s="5"/>
      <c r="R68" s="5"/>
      <c r="S68" s="5"/>
      <c r="T68" s="5"/>
      <c r="U68" s="5"/>
      <c r="V68" s="5"/>
      <c r="W68" s="23" t="s">
        <v>125</v>
      </c>
    </row>
    <row r="69" customFormat="false" ht="15" hidden="true" customHeight="false" outlineLevel="1" collapsed="false">
      <c r="A69" s="11" t="s">
        <v>120</v>
      </c>
      <c r="B69" s="23" t="s">
        <v>126</v>
      </c>
      <c r="C69" s="7" t="n">
        <v>1</v>
      </c>
      <c r="D69" s="7" t="n">
        <v>2</v>
      </c>
      <c r="E69" s="5"/>
      <c r="F69" s="5"/>
      <c r="G69" s="5"/>
      <c r="H69" s="5"/>
      <c r="I69" s="5" t="n">
        <f aca="false">C69+E69+G69</f>
        <v>1</v>
      </c>
      <c r="J69" s="5" t="n">
        <f aca="false">D69+F69+H69</f>
        <v>2</v>
      </c>
      <c r="M69" s="7" t="n">
        <v>1</v>
      </c>
      <c r="N69" s="7" t="n">
        <v>2</v>
      </c>
      <c r="O69" s="5"/>
      <c r="P69" s="5"/>
      <c r="Q69" s="5"/>
      <c r="R69" s="5"/>
      <c r="S69" s="5"/>
      <c r="T69" s="5"/>
      <c r="U69" s="5"/>
      <c r="V69" s="5"/>
      <c r="W69" s="11"/>
    </row>
    <row r="70" customFormat="false" ht="15" hidden="false" customHeight="false" outlineLevel="0" collapsed="false">
      <c r="A70" s="19" t="s">
        <v>127</v>
      </c>
      <c r="B70" s="20" t="s">
        <v>128</v>
      </c>
      <c r="C70" s="21" t="n">
        <v>0</v>
      </c>
      <c r="D70" s="21" t="n">
        <v>0</v>
      </c>
      <c r="E70" s="21" t="n">
        <v>0</v>
      </c>
      <c r="F70" s="21" t="n">
        <v>0</v>
      </c>
      <c r="G70" s="21" t="n">
        <v>0</v>
      </c>
      <c r="H70" s="21" t="n">
        <v>0</v>
      </c>
      <c r="I70" s="21" t="n">
        <v>0</v>
      </c>
      <c r="J70" s="21" t="n">
        <v>0</v>
      </c>
      <c r="M70" s="21" t="n">
        <v>0</v>
      </c>
      <c r="N70" s="21" t="n">
        <v>0</v>
      </c>
      <c r="O70" s="21" t="n">
        <v>0</v>
      </c>
      <c r="P70" s="21" t="n">
        <v>0</v>
      </c>
      <c r="Q70" s="21" t="n">
        <v>0</v>
      </c>
      <c r="R70" s="21" t="n">
        <v>0</v>
      </c>
      <c r="S70" s="21" t="n">
        <v>0</v>
      </c>
      <c r="T70" s="21" t="n">
        <v>0</v>
      </c>
      <c r="U70" s="21" t="n">
        <v>0</v>
      </c>
      <c r="V70" s="21" t="n">
        <v>0</v>
      </c>
      <c r="W70" s="22"/>
    </row>
    <row r="71" customFormat="false" ht="15" hidden="false" customHeight="false" outlineLevel="0" collapsed="false">
      <c r="A71" s="24" t="s">
        <v>129</v>
      </c>
      <c r="B71" s="25"/>
      <c r="C71" s="26" t="n">
        <f aca="false">C49+C50+C54+C57+C63+C70</f>
        <v>3</v>
      </c>
      <c r="D71" s="26" t="n">
        <f aca="false">D49+D50+D54+D57+D63+D70</f>
        <v>8</v>
      </c>
      <c r="E71" s="26" t="n">
        <f aca="false">E49+E50+E54+E57+E63+E70</f>
        <v>11</v>
      </c>
      <c r="F71" s="26" t="n">
        <f aca="false">F49+F50+F54+F57+F63+F70</f>
        <v>43</v>
      </c>
      <c r="G71" s="26" t="n">
        <f aca="false">G49+G50+G54+G57+G63+G70</f>
        <v>2</v>
      </c>
      <c r="H71" s="26" t="n">
        <f aca="false">H49+H50+H54+H57+H63+H70</f>
        <v>17</v>
      </c>
      <c r="I71" s="26" t="n">
        <f aca="false">I49+I50+I54+I57+I63+I70</f>
        <v>16</v>
      </c>
      <c r="J71" s="26" t="n">
        <f aca="false">J49+J50+J54+J57+J63+J70</f>
        <v>68</v>
      </c>
      <c r="M71" s="26" t="n">
        <f aca="false">M49+M50+M54+M57+M63+M70</f>
        <v>4</v>
      </c>
      <c r="N71" s="26" t="n">
        <f aca="false">N49+N50+N54+N57+N63+N70</f>
        <v>6</v>
      </c>
      <c r="O71" s="26" t="n">
        <f aca="false">O49+O50+O54+O57+O63+O70</f>
        <v>3</v>
      </c>
      <c r="P71" s="26" t="n">
        <f aca="false">P49+P50+P54+P57+P63+P70</f>
        <v>40</v>
      </c>
      <c r="Q71" s="26" t="n">
        <f aca="false">Q49+Q50+Q54+Q57+Q63+Q70</f>
        <v>0</v>
      </c>
      <c r="R71" s="26" t="n">
        <f aca="false">R49+R50+R54+R57+R63+R70</f>
        <v>0</v>
      </c>
      <c r="S71" s="26" t="n">
        <f aca="false">S49+S50+S54+S57+S63+S70</f>
        <v>9</v>
      </c>
      <c r="T71" s="26" t="n">
        <f aca="false">T49+T50+T54+T57+T63+T70</f>
        <v>22</v>
      </c>
      <c r="U71" s="26" t="n">
        <f aca="false">U49+U50+U54+U57+U63+U70</f>
        <v>0</v>
      </c>
      <c r="V71" s="26" t="n">
        <f aca="false">V49+V50+V54+V57+V63+V70</f>
        <v>0</v>
      </c>
      <c r="W71" s="25"/>
    </row>
    <row r="73" customFormat="false" ht="15" hidden="false" customHeight="false" outlineLevel="0" collapsed="false">
      <c r="A73" s="19" t="s">
        <v>130</v>
      </c>
      <c r="B73" s="20" t="s">
        <v>131</v>
      </c>
      <c r="C73" s="21" t="n">
        <f aca="false">SUM(C74:C77)</f>
        <v>2</v>
      </c>
      <c r="D73" s="21" t="n">
        <f aca="false">SUM(D74:D77)</f>
        <v>6</v>
      </c>
      <c r="E73" s="21" t="n">
        <f aca="false">SUM(E74:E77)</f>
        <v>2</v>
      </c>
      <c r="F73" s="21" t="n">
        <f aca="false">SUM(F74:F77)</f>
        <v>3</v>
      </c>
      <c r="G73" s="21" t="n">
        <f aca="false">SUM(G74:G77)</f>
        <v>0</v>
      </c>
      <c r="H73" s="21" t="n">
        <f aca="false">SUM(H74:H77)</f>
        <v>0</v>
      </c>
      <c r="I73" s="21" t="n">
        <f aca="false">SUM(I74:I77)</f>
        <v>4</v>
      </c>
      <c r="J73" s="21" t="n">
        <f aca="false">SUM(J74:J77)</f>
        <v>9</v>
      </c>
      <c r="M73" s="21" t="n">
        <f aca="false">SUM(M74:M77)</f>
        <v>0</v>
      </c>
      <c r="N73" s="21" t="n">
        <f aca="false">SUM(N74:N77)</f>
        <v>0</v>
      </c>
      <c r="O73" s="21" t="n">
        <f aca="false">SUM(O74:O77)</f>
        <v>0</v>
      </c>
      <c r="P73" s="21" t="n">
        <f aca="false">SUM(P74:P77)</f>
        <v>0</v>
      </c>
      <c r="Q73" s="21" t="n">
        <f aca="false">SUM(Q74:Q77)</f>
        <v>0</v>
      </c>
      <c r="R73" s="21" t="n">
        <f aca="false">SUM(R74:R77)</f>
        <v>0</v>
      </c>
      <c r="S73" s="21" t="n">
        <f aca="false">SUM(S74:S77)</f>
        <v>4</v>
      </c>
      <c r="T73" s="21" t="n">
        <f aca="false">SUM(T74:T77)</f>
        <v>9</v>
      </c>
      <c r="U73" s="21" t="n">
        <f aca="false">SUM(U74:U77)</f>
        <v>0</v>
      </c>
      <c r="V73" s="21" t="n">
        <f aca="false">SUM(V74:V77)</f>
        <v>0</v>
      </c>
      <c r="W73" s="22"/>
    </row>
    <row r="74" customFormat="false" ht="15" hidden="true" customHeight="false" outlineLevel="1" collapsed="false">
      <c r="A74" s="11" t="s">
        <v>132</v>
      </c>
      <c r="B74" s="23" t="s">
        <v>133</v>
      </c>
      <c r="C74" s="7" t="n">
        <v>1</v>
      </c>
      <c r="D74" s="7" t="n">
        <v>5</v>
      </c>
      <c r="E74" s="5"/>
      <c r="F74" s="5"/>
      <c r="G74" s="5"/>
      <c r="H74" s="5"/>
      <c r="I74" s="5" t="n">
        <f aca="false">C74+E74+G74</f>
        <v>1</v>
      </c>
      <c r="J74" s="5" t="n">
        <f aca="false">D74+F74+H74</f>
        <v>5</v>
      </c>
      <c r="M74" s="5"/>
      <c r="N74" s="5"/>
      <c r="O74" s="5"/>
      <c r="P74" s="5"/>
      <c r="Q74" s="5"/>
      <c r="R74" s="5"/>
      <c r="S74" s="7" t="n">
        <v>1</v>
      </c>
      <c r="T74" s="7" t="n">
        <v>5</v>
      </c>
      <c r="U74" s="5"/>
      <c r="V74" s="5"/>
      <c r="W74" s="11"/>
    </row>
    <row r="75" customFormat="false" ht="15" hidden="true" customHeight="false" outlineLevel="1" collapsed="false">
      <c r="A75" s="11" t="s">
        <v>134</v>
      </c>
      <c r="B75" s="23" t="s">
        <v>133</v>
      </c>
      <c r="C75" s="7" t="n">
        <v>1</v>
      </c>
      <c r="D75" s="7" t="n">
        <v>1</v>
      </c>
      <c r="E75" s="5"/>
      <c r="F75" s="5"/>
      <c r="G75" s="5"/>
      <c r="H75" s="5"/>
      <c r="I75" s="5" t="n">
        <f aca="false">C75+E75+G75</f>
        <v>1</v>
      </c>
      <c r="J75" s="5" t="n">
        <f aca="false">D75+F75+H75</f>
        <v>1</v>
      </c>
      <c r="M75" s="5"/>
      <c r="N75" s="5"/>
      <c r="O75" s="5"/>
      <c r="P75" s="5"/>
      <c r="Q75" s="5"/>
      <c r="R75" s="5"/>
      <c r="S75" s="7" t="n">
        <v>1</v>
      </c>
      <c r="T75" s="7" t="n">
        <v>1</v>
      </c>
      <c r="U75" s="5"/>
      <c r="V75" s="5"/>
      <c r="W75" s="11"/>
    </row>
    <row r="76" customFormat="false" ht="15" hidden="true" customHeight="false" outlineLevel="1" collapsed="false">
      <c r="A76" s="11" t="s">
        <v>135</v>
      </c>
      <c r="B76" s="23" t="s">
        <v>59</v>
      </c>
      <c r="C76" s="5"/>
      <c r="D76" s="5"/>
      <c r="E76" s="7" t="n">
        <v>1</v>
      </c>
      <c r="F76" s="7" t="n">
        <v>2</v>
      </c>
      <c r="G76" s="5"/>
      <c r="H76" s="5"/>
      <c r="I76" s="5" t="n">
        <f aca="false">C76+E76+G76</f>
        <v>1</v>
      </c>
      <c r="J76" s="5" t="n">
        <f aca="false">D76+F76+H76</f>
        <v>2</v>
      </c>
      <c r="M76" s="5"/>
      <c r="N76" s="5"/>
      <c r="O76" s="5"/>
      <c r="P76" s="5"/>
      <c r="Q76" s="5"/>
      <c r="R76" s="5"/>
      <c r="S76" s="7" t="n">
        <v>1</v>
      </c>
      <c r="T76" s="7" t="n">
        <v>2</v>
      </c>
      <c r="U76" s="5"/>
      <c r="V76" s="5"/>
      <c r="W76" s="11"/>
    </row>
    <row r="77" customFormat="false" ht="15" hidden="true" customHeight="false" outlineLevel="1" collapsed="false">
      <c r="A77" s="11" t="s">
        <v>135</v>
      </c>
      <c r="B77" s="23" t="s">
        <v>117</v>
      </c>
      <c r="C77" s="5"/>
      <c r="D77" s="5"/>
      <c r="E77" s="7" t="n">
        <v>1</v>
      </c>
      <c r="F77" s="7" t="n">
        <v>1</v>
      </c>
      <c r="G77" s="5"/>
      <c r="H77" s="5"/>
      <c r="I77" s="5" t="n">
        <f aca="false">C77+E77+G77</f>
        <v>1</v>
      </c>
      <c r="J77" s="5" t="n">
        <f aca="false">D77+F77+H77</f>
        <v>1</v>
      </c>
      <c r="M77" s="5"/>
      <c r="N77" s="5"/>
      <c r="O77" s="5"/>
      <c r="P77" s="5"/>
      <c r="Q77" s="5"/>
      <c r="R77" s="5"/>
      <c r="S77" s="7" t="n">
        <v>1</v>
      </c>
      <c r="T77" s="7" t="n">
        <v>1</v>
      </c>
      <c r="U77" s="5"/>
      <c r="V77" s="5"/>
      <c r="W77" s="11"/>
    </row>
    <row r="78" customFormat="false" ht="15" hidden="false" customHeight="false" outlineLevel="0" collapsed="false">
      <c r="A78" s="19" t="s">
        <v>136</v>
      </c>
      <c r="B78" s="20" t="s">
        <v>137</v>
      </c>
      <c r="C78" s="21" t="n">
        <f aca="false">SUM(C79:C84)</f>
        <v>5</v>
      </c>
      <c r="D78" s="21" t="n">
        <f aca="false">SUM(D79:D84)</f>
        <v>6</v>
      </c>
      <c r="E78" s="21" t="n">
        <f aca="false">SUM(E79:E84)</f>
        <v>1</v>
      </c>
      <c r="F78" s="21" t="n">
        <f aca="false">SUM(F79:F84)</f>
        <v>1</v>
      </c>
      <c r="G78" s="21" t="n">
        <f aca="false">SUM(G79:G84)</f>
        <v>0</v>
      </c>
      <c r="H78" s="21" t="n">
        <f aca="false">SUM(H79:H84)</f>
        <v>0</v>
      </c>
      <c r="I78" s="21" t="n">
        <f aca="false">SUM(I79:I84)</f>
        <v>6</v>
      </c>
      <c r="J78" s="21" t="n">
        <f aca="false">SUM(J79:J84)</f>
        <v>7</v>
      </c>
      <c r="M78" s="21" t="n">
        <f aca="false">SUM(M79:M84)</f>
        <v>3</v>
      </c>
      <c r="N78" s="21" t="n">
        <f aca="false">SUM(N79:N84)</f>
        <v>3</v>
      </c>
      <c r="O78" s="21" t="n">
        <f aca="false">SUM(O79:O84)</f>
        <v>0</v>
      </c>
      <c r="P78" s="21" t="n">
        <f aca="false">SUM(P79:P84)</f>
        <v>0</v>
      </c>
      <c r="Q78" s="21" t="n">
        <f aca="false">SUM(Q79:Q84)</f>
        <v>0</v>
      </c>
      <c r="R78" s="21" t="n">
        <f aca="false">SUM(R79:R84)</f>
        <v>0</v>
      </c>
      <c r="S78" s="21" t="n">
        <f aca="false">SUM(S79:S84)</f>
        <v>3</v>
      </c>
      <c r="T78" s="21" t="n">
        <f aca="false">SUM(T79:T84)</f>
        <v>4</v>
      </c>
      <c r="U78" s="21" t="n">
        <f aca="false">SUM(U79:U84)</f>
        <v>0</v>
      </c>
      <c r="V78" s="21" t="n">
        <f aca="false">SUM(V79:V84)</f>
        <v>0</v>
      </c>
      <c r="W78" s="22"/>
    </row>
    <row r="79" customFormat="false" ht="15" hidden="true" customHeight="false" outlineLevel="1" collapsed="false">
      <c r="A79" s="11" t="s">
        <v>138</v>
      </c>
      <c r="B79" s="23" t="s">
        <v>67</v>
      </c>
      <c r="C79" s="7" t="n">
        <v>1</v>
      </c>
      <c r="D79" s="7" t="n">
        <v>1</v>
      </c>
      <c r="E79" s="5"/>
      <c r="F79" s="5"/>
      <c r="G79" s="5"/>
      <c r="H79" s="5"/>
      <c r="I79" s="5" t="n">
        <f aca="false">C79+E79+G79</f>
        <v>1</v>
      </c>
      <c r="J79" s="5" t="n">
        <f aca="false">D79+F79+H79</f>
        <v>1</v>
      </c>
      <c r="M79" s="5"/>
      <c r="N79" s="5"/>
      <c r="O79" s="5"/>
      <c r="P79" s="5"/>
      <c r="Q79" s="5"/>
      <c r="R79" s="5"/>
      <c r="S79" s="7" t="n">
        <v>1</v>
      </c>
      <c r="T79" s="7" t="n">
        <v>1</v>
      </c>
      <c r="U79" s="5"/>
      <c r="V79" s="5"/>
      <c r="W79" s="11"/>
    </row>
    <row r="80" customFormat="false" ht="15" hidden="true" customHeight="false" outlineLevel="1" collapsed="false">
      <c r="A80" s="11" t="s">
        <v>138</v>
      </c>
      <c r="B80" s="23" t="s">
        <v>139</v>
      </c>
      <c r="C80" s="7" t="n">
        <v>1</v>
      </c>
      <c r="D80" s="7" t="n">
        <v>2</v>
      </c>
      <c r="E80" s="5"/>
      <c r="F80" s="5"/>
      <c r="G80" s="5"/>
      <c r="H80" s="5"/>
      <c r="I80" s="5" t="n">
        <f aca="false">C80+E80+G80</f>
        <v>1</v>
      </c>
      <c r="J80" s="5" t="n">
        <f aca="false">D80+F80+H80</f>
        <v>2</v>
      </c>
      <c r="M80" s="5"/>
      <c r="N80" s="5"/>
      <c r="O80" s="5"/>
      <c r="P80" s="5"/>
      <c r="Q80" s="5"/>
      <c r="R80" s="5"/>
      <c r="S80" s="7" t="n">
        <v>1</v>
      </c>
      <c r="T80" s="7" t="n">
        <v>2</v>
      </c>
      <c r="U80" s="5"/>
      <c r="V80" s="5"/>
      <c r="W80" s="11"/>
    </row>
    <row r="81" customFormat="false" ht="15" hidden="true" customHeight="false" outlineLevel="1" collapsed="false">
      <c r="A81" s="11" t="s">
        <v>138</v>
      </c>
      <c r="B81" s="23" t="s">
        <v>140</v>
      </c>
      <c r="C81" s="7" t="n">
        <v>1</v>
      </c>
      <c r="D81" s="7" t="n">
        <v>1</v>
      </c>
      <c r="E81" s="5"/>
      <c r="F81" s="5"/>
      <c r="G81" s="5"/>
      <c r="H81" s="5"/>
      <c r="I81" s="5" t="n">
        <f aca="false">C81+E81+G81</f>
        <v>1</v>
      </c>
      <c r="J81" s="5" t="n">
        <f aca="false">D81+F81+H81</f>
        <v>1</v>
      </c>
      <c r="M81" s="7" t="n">
        <v>1</v>
      </c>
      <c r="N81" s="7" t="n">
        <v>1</v>
      </c>
      <c r="O81" s="5"/>
      <c r="P81" s="5"/>
      <c r="Q81" s="5"/>
      <c r="R81" s="5"/>
      <c r="S81" s="5"/>
      <c r="T81" s="5"/>
      <c r="U81" s="5"/>
      <c r="V81" s="5"/>
      <c r="W81" s="11"/>
    </row>
    <row r="82" customFormat="false" ht="15" hidden="true" customHeight="false" outlineLevel="1" collapsed="false">
      <c r="A82" s="11" t="s">
        <v>141</v>
      </c>
      <c r="B82" s="23" t="s">
        <v>140</v>
      </c>
      <c r="C82" s="7" t="n">
        <v>1</v>
      </c>
      <c r="D82" s="7" t="n">
        <v>1</v>
      </c>
      <c r="E82" s="5"/>
      <c r="F82" s="5"/>
      <c r="G82" s="5"/>
      <c r="H82" s="5"/>
      <c r="I82" s="5" t="n">
        <f aca="false">C82+E82+G82</f>
        <v>1</v>
      </c>
      <c r="J82" s="5" t="n">
        <f aca="false">D82+F82+H82</f>
        <v>1</v>
      </c>
      <c r="M82" s="7" t="n">
        <v>1</v>
      </c>
      <c r="N82" s="7" t="n">
        <v>1</v>
      </c>
      <c r="O82" s="5"/>
      <c r="P82" s="5"/>
      <c r="Q82" s="5"/>
      <c r="R82" s="5"/>
      <c r="S82" s="5"/>
      <c r="T82" s="5"/>
      <c r="U82" s="5"/>
      <c r="V82" s="5"/>
      <c r="W82" s="11"/>
    </row>
    <row r="83" customFormat="false" ht="15" hidden="true" customHeight="false" outlineLevel="1" collapsed="false">
      <c r="A83" s="11" t="s">
        <v>142</v>
      </c>
      <c r="B83" s="23" t="s">
        <v>143</v>
      </c>
      <c r="C83" s="5"/>
      <c r="D83" s="5"/>
      <c r="E83" s="7" t="n">
        <v>1</v>
      </c>
      <c r="F83" s="7" t="n">
        <v>1</v>
      </c>
      <c r="G83" s="5"/>
      <c r="H83" s="5"/>
      <c r="I83" s="5" t="n">
        <f aca="false">C83+E83+G83</f>
        <v>1</v>
      </c>
      <c r="J83" s="5" t="n">
        <f aca="false">D83+F83+H83</f>
        <v>1</v>
      </c>
      <c r="M83" s="7" t="n">
        <v>1</v>
      </c>
      <c r="N83" s="7" t="n">
        <v>1</v>
      </c>
      <c r="O83" s="5"/>
      <c r="P83" s="5"/>
      <c r="Q83" s="5"/>
      <c r="R83" s="5"/>
      <c r="S83" s="5"/>
      <c r="T83" s="5"/>
      <c r="U83" s="5"/>
      <c r="V83" s="5"/>
      <c r="W83" s="11"/>
    </row>
    <row r="84" customFormat="false" ht="15" hidden="true" customHeight="false" outlineLevel="1" collapsed="false">
      <c r="A84" s="11" t="s">
        <v>142</v>
      </c>
      <c r="B84" s="23" t="s">
        <v>144</v>
      </c>
      <c r="C84" s="7" t="n">
        <v>1</v>
      </c>
      <c r="D84" s="7" t="n">
        <v>1</v>
      </c>
      <c r="E84" s="5"/>
      <c r="F84" s="5"/>
      <c r="G84" s="5"/>
      <c r="H84" s="5"/>
      <c r="I84" s="5" t="n">
        <f aca="false">C84+E84+G84</f>
        <v>1</v>
      </c>
      <c r="J84" s="5" t="n">
        <f aca="false">D84+F84+H84</f>
        <v>1</v>
      </c>
      <c r="M84" s="5"/>
      <c r="N84" s="5"/>
      <c r="O84" s="5"/>
      <c r="P84" s="5"/>
      <c r="Q84" s="5"/>
      <c r="R84" s="5"/>
      <c r="S84" s="7" t="n">
        <v>1</v>
      </c>
      <c r="T84" s="7" t="n">
        <v>1</v>
      </c>
      <c r="U84" s="5"/>
      <c r="V84" s="5"/>
      <c r="W84" s="11"/>
    </row>
    <row r="85" customFormat="false" ht="15" hidden="false" customHeight="false" outlineLevel="0" collapsed="false">
      <c r="A85" s="19" t="s">
        <v>145</v>
      </c>
      <c r="B85" s="20" t="s">
        <v>146</v>
      </c>
      <c r="C85" s="21" t="n">
        <f aca="false">SUM(C86:C86)</f>
        <v>1</v>
      </c>
      <c r="D85" s="21" t="n">
        <f aca="false">SUM(D86:D86)</f>
        <v>1</v>
      </c>
      <c r="E85" s="21" t="n">
        <f aca="false">SUM(E86:E86)</f>
        <v>0</v>
      </c>
      <c r="F85" s="21" t="n">
        <f aca="false">SUM(F86:F86)</f>
        <v>0</v>
      </c>
      <c r="G85" s="21" t="n">
        <f aca="false">SUM(G86:G86)</f>
        <v>0</v>
      </c>
      <c r="H85" s="21" t="n">
        <f aca="false">SUM(H86:H86)</f>
        <v>0</v>
      </c>
      <c r="I85" s="21" t="n">
        <f aca="false">SUM(I86:I86)</f>
        <v>1</v>
      </c>
      <c r="J85" s="21" t="n">
        <f aca="false">SUM(J86:J86)</f>
        <v>1</v>
      </c>
      <c r="M85" s="21" t="n">
        <f aca="false">SUM(M86:M86)</f>
        <v>1</v>
      </c>
      <c r="N85" s="21" t="n">
        <f aca="false">SUM(N86:N86)</f>
        <v>1</v>
      </c>
      <c r="O85" s="21" t="n">
        <f aca="false">SUM(O86:O86)</f>
        <v>0</v>
      </c>
      <c r="P85" s="21" t="n">
        <f aca="false">SUM(P86:P86)</f>
        <v>0</v>
      </c>
      <c r="Q85" s="21" t="n">
        <f aca="false">SUM(Q86:Q86)</f>
        <v>0</v>
      </c>
      <c r="R85" s="21" t="n">
        <f aca="false">SUM(R86:R86)</f>
        <v>0</v>
      </c>
      <c r="S85" s="21" t="n">
        <f aca="false">SUM(S86:S86)</f>
        <v>0</v>
      </c>
      <c r="T85" s="21" t="n">
        <f aca="false">SUM(T86:T86)</f>
        <v>0</v>
      </c>
      <c r="U85" s="21" t="n">
        <f aca="false">SUM(U86:U86)</f>
        <v>0</v>
      </c>
      <c r="V85" s="21" t="n">
        <f aca="false">SUM(V86:V86)</f>
        <v>0</v>
      </c>
      <c r="W85" s="22"/>
    </row>
    <row r="86" customFormat="false" ht="15" hidden="true" customHeight="false" outlineLevel="1" collapsed="false">
      <c r="A86" s="11" t="s">
        <v>147</v>
      </c>
      <c r="B86" s="23" t="s">
        <v>99</v>
      </c>
      <c r="C86" s="7" t="n">
        <v>1</v>
      </c>
      <c r="D86" s="7" t="n">
        <v>1</v>
      </c>
      <c r="E86" s="5"/>
      <c r="F86" s="5"/>
      <c r="G86" s="5"/>
      <c r="H86" s="5"/>
      <c r="I86" s="5" t="n">
        <f aca="false">C86+E86+G86</f>
        <v>1</v>
      </c>
      <c r="J86" s="5" t="n">
        <f aca="false">D86+F86+H86</f>
        <v>1</v>
      </c>
      <c r="M86" s="7" t="n">
        <v>1</v>
      </c>
      <c r="N86" s="7" t="n">
        <v>1</v>
      </c>
      <c r="O86" s="5"/>
      <c r="P86" s="5"/>
      <c r="Q86" s="5"/>
      <c r="R86" s="5"/>
      <c r="S86" s="5"/>
      <c r="T86" s="5"/>
      <c r="U86" s="5"/>
      <c r="V86" s="5"/>
      <c r="W86" s="11"/>
    </row>
    <row r="87" customFormat="false" ht="15" hidden="false" customHeight="false" outlineLevel="0" collapsed="false">
      <c r="A87" s="19" t="s">
        <v>148</v>
      </c>
      <c r="B87" s="20" t="s">
        <v>149</v>
      </c>
      <c r="C87" s="21" t="n">
        <f aca="false">SUM(C88:C88)</f>
        <v>1</v>
      </c>
      <c r="D87" s="21" t="n">
        <f aca="false">SUM(D88:D88)</f>
        <v>5</v>
      </c>
      <c r="E87" s="21" t="n">
        <f aca="false">SUM(E88:E88)</f>
        <v>0</v>
      </c>
      <c r="F87" s="21" t="n">
        <f aca="false">SUM(F88:F88)</f>
        <v>0</v>
      </c>
      <c r="G87" s="21" t="n">
        <f aca="false">SUM(G88:G88)</f>
        <v>0</v>
      </c>
      <c r="H87" s="21" t="n">
        <f aca="false">SUM(H88:H88)</f>
        <v>0</v>
      </c>
      <c r="I87" s="21" t="n">
        <f aca="false">SUM(I88:I88)</f>
        <v>1</v>
      </c>
      <c r="J87" s="21" t="n">
        <f aca="false">SUM(J88:J88)</f>
        <v>5</v>
      </c>
      <c r="M87" s="21" t="n">
        <f aca="false">SUM(M88:M88)</f>
        <v>0</v>
      </c>
      <c r="N87" s="21" t="n">
        <f aca="false">SUM(N88:N88)</f>
        <v>0</v>
      </c>
      <c r="O87" s="21" t="n">
        <f aca="false">SUM(O88:O88)</f>
        <v>0</v>
      </c>
      <c r="P87" s="21" t="n">
        <f aca="false">SUM(P88:P88)</f>
        <v>0</v>
      </c>
      <c r="Q87" s="21" t="n">
        <f aca="false">SUM(Q88:Q88)</f>
        <v>0</v>
      </c>
      <c r="R87" s="21" t="n">
        <f aca="false">SUM(R88:R88)</f>
        <v>0</v>
      </c>
      <c r="S87" s="21" t="n">
        <f aca="false">SUM(S88:S88)</f>
        <v>1</v>
      </c>
      <c r="T87" s="21" t="n">
        <f aca="false">SUM(T88:T88)</f>
        <v>5</v>
      </c>
      <c r="U87" s="21" t="n">
        <f aca="false">SUM(U88:U88)</f>
        <v>0</v>
      </c>
      <c r="V87" s="21" t="n">
        <f aca="false">SUM(V88:V88)</f>
        <v>0</v>
      </c>
      <c r="W87" s="22"/>
    </row>
    <row r="88" customFormat="false" ht="15" hidden="true" customHeight="false" outlineLevel="1" collapsed="false">
      <c r="A88" s="11" t="s">
        <v>150</v>
      </c>
      <c r="B88" s="23" t="s">
        <v>151</v>
      </c>
      <c r="C88" s="7" t="n">
        <v>1</v>
      </c>
      <c r="D88" s="7" t="n">
        <v>5</v>
      </c>
      <c r="E88" s="5"/>
      <c r="F88" s="5"/>
      <c r="G88" s="5"/>
      <c r="H88" s="5"/>
      <c r="I88" s="5" t="n">
        <f aca="false">C88+E88+G88</f>
        <v>1</v>
      </c>
      <c r="J88" s="5" t="n">
        <f aca="false">D88+F88+H88</f>
        <v>5</v>
      </c>
      <c r="M88" s="5"/>
      <c r="N88" s="5"/>
      <c r="O88" s="5"/>
      <c r="P88" s="5"/>
      <c r="Q88" s="5"/>
      <c r="R88" s="5"/>
      <c r="S88" s="7" t="n">
        <v>1</v>
      </c>
      <c r="T88" s="7" t="n">
        <v>5</v>
      </c>
      <c r="U88" s="5"/>
      <c r="V88" s="5"/>
      <c r="W88" s="11"/>
    </row>
    <row r="89" customFormat="false" ht="15" hidden="false" customHeight="false" outlineLevel="0" collapsed="false">
      <c r="A89" s="27" t="s">
        <v>152</v>
      </c>
      <c r="B89" s="28" t="s">
        <v>153</v>
      </c>
      <c r="C89" s="29" t="n">
        <f aca="false">SUM(C90:C93)</f>
        <v>1</v>
      </c>
      <c r="D89" s="29" t="n">
        <f aca="false">SUM(D90:D93)</f>
        <v>1</v>
      </c>
      <c r="E89" s="29" t="n">
        <f aca="false">SUM(E90:E93)</f>
        <v>2</v>
      </c>
      <c r="F89" s="29" t="n">
        <f aca="false">SUM(F90:F93)</f>
        <v>6</v>
      </c>
      <c r="G89" s="29" t="n">
        <f aca="false">SUM(G90:G93)</f>
        <v>1</v>
      </c>
      <c r="H89" s="29" t="n">
        <f aca="false">SUM(H90:H93)</f>
        <v>1</v>
      </c>
      <c r="I89" s="29" t="n">
        <f aca="false">SUM(I90:I93)</f>
        <v>4</v>
      </c>
      <c r="J89" s="29" t="n">
        <f aca="false">SUM(J90:J93)</f>
        <v>8</v>
      </c>
      <c r="M89" s="29" t="n">
        <f aca="false">SUM(M90:M93)</f>
        <v>0</v>
      </c>
      <c r="N89" s="29" t="n">
        <f aca="false">SUM(N90:N93)</f>
        <v>0</v>
      </c>
      <c r="O89" s="29" t="n">
        <f aca="false">SUM(O90:O93)</f>
        <v>1</v>
      </c>
      <c r="P89" s="29" t="n">
        <f aca="false">SUM(P90:P93)</f>
        <v>1</v>
      </c>
      <c r="Q89" s="29" t="n">
        <f aca="false">SUM(Q90:Q93)</f>
        <v>0</v>
      </c>
      <c r="R89" s="29" t="n">
        <f aca="false">SUM(R90:R93)</f>
        <v>0</v>
      </c>
      <c r="S89" s="29" t="n">
        <f aca="false">SUM(S90:S93)</f>
        <v>3</v>
      </c>
      <c r="T89" s="29" t="n">
        <f aca="false">SUM(T90:T93)</f>
        <v>7</v>
      </c>
      <c r="U89" s="29" t="n">
        <f aca="false">SUM(U90:U93)</f>
        <v>0</v>
      </c>
      <c r="V89" s="29" t="n">
        <f aca="false">SUM(V90:V93)</f>
        <v>0</v>
      </c>
      <c r="W89" s="30" t="s">
        <v>154</v>
      </c>
    </row>
    <row r="90" customFormat="false" ht="15" hidden="true" customHeight="false" outlineLevel="1" collapsed="false">
      <c r="A90" s="11" t="s">
        <v>155</v>
      </c>
      <c r="B90" s="23" t="s">
        <v>117</v>
      </c>
      <c r="C90" s="5"/>
      <c r="D90" s="5"/>
      <c r="E90" s="7" t="n">
        <v>1</v>
      </c>
      <c r="F90" s="7" t="n">
        <v>5</v>
      </c>
      <c r="G90" s="5"/>
      <c r="H90" s="5"/>
      <c r="I90" s="5" t="n">
        <f aca="false">C90+E90+G90</f>
        <v>1</v>
      </c>
      <c r="J90" s="5" t="n">
        <f aca="false">D90+F90+H90</f>
        <v>5</v>
      </c>
      <c r="M90" s="5"/>
      <c r="N90" s="5"/>
      <c r="O90" s="5"/>
      <c r="P90" s="5"/>
      <c r="Q90" s="5"/>
      <c r="R90" s="5"/>
      <c r="S90" s="7" t="n">
        <v>1</v>
      </c>
      <c r="T90" s="7" t="n">
        <v>5</v>
      </c>
      <c r="U90" s="5"/>
      <c r="V90" s="5"/>
      <c r="W90" s="11"/>
    </row>
    <row r="91" customFormat="false" ht="15" hidden="true" customHeight="false" outlineLevel="1" collapsed="false">
      <c r="A91" s="11" t="s">
        <v>155</v>
      </c>
      <c r="B91" s="23" t="s">
        <v>59</v>
      </c>
      <c r="C91" s="5"/>
      <c r="D91" s="5"/>
      <c r="E91" s="7" t="n">
        <v>1</v>
      </c>
      <c r="F91" s="7" t="n">
        <v>1</v>
      </c>
      <c r="G91" s="5"/>
      <c r="H91" s="5"/>
      <c r="I91" s="5" t="n">
        <f aca="false">C91+E91+G91</f>
        <v>1</v>
      </c>
      <c r="J91" s="5" t="n">
        <f aca="false">D91+F91+H91</f>
        <v>1</v>
      </c>
      <c r="M91" s="5"/>
      <c r="N91" s="5"/>
      <c r="O91" s="5"/>
      <c r="P91" s="5"/>
      <c r="Q91" s="5"/>
      <c r="R91" s="5"/>
      <c r="S91" s="7" t="n">
        <v>1</v>
      </c>
      <c r="T91" s="7" t="n">
        <v>1</v>
      </c>
      <c r="U91" s="5"/>
      <c r="V91" s="5"/>
      <c r="W91" s="11"/>
    </row>
    <row r="92" customFormat="false" ht="15" hidden="true" customHeight="false" outlineLevel="1" collapsed="false">
      <c r="A92" s="11" t="s">
        <v>155</v>
      </c>
      <c r="B92" s="23" t="s">
        <v>113</v>
      </c>
      <c r="C92" s="5"/>
      <c r="D92" s="5"/>
      <c r="E92" s="5"/>
      <c r="F92" s="5"/>
      <c r="G92" s="7" t="n">
        <v>1</v>
      </c>
      <c r="H92" s="7" t="n">
        <v>1</v>
      </c>
      <c r="I92" s="5" t="n">
        <f aca="false">C92+E92+G92</f>
        <v>1</v>
      </c>
      <c r="J92" s="5" t="n">
        <f aca="false">D92+F92+H92</f>
        <v>1</v>
      </c>
      <c r="M92" s="5"/>
      <c r="N92" s="5"/>
      <c r="O92" s="7" t="n">
        <v>1</v>
      </c>
      <c r="P92" s="7" t="n">
        <v>1</v>
      </c>
      <c r="Q92" s="5"/>
      <c r="R92" s="5"/>
      <c r="S92" s="5"/>
      <c r="T92" s="5"/>
      <c r="U92" s="5"/>
      <c r="V92" s="5"/>
      <c r="W92" s="11"/>
    </row>
    <row r="93" customFormat="false" ht="15" hidden="true" customHeight="false" outlineLevel="1" collapsed="false">
      <c r="A93" s="11" t="s">
        <v>155</v>
      </c>
      <c r="B93" s="23" t="s">
        <v>144</v>
      </c>
      <c r="C93" s="7" t="n">
        <v>1</v>
      </c>
      <c r="D93" s="7" t="n">
        <v>1</v>
      </c>
      <c r="E93" s="5"/>
      <c r="F93" s="5"/>
      <c r="G93" s="5"/>
      <c r="H93" s="5"/>
      <c r="I93" s="5" t="n">
        <f aca="false">C93+E93+G93</f>
        <v>1</v>
      </c>
      <c r="J93" s="5" t="n">
        <f aca="false">D93+F93+H93</f>
        <v>1</v>
      </c>
      <c r="M93" s="5"/>
      <c r="N93" s="5"/>
      <c r="O93" s="5"/>
      <c r="P93" s="5"/>
      <c r="Q93" s="5"/>
      <c r="R93" s="5"/>
      <c r="S93" s="7" t="n">
        <v>1</v>
      </c>
      <c r="T93" s="7" t="n">
        <v>1</v>
      </c>
      <c r="U93" s="5"/>
      <c r="V93" s="5"/>
      <c r="W93" s="11"/>
    </row>
    <row r="94" customFormat="false" ht="15" hidden="false" customHeight="false" outlineLevel="0" collapsed="false">
      <c r="A94" s="24" t="s">
        <v>156</v>
      </c>
      <c r="B94" s="25"/>
      <c r="C94" s="26" t="n">
        <f aca="false">C73+C78+C85+C87+C89</f>
        <v>10</v>
      </c>
      <c r="D94" s="26" t="n">
        <f aca="false">D73+D78+D85+D87+D89</f>
        <v>19</v>
      </c>
      <c r="E94" s="26" t="n">
        <f aca="false">E73+E78+E85+E87+E89</f>
        <v>5</v>
      </c>
      <c r="F94" s="26" t="n">
        <f aca="false">F73+F78+F85+F87+F89</f>
        <v>10</v>
      </c>
      <c r="G94" s="26" t="n">
        <f aca="false">G73+G78+G85+G87+G89</f>
        <v>1</v>
      </c>
      <c r="H94" s="26" t="n">
        <f aca="false">H73+H78+H85+H87+H89</f>
        <v>1</v>
      </c>
      <c r="I94" s="26" t="n">
        <f aca="false">I73+I78+I85+I87+I89</f>
        <v>16</v>
      </c>
      <c r="J94" s="26" t="n">
        <f aca="false">J73+J78+J85+J87+J89</f>
        <v>30</v>
      </c>
      <c r="M94" s="26" t="n">
        <f aca="false">M73+M78+M85+M87+M89</f>
        <v>4</v>
      </c>
      <c r="N94" s="26" t="n">
        <f aca="false">N73+N78+N85+N87+N89</f>
        <v>4</v>
      </c>
      <c r="O94" s="26" t="n">
        <f aca="false">O73+O78+O85+O87+O89</f>
        <v>1</v>
      </c>
      <c r="P94" s="26" t="n">
        <f aca="false">P73+P78+P85+P87+P89</f>
        <v>1</v>
      </c>
      <c r="Q94" s="26" t="n">
        <f aca="false">Q73+Q78+Q85+Q87+Q89</f>
        <v>0</v>
      </c>
      <c r="R94" s="26" t="n">
        <f aca="false">R73+R78+R85+R87+R89</f>
        <v>0</v>
      </c>
      <c r="S94" s="26" t="n">
        <f aca="false">S73+S78+S85+S87+S89</f>
        <v>11</v>
      </c>
      <c r="T94" s="26" t="n">
        <f aca="false">T73+T78+T85+T87+T89</f>
        <v>25</v>
      </c>
      <c r="U94" s="26" t="n">
        <f aca="false">U73+U78+U85+U87+U89</f>
        <v>0</v>
      </c>
      <c r="V94" s="26" t="n">
        <f aca="false">V73+V78+V85+V87+V89</f>
        <v>0</v>
      </c>
      <c r="W94" s="25"/>
    </row>
    <row r="96" customFormat="false" ht="15" hidden="false" customHeight="false" outlineLevel="0" collapsed="false">
      <c r="A96" s="27" t="s">
        <v>157</v>
      </c>
      <c r="B96" s="28" t="s">
        <v>158</v>
      </c>
      <c r="C96" s="29" t="n">
        <f aca="false">SUM(C97:C98)</f>
        <v>1</v>
      </c>
      <c r="D96" s="29" t="n">
        <f aca="false">SUM(D97:D98)</f>
        <v>12</v>
      </c>
      <c r="E96" s="29" t="n">
        <f aca="false">SUM(E97:E98)</f>
        <v>1</v>
      </c>
      <c r="F96" s="29" t="n">
        <f aca="false">SUM(F97:F98)</f>
        <v>1</v>
      </c>
      <c r="G96" s="29" t="n">
        <f aca="false">SUM(G97:G98)</f>
        <v>0</v>
      </c>
      <c r="H96" s="29" t="n">
        <f aca="false">SUM(H97:H98)</f>
        <v>0</v>
      </c>
      <c r="I96" s="29" t="n">
        <f aca="false">SUM(I97:I98)</f>
        <v>2</v>
      </c>
      <c r="J96" s="29" t="n">
        <f aca="false">SUM(J97:J98)</f>
        <v>13</v>
      </c>
      <c r="M96" s="29" t="n">
        <f aca="false">SUM(M97:M98)</f>
        <v>1</v>
      </c>
      <c r="N96" s="29" t="n">
        <f aca="false">SUM(N97:N98)</f>
        <v>12</v>
      </c>
      <c r="O96" s="29" t="n">
        <f aca="false">SUM(O97:O98)</f>
        <v>0</v>
      </c>
      <c r="P96" s="29" t="n">
        <f aca="false">SUM(P97:P98)</f>
        <v>0</v>
      </c>
      <c r="Q96" s="29" t="n">
        <f aca="false">SUM(Q97:Q98)</f>
        <v>0</v>
      </c>
      <c r="R96" s="29" t="n">
        <f aca="false">SUM(R97:R98)</f>
        <v>0</v>
      </c>
      <c r="S96" s="29" t="n">
        <f aca="false">SUM(S97:S98)</f>
        <v>1</v>
      </c>
      <c r="T96" s="29" t="n">
        <f aca="false">SUM(T97:T98)</f>
        <v>1</v>
      </c>
      <c r="U96" s="29" t="n">
        <f aca="false">SUM(U97:U98)</f>
        <v>0</v>
      </c>
      <c r="V96" s="29" t="n">
        <f aca="false">SUM(V97:V98)</f>
        <v>0</v>
      </c>
      <c r="W96" s="30" t="s">
        <v>154</v>
      </c>
    </row>
    <row r="97" customFormat="false" ht="15" hidden="true" customHeight="false" outlineLevel="1" collapsed="false">
      <c r="A97" s="11" t="s">
        <v>159</v>
      </c>
      <c r="B97" s="23" t="s">
        <v>160</v>
      </c>
      <c r="C97" s="7" t="n">
        <v>1</v>
      </c>
      <c r="D97" s="7" t="n">
        <v>12</v>
      </c>
      <c r="E97" s="5"/>
      <c r="F97" s="5"/>
      <c r="G97" s="5"/>
      <c r="H97" s="5"/>
      <c r="I97" s="5" t="n">
        <f aca="false">C97+E97+G97</f>
        <v>1</v>
      </c>
      <c r="J97" s="5" t="n">
        <f aca="false">D97+F97+H97</f>
        <v>12</v>
      </c>
      <c r="M97" s="7" t="n">
        <v>1</v>
      </c>
      <c r="N97" s="7" t="n">
        <v>12</v>
      </c>
      <c r="O97" s="5"/>
      <c r="P97" s="5"/>
      <c r="Q97" s="5"/>
      <c r="R97" s="5"/>
      <c r="S97" s="5"/>
      <c r="T97" s="5"/>
      <c r="U97" s="5"/>
      <c r="V97" s="5"/>
      <c r="W97" s="11"/>
    </row>
    <row r="98" customFormat="false" ht="15" hidden="true" customHeight="false" outlineLevel="1" collapsed="false">
      <c r="A98" s="11" t="s">
        <v>161</v>
      </c>
      <c r="B98" s="23" t="s">
        <v>59</v>
      </c>
      <c r="C98" s="5"/>
      <c r="D98" s="5"/>
      <c r="E98" s="7" t="n">
        <v>1</v>
      </c>
      <c r="F98" s="7" t="n">
        <v>1</v>
      </c>
      <c r="G98" s="5"/>
      <c r="H98" s="5"/>
      <c r="I98" s="5" t="n">
        <f aca="false">C98+E98+G98</f>
        <v>1</v>
      </c>
      <c r="J98" s="5" t="n">
        <f aca="false">D98+F98+H98</f>
        <v>1</v>
      </c>
      <c r="M98" s="5"/>
      <c r="N98" s="5"/>
      <c r="O98" s="5"/>
      <c r="P98" s="5"/>
      <c r="Q98" s="5"/>
      <c r="R98" s="5"/>
      <c r="S98" s="7" t="n">
        <v>1</v>
      </c>
      <c r="T98" s="7" t="n">
        <v>1</v>
      </c>
      <c r="U98" s="5"/>
      <c r="V98" s="5"/>
      <c r="W98" s="11"/>
    </row>
    <row r="99" customFormat="false" ht="15" hidden="false" customHeight="false" outlineLevel="0" collapsed="false">
      <c r="A99" s="27" t="s">
        <v>162</v>
      </c>
      <c r="B99" s="28" t="s">
        <v>163</v>
      </c>
      <c r="C99" s="29" t="n">
        <f aca="false">SUM(C100:C103)</f>
        <v>2</v>
      </c>
      <c r="D99" s="29" t="n">
        <f aca="false">SUM(D100:D103)</f>
        <v>2</v>
      </c>
      <c r="E99" s="29" t="n">
        <f aca="false">SUM(E100:E103)</f>
        <v>0</v>
      </c>
      <c r="F99" s="29" t="n">
        <f aca="false">SUM(F100:F103)</f>
        <v>0</v>
      </c>
      <c r="G99" s="29" t="n">
        <f aca="false">SUM(G100:G103)</f>
        <v>2</v>
      </c>
      <c r="H99" s="29" t="n">
        <f aca="false">SUM(H100:H103)</f>
        <v>16</v>
      </c>
      <c r="I99" s="29" t="n">
        <f aca="false">SUM(I100:I103)</f>
        <v>4</v>
      </c>
      <c r="J99" s="29" t="n">
        <f aca="false">SUM(J100:J103)</f>
        <v>18</v>
      </c>
      <c r="M99" s="29" t="n">
        <f aca="false">SUM(M100:M103)</f>
        <v>3</v>
      </c>
      <c r="N99" s="29" t="n">
        <f aca="false">SUM(N100:N103)</f>
        <v>12</v>
      </c>
      <c r="O99" s="29" t="n">
        <f aca="false">SUM(O100:O103)</f>
        <v>0</v>
      </c>
      <c r="P99" s="29" t="n">
        <f aca="false">SUM(P100:P103)</f>
        <v>0</v>
      </c>
      <c r="Q99" s="29" t="n">
        <f aca="false">SUM(Q100:Q103)</f>
        <v>0</v>
      </c>
      <c r="R99" s="29" t="n">
        <f aca="false">SUM(R100:R103)</f>
        <v>0</v>
      </c>
      <c r="S99" s="29" t="n">
        <f aca="false">SUM(S100:S103)</f>
        <v>0</v>
      </c>
      <c r="T99" s="29" t="n">
        <f aca="false">SUM(T100:T103)</f>
        <v>0</v>
      </c>
      <c r="U99" s="29" t="n">
        <f aca="false">SUM(U100:U103)</f>
        <v>1</v>
      </c>
      <c r="V99" s="29" t="n">
        <f aca="false">SUM(V100:V103)</f>
        <v>6</v>
      </c>
      <c r="W99" s="30" t="s">
        <v>154</v>
      </c>
    </row>
    <row r="100" customFormat="false" ht="15" hidden="true" customHeight="false" outlineLevel="1" collapsed="false">
      <c r="A100" s="11" t="s">
        <v>164</v>
      </c>
      <c r="B100" s="23" t="s">
        <v>99</v>
      </c>
      <c r="C100" s="7" t="n">
        <v>1</v>
      </c>
      <c r="D100" s="7" t="n">
        <v>1</v>
      </c>
      <c r="E100" s="5"/>
      <c r="F100" s="5"/>
      <c r="G100" s="5"/>
      <c r="H100" s="5"/>
      <c r="I100" s="5" t="n">
        <f aca="false">C100+E100+G100</f>
        <v>1</v>
      </c>
      <c r="J100" s="5" t="n">
        <f aca="false">D100+F100+H100</f>
        <v>1</v>
      </c>
      <c r="M100" s="7" t="n">
        <v>1</v>
      </c>
      <c r="N100" s="7" t="n">
        <v>1</v>
      </c>
      <c r="O100" s="5"/>
      <c r="P100" s="5"/>
      <c r="Q100" s="5"/>
      <c r="R100" s="5"/>
      <c r="S100" s="5"/>
      <c r="T100" s="5"/>
      <c r="U100" s="5"/>
      <c r="V100" s="5"/>
      <c r="W100" s="11"/>
    </row>
    <row r="101" customFormat="false" ht="15" hidden="true" customHeight="false" outlineLevel="1" collapsed="false">
      <c r="A101" s="11" t="s">
        <v>164</v>
      </c>
      <c r="B101" s="23" t="s">
        <v>99</v>
      </c>
      <c r="C101" s="7" t="n">
        <v>1</v>
      </c>
      <c r="D101" s="7" t="n">
        <v>1</v>
      </c>
      <c r="E101" s="5"/>
      <c r="F101" s="5"/>
      <c r="G101" s="5"/>
      <c r="H101" s="5"/>
      <c r="I101" s="5" t="n">
        <f aca="false">C101+E101+G101</f>
        <v>1</v>
      </c>
      <c r="J101" s="5" t="n">
        <f aca="false">D101+F101+H101</f>
        <v>1</v>
      </c>
      <c r="M101" s="7" t="n">
        <v>1</v>
      </c>
      <c r="N101" s="7" t="n">
        <v>1</v>
      </c>
      <c r="O101" s="5"/>
      <c r="P101" s="5"/>
      <c r="Q101" s="5"/>
      <c r="R101" s="5"/>
      <c r="S101" s="5"/>
      <c r="T101" s="5"/>
      <c r="U101" s="5"/>
      <c r="V101" s="5"/>
      <c r="W101" s="11"/>
    </row>
    <row r="102" customFormat="false" ht="15" hidden="true" customHeight="false" outlineLevel="1" collapsed="false">
      <c r="A102" s="11" t="s">
        <v>164</v>
      </c>
      <c r="B102" s="23" t="s">
        <v>123</v>
      </c>
      <c r="C102" s="5"/>
      <c r="D102" s="5"/>
      <c r="E102" s="5"/>
      <c r="F102" s="5"/>
      <c r="G102" s="7" t="n">
        <v>1</v>
      </c>
      <c r="H102" s="7" t="n">
        <v>10</v>
      </c>
      <c r="I102" s="5" t="n">
        <f aca="false">C102+E102+G102</f>
        <v>1</v>
      </c>
      <c r="J102" s="5" t="n">
        <f aca="false">D102+F102+H102</f>
        <v>10</v>
      </c>
      <c r="M102" s="7" t="n">
        <v>1</v>
      </c>
      <c r="N102" s="7" t="n">
        <v>10</v>
      </c>
      <c r="O102" s="5"/>
      <c r="P102" s="5"/>
      <c r="Q102" s="5"/>
      <c r="R102" s="5"/>
      <c r="S102" s="5"/>
      <c r="T102" s="5"/>
      <c r="U102" s="5"/>
      <c r="V102" s="5"/>
      <c r="W102" s="11"/>
    </row>
    <row r="103" customFormat="false" ht="15" hidden="true" customHeight="false" outlineLevel="1" collapsed="false">
      <c r="A103" s="11" t="s">
        <v>164</v>
      </c>
      <c r="B103" s="23" t="s">
        <v>165</v>
      </c>
      <c r="C103" s="5"/>
      <c r="D103" s="5"/>
      <c r="E103" s="5"/>
      <c r="F103" s="5"/>
      <c r="G103" s="7" t="n">
        <v>1</v>
      </c>
      <c r="H103" s="7" t="n">
        <v>6</v>
      </c>
      <c r="I103" s="5" t="n">
        <f aca="false">C103+E103+G103</f>
        <v>1</v>
      </c>
      <c r="J103" s="5" t="n">
        <f aca="false">D103+F103+H103</f>
        <v>6</v>
      </c>
      <c r="M103" s="5"/>
      <c r="N103" s="5"/>
      <c r="O103" s="5"/>
      <c r="P103" s="5"/>
      <c r="Q103" s="5"/>
      <c r="R103" s="5"/>
      <c r="S103" s="5"/>
      <c r="T103" s="5"/>
      <c r="U103" s="7" t="n">
        <v>1</v>
      </c>
      <c r="V103" s="7" t="n">
        <v>6</v>
      </c>
      <c r="W103" s="11"/>
    </row>
    <row r="104" customFormat="false" ht="15" hidden="false" customHeight="false" outlineLevel="0" collapsed="false">
      <c r="A104" s="24" t="s">
        <v>166</v>
      </c>
      <c r="B104" s="25"/>
      <c r="C104" s="26" t="n">
        <f aca="false">C96+C99</f>
        <v>3</v>
      </c>
      <c r="D104" s="26" t="n">
        <f aca="false">D96+D99</f>
        <v>14</v>
      </c>
      <c r="E104" s="26" t="n">
        <f aca="false">E96+E99</f>
        <v>1</v>
      </c>
      <c r="F104" s="26" t="n">
        <f aca="false">F96+F99</f>
        <v>1</v>
      </c>
      <c r="G104" s="26" t="n">
        <f aca="false">G96+G99</f>
        <v>2</v>
      </c>
      <c r="H104" s="26" t="n">
        <f aca="false">H96+H99</f>
        <v>16</v>
      </c>
      <c r="I104" s="26" t="n">
        <f aca="false">I96+I99</f>
        <v>6</v>
      </c>
      <c r="J104" s="26" t="n">
        <f aca="false">J96+J99</f>
        <v>31</v>
      </c>
      <c r="M104" s="26" t="n">
        <f aca="false">M96+M99</f>
        <v>4</v>
      </c>
      <c r="N104" s="26" t="n">
        <f aca="false">N96+N99</f>
        <v>24</v>
      </c>
      <c r="O104" s="26" t="n">
        <f aca="false">O96+O99</f>
        <v>0</v>
      </c>
      <c r="P104" s="26" t="n">
        <f aca="false">P96+P99</f>
        <v>0</v>
      </c>
      <c r="Q104" s="26" t="n">
        <f aca="false">Q96+Q99</f>
        <v>0</v>
      </c>
      <c r="R104" s="26" t="n">
        <f aca="false">R96+R99</f>
        <v>0</v>
      </c>
      <c r="S104" s="26" t="n">
        <f aca="false">S96+S99</f>
        <v>1</v>
      </c>
      <c r="T104" s="26" t="n">
        <f aca="false">T96+T99</f>
        <v>1</v>
      </c>
      <c r="U104" s="26" t="n">
        <f aca="false">U96+U99</f>
        <v>1</v>
      </c>
      <c r="V104" s="26" t="n">
        <f aca="false">V96+V99</f>
        <v>6</v>
      </c>
      <c r="W104" s="25"/>
    </row>
    <row r="106" customFormat="false" ht="15" hidden="false" customHeight="false" outlineLevel="0" collapsed="false">
      <c r="A106" s="31" t="s">
        <v>167</v>
      </c>
      <c r="B106" s="32"/>
      <c r="C106" s="33" t="n">
        <f aca="false">C25+C38+C47+C71+C94+C104</f>
        <v>18</v>
      </c>
      <c r="D106" s="33" t="n">
        <f aca="false">D25+D38+D47+D71+D94+D104</f>
        <v>71</v>
      </c>
      <c r="E106" s="33" t="n">
        <f aca="false">E25+E38+E47+E71+E94+E104</f>
        <v>25</v>
      </c>
      <c r="F106" s="33" t="n">
        <f aca="false">F25+F38+F47+F71+F94+F104</f>
        <v>123</v>
      </c>
      <c r="G106" s="33" t="n">
        <f aca="false">G25+G38+G47+G71+G94+G104</f>
        <v>5</v>
      </c>
      <c r="H106" s="33" t="n">
        <f aca="false">H25+H38+H47+H71+H94+H104</f>
        <v>34</v>
      </c>
      <c r="I106" s="33" t="n">
        <f aca="false">I25+I38+I47+I71+I94+I104</f>
        <v>48</v>
      </c>
      <c r="J106" s="33" t="n">
        <f aca="false">J25+J38+J47+J71+J94+J104</f>
        <v>228</v>
      </c>
      <c r="M106" s="33" t="n">
        <f aca="false">M25+M38+M47+M71+M94+M104</f>
        <v>14</v>
      </c>
      <c r="N106" s="33" t="n">
        <f aca="false">N25+N38+N47+N71+N94+N104</f>
        <v>36</v>
      </c>
      <c r="O106" s="33" t="n">
        <f aca="false">O25+O38+O47+O71+O94+O104</f>
        <v>5</v>
      </c>
      <c r="P106" s="33" t="n">
        <f aca="false">P25+P38+P47+P71+P94+P104</f>
        <v>61</v>
      </c>
      <c r="Q106" s="33" t="n">
        <f aca="false">Q25+Q38+Q47+Q71+Q94+Q104</f>
        <v>0</v>
      </c>
      <c r="R106" s="33" t="n">
        <f aca="false">R25+R38+R47+R71+R94+R104</f>
        <v>0</v>
      </c>
      <c r="S106" s="33" t="n">
        <f aca="false">S25+S38+S47+S71+S94+S104</f>
        <v>28</v>
      </c>
      <c r="T106" s="33" t="n">
        <f aca="false">T25+T38+T47+T71+T94+T104</f>
        <v>125</v>
      </c>
      <c r="U106" s="33" t="n">
        <f aca="false">U25+U38+U47+U71+U94+U104</f>
        <v>1</v>
      </c>
      <c r="V106" s="33" t="n">
        <f aca="false">V25+V38+V47+V71+V94+V104</f>
        <v>6</v>
      </c>
      <c r="W106" s="32"/>
    </row>
    <row r="108" customFormat="false" ht="15" hidden="false" customHeight="false" outlineLevel="0" collapsed="false">
      <c r="A108" s="2" t="s">
        <v>168</v>
      </c>
    </row>
  </sheetData>
  <mergeCells count="3">
    <mergeCell ref="C20:H20"/>
    <mergeCell ref="I20:J20"/>
    <mergeCell ref="M20:V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1"/>
    <pageSetUpPr fitToPage="false"/>
  </sheetPr>
  <dimension ref="A1:J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2" min="1" style="0" width="22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16"/>
    <col collapsed="false" customWidth="true" hidden="false" outlineLevel="0" max="9" min="9" style="0" width="15"/>
    <col collapsed="false" customWidth="true" hidden="false" outlineLevel="0" max="10" min="10" style="0" width="60"/>
  </cols>
  <sheetData>
    <row r="1" customFormat="false" ht="20.1" hidden="false" customHeight="false" outlineLevel="0" collapsed="false">
      <c r="A1" s="1" t="s">
        <v>169</v>
      </c>
    </row>
    <row r="2" customFormat="false" ht="15" hidden="false" customHeight="false" outlineLevel="0" collapsed="false">
      <c r="A2" s="2" t="s">
        <v>170</v>
      </c>
    </row>
    <row r="4" customFormat="false" ht="15" hidden="false" customHeight="false" outlineLevel="0" collapsed="false">
      <c r="A4" s="10" t="s">
        <v>171</v>
      </c>
    </row>
    <row r="5" customFormat="false" ht="30" hidden="false" customHeight="true" outlineLevel="0" collapsed="false">
      <c r="A5" s="3" t="s">
        <v>2</v>
      </c>
      <c r="B5" s="3" t="s">
        <v>172</v>
      </c>
      <c r="C5" s="3" t="s">
        <v>173</v>
      </c>
      <c r="D5" s="3" t="s">
        <v>174</v>
      </c>
      <c r="E5" s="3" t="s">
        <v>175</v>
      </c>
      <c r="F5" s="3" t="s">
        <v>176</v>
      </c>
      <c r="G5" s="3" t="s">
        <v>177</v>
      </c>
      <c r="H5" s="3" t="s">
        <v>178</v>
      </c>
      <c r="I5" s="3" t="s">
        <v>179</v>
      </c>
      <c r="J5" s="3" t="s">
        <v>180</v>
      </c>
    </row>
    <row r="6" customFormat="false" ht="15" hidden="false" customHeight="false" outlineLevel="0" collapsed="false">
      <c r="A6" s="4" t="s">
        <v>9</v>
      </c>
      <c r="B6" s="34" t="s">
        <v>181</v>
      </c>
      <c r="C6" s="34" t="s">
        <v>182</v>
      </c>
      <c r="D6" s="35" t="s">
        <v>183</v>
      </c>
      <c r="E6" s="36" t="n">
        <v>2300</v>
      </c>
      <c r="F6" s="36" t="n">
        <v>2300</v>
      </c>
      <c r="G6" s="35" t="s">
        <v>184</v>
      </c>
      <c r="H6" s="37" t="s">
        <v>185</v>
      </c>
      <c r="I6" s="38" t="s">
        <v>186</v>
      </c>
      <c r="J6" s="39" t="s">
        <v>187</v>
      </c>
    </row>
    <row r="7" customFormat="false" ht="15" hidden="false" customHeight="false" outlineLevel="0" collapsed="false">
      <c r="A7" s="4" t="s">
        <v>10</v>
      </c>
      <c r="B7" s="34" t="s">
        <v>188</v>
      </c>
      <c r="C7" s="34" t="s">
        <v>189</v>
      </c>
      <c r="D7" s="35" t="s">
        <v>190</v>
      </c>
      <c r="E7" s="36" t="n">
        <v>3500</v>
      </c>
      <c r="F7" s="36" t="n">
        <v>2800</v>
      </c>
      <c r="G7" s="35" t="s">
        <v>191</v>
      </c>
      <c r="H7" s="37" t="s">
        <v>192</v>
      </c>
      <c r="I7" s="38" t="s">
        <v>193</v>
      </c>
      <c r="J7" s="39" t="s">
        <v>194</v>
      </c>
    </row>
    <row r="8" customFormat="false" ht="15" hidden="false" customHeight="false" outlineLevel="0" collapsed="false">
      <c r="A8" s="4" t="s">
        <v>11</v>
      </c>
      <c r="B8" s="34" t="s">
        <v>195</v>
      </c>
      <c r="C8" s="34" t="s">
        <v>196</v>
      </c>
      <c r="D8" s="35" t="s">
        <v>197</v>
      </c>
      <c r="E8" s="40" t="s">
        <v>198</v>
      </c>
      <c r="F8" s="36" t="n">
        <v>2500</v>
      </c>
      <c r="G8" s="35" t="s">
        <v>184</v>
      </c>
      <c r="H8" s="37" t="s">
        <v>192</v>
      </c>
      <c r="I8" s="38" t="s">
        <v>199</v>
      </c>
      <c r="J8" s="39" t="s">
        <v>200</v>
      </c>
    </row>
    <row r="9" customFormat="false" ht="15" hidden="false" customHeight="false" outlineLevel="0" collapsed="false">
      <c r="A9" s="2" t="s">
        <v>201</v>
      </c>
    </row>
    <row r="11" customFormat="false" ht="17.15" hidden="false" customHeight="false" outlineLevel="0" collapsed="false">
      <c r="A11" s="10" t="s">
        <v>202</v>
      </c>
    </row>
    <row r="12" customFormat="false" ht="43.5" hidden="false" customHeight="true" outlineLevel="0" collapsed="false">
      <c r="A12" s="3" t="s">
        <v>2</v>
      </c>
      <c r="B12" s="3" t="s">
        <v>173</v>
      </c>
      <c r="C12" s="3" t="s">
        <v>203</v>
      </c>
      <c r="D12" s="3" t="s">
        <v>204</v>
      </c>
      <c r="E12" s="3" t="s">
        <v>205</v>
      </c>
      <c r="F12" s="3" t="s">
        <v>206</v>
      </c>
      <c r="G12" s="3" t="s">
        <v>207</v>
      </c>
      <c r="H12" s="3" t="s">
        <v>208</v>
      </c>
      <c r="I12" s="3" t="s">
        <v>209</v>
      </c>
      <c r="J12" s="3" t="s">
        <v>210</v>
      </c>
    </row>
    <row r="13" customFormat="false" ht="15" hidden="false" customHeight="false" outlineLevel="0" collapsed="false">
      <c r="A13" s="4" t="s">
        <v>9</v>
      </c>
      <c r="B13" s="34" t="s">
        <v>211</v>
      </c>
      <c r="C13" s="7" t="n">
        <v>1</v>
      </c>
      <c r="D13" s="7" t="n">
        <v>5</v>
      </c>
      <c r="E13" s="6" t="n">
        <v>4</v>
      </c>
      <c r="F13" s="6" t="n">
        <v>15</v>
      </c>
      <c r="G13" s="41" t="n">
        <f aca="false">E13-C13</f>
        <v>3</v>
      </c>
      <c r="H13" s="41" t="n">
        <f aca="false">F13-D13</f>
        <v>10</v>
      </c>
      <c r="I13" s="7" t="n">
        <v>1</v>
      </c>
      <c r="J13" s="7" t="n">
        <v>1</v>
      </c>
    </row>
    <row r="14" customFormat="false" ht="15" hidden="false" customHeight="false" outlineLevel="0" collapsed="false">
      <c r="A14" s="4" t="s">
        <v>10</v>
      </c>
      <c r="B14" s="34" t="s">
        <v>212</v>
      </c>
      <c r="C14" s="7" t="n">
        <v>0</v>
      </c>
      <c r="D14" s="7" t="n">
        <v>0</v>
      </c>
      <c r="E14" s="6" t="n">
        <v>3</v>
      </c>
      <c r="F14" s="6" t="n">
        <v>7</v>
      </c>
      <c r="G14" s="41" t="n">
        <f aca="false">E14-C14</f>
        <v>3</v>
      </c>
      <c r="H14" s="41" t="n">
        <f aca="false">F14-D14</f>
        <v>7</v>
      </c>
      <c r="I14" s="7" t="n">
        <v>3</v>
      </c>
      <c r="J14" s="7" t="n">
        <v>7</v>
      </c>
    </row>
    <row r="15" customFormat="false" ht="15" hidden="false" customHeight="false" outlineLevel="0" collapsed="false">
      <c r="A15" s="4" t="s">
        <v>11</v>
      </c>
      <c r="B15" s="34" t="s">
        <v>213</v>
      </c>
      <c r="C15" s="7" t="n">
        <v>0</v>
      </c>
      <c r="D15" s="7" t="n">
        <v>0</v>
      </c>
      <c r="E15" s="6" t="n">
        <v>3</v>
      </c>
      <c r="F15" s="6" t="n">
        <v>17</v>
      </c>
      <c r="G15" s="41" t="n">
        <f aca="false">E15-C15</f>
        <v>3</v>
      </c>
      <c r="H15" s="41" t="n">
        <f aca="false">F15-D15</f>
        <v>17</v>
      </c>
      <c r="I15" s="7" t="n">
        <v>0</v>
      </c>
      <c r="J15" s="7" t="n">
        <v>0</v>
      </c>
    </row>
    <row r="16" customFormat="false" ht="15" hidden="false" customHeight="false" outlineLevel="0" collapsed="false">
      <c r="A16" s="8" t="s">
        <v>12</v>
      </c>
      <c r="B16" s="15"/>
      <c r="C16" s="9" t="n">
        <f aca="false">C13+C14+C15</f>
        <v>1</v>
      </c>
      <c r="D16" s="9" t="n">
        <f aca="false">D13+D14+D15</f>
        <v>5</v>
      </c>
      <c r="E16" s="9" t="n">
        <f aca="false">E13+E14+E15</f>
        <v>10</v>
      </c>
      <c r="F16" s="9" t="n">
        <f aca="false">F13+F14+F15</f>
        <v>39</v>
      </c>
      <c r="G16" s="42" t="n">
        <f aca="false">G13+G14+G15</f>
        <v>9</v>
      </c>
      <c r="H16" s="42" t="n">
        <f aca="false">H13+H14+H15</f>
        <v>34</v>
      </c>
      <c r="I16" s="9" t="n">
        <f aca="false">I13+I14+I15</f>
        <v>4</v>
      </c>
      <c r="J16" s="9" t="n">
        <f aca="false">J13+J14+J15</f>
        <v>8</v>
      </c>
    </row>
    <row r="17" customFormat="false" ht="15" hidden="false" customHeight="false" outlineLevel="0" collapsed="false">
      <c r="A17" s="2" t="s">
        <v>214</v>
      </c>
    </row>
    <row r="18" customFormat="false" ht="15" hidden="false" customHeight="false" outlineLevel="0" collapsed="false">
      <c r="A18" s="43" t="s">
        <v>215</v>
      </c>
    </row>
    <row r="20" customFormat="false" ht="17.15" hidden="false" customHeight="false" outlineLevel="0" collapsed="false">
      <c r="A20" s="10" t="s">
        <v>216</v>
      </c>
    </row>
    <row r="21" customFormat="false" ht="15" hidden="false" customHeight="false" outlineLevel="0" collapsed="false">
      <c r="A21" s="31" t="s">
        <v>217</v>
      </c>
      <c r="B21" s="32"/>
      <c r="C21" s="32"/>
      <c r="D21" s="32"/>
      <c r="E21" s="32"/>
      <c r="F21" s="32"/>
      <c r="G21" s="32"/>
      <c r="H21" s="32"/>
      <c r="I21" s="32"/>
      <c r="J21" s="32"/>
    </row>
    <row r="22" customFormat="false" ht="30" hidden="false" customHeight="true" outlineLevel="0" collapsed="false">
      <c r="A22" s="3" t="s">
        <v>218</v>
      </c>
      <c r="B22" s="3" t="s">
        <v>219</v>
      </c>
      <c r="C22" s="3" t="s">
        <v>220</v>
      </c>
      <c r="D22" s="3" t="s">
        <v>221</v>
      </c>
      <c r="E22" s="3" t="s">
        <v>222</v>
      </c>
      <c r="F22" s="3" t="s">
        <v>223</v>
      </c>
      <c r="G22" s="3"/>
      <c r="H22" s="3"/>
      <c r="I22" s="3"/>
      <c r="J22" s="3" t="s">
        <v>224</v>
      </c>
    </row>
    <row r="23" customFormat="false" ht="15" hidden="false" customHeight="false" outlineLevel="0" collapsed="false">
      <c r="A23" s="44" t="n">
        <v>2000</v>
      </c>
      <c r="B23" s="45" t="n">
        <v>1</v>
      </c>
      <c r="C23" s="46" t="s">
        <v>225</v>
      </c>
      <c r="D23" s="20" t="s">
        <v>191</v>
      </c>
      <c r="E23" s="47" t="s">
        <v>226</v>
      </c>
      <c r="F23" s="48" t="s">
        <v>191</v>
      </c>
      <c r="G23" s="20"/>
      <c r="H23" s="20"/>
      <c r="I23" s="20"/>
      <c r="J23" s="20"/>
    </row>
    <row r="24" customFormat="false" ht="15" hidden="true" customHeight="false" outlineLevel="1" collapsed="false">
      <c r="A24" s="11" t="s">
        <v>227</v>
      </c>
      <c r="B24" s="23" t="s">
        <v>228</v>
      </c>
      <c r="C24" s="49" t="s">
        <v>226</v>
      </c>
      <c r="D24" s="49" t="s">
        <v>229</v>
      </c>
      <c r="E24" s="39"/>
      <c r="F24" s="39"/>
      <c r="G24" s="50"/>
      <c r="H24" s="50"/>
      <c r="I24" s="50"/>
      <c r="J24" s="50"/>
    </row>
    <row r="25" customFormat="false" ht="15" hidden="false" customHeight="false" outlineLevel="0" collapsed="false">
      <c r="A25" s="44" t="n">
        <v>2300</v>
      </c>
      <c r="B25" s="45" t="n">
        <v>2</v>
      </c>
      <c r="C25" s="20" t="s">
        <v>230</v>
      </c>
      <c r="D25" s="20" t="s">
        <v>231</v>
      </c>
      <c r="E25" s="51" t="s">
        <v>232</v>
      </c>
      <c r="F25" s="48" t="s">
        <v>233</v>
      </c>
      <c r="G25" s="20"/>
      <c r="H25" s="20"/>
      <c r="I25" s="20"/>
      <c r="J25" s="20"/>
    </row>
    <row r="26" customFormat="false" ht="15" hidden="true" customHeight="false" outlineLevel="1" collapsed="false">
      <c r="A26" s="11" t="s">
        <v>234</v>
      </c>
      <c r="B26" s="23" t="s">
        <v>235</v>
      </c>
      <c r="C26" s="49" t="s">
        <v>229</v>
      </c>
      <c r="D26" s="49" t="s">
        <v>236</v>
      </c>
      <c r="E26" s="39"/>
      <c r="F26" s="39"/>
      <c r="G26" s="52" t="s">
        <v>237</v>
      </c>
      <c r="H26" s="52"/>
      <c r="I26" s="52"/>
      <c r="J26" s="52"/>
    </row>
    <row r="27" customFormat="false" ht="15" hidden="true" customHeight="false" outlineLevel="1" collapsed="false">
      <c r="A27" s="11" t="s">
        <v>238</v>
      </c>
      <c r="B27" s="23" t="s">
        <v>228</v>
      </c>
      <c r="C27" s="49" t="s">
        <v>239</v>
      </c>
      <c r="D27" s="49" t="s">
        <v>236</v>
      </c>
      <c r="E27" s="39"/>
      <c r="F27" s="39"/>
      <c r="G27" s="52" t="s">
        <v>240</v>
      </c>
      <c r="H27" s="52"/>
      <c r="I27" s="52"/>
      <c r="J27" s="52"/>
    </row>
    <row r="28" customFormat="false" ht="15" hidden="false" customHeight="false" outlineLevel="0" collapsed="false">
      <c r="A28" s="44" t="n">
        <v>2600</v>
      </c>
      <c r="B28" s="45" t="n">
        <v>1</v>
      </c>
      <c r="C28" s="20" t="s">
        <v>191</v>
      </c>
      <c r="D28" s="20" t="s">
        <v>191</v>
      </c>
      <c r="E28" s="47" t="s">
        <v>241</v>
      </c>
      <c r="F28" s="48" t="s">
        <v>191</v>
      </c>
      <c r="G28" s="20"/>
      <c r="H28" s="20"/>
      <c r="I28" s="20"/>
      <c r="J28" s="20"/>
    </row>
    <row r="29" customFormat="false" ht="15" hidden="true" customHeight="false" outlineLevel="1" collapsed="false">
      <c r="A29" s="11" t="s">
        <v>242</v>
      </c>
      <c r="B29" s="23" t="s">
        <v>243</v>
      </c>
      <c r="C29" s="49" t="s">
        <v>229</v>
      </c>
      <c r="D29" s="49" t="s">
        <v>229</v>
      </c>
      <c r="E29" s="39"/>
      <c r="F29" s="39"/>
      <c r="G29" s="52" t="s">
        <v>244</v>
      </c>
      <c r="H29" s="52"/>
      <c r="I29" s="52"/>
      <c r="J29" s="52"/>
    </row>
    <row r="30" customFormat="false" ht="15" hidden="false" customHeight="false" outlineLevel="0" collapsed="false">
      <c r="A30" s="44" t="n">
        <v>2800</v>
      </c>
      <c r="B30" s="45" t="n">
        <v>1</v>
      </c>
      <c r="C30" s="20" t="s">
        <v>184</v>
      </c>
      <c r="D30" s="20" t="s">
        <v>191</v>
      </c>
      <c r="E30" s="51" t="s">
        <v>232</v>
      </c>
      <c r="F30" s="48" t="s">
        <v>191</v>
      </c>
      <c r="G30" s="20"/>
      <c r="H30" s="20"/>
      <c r="I30" s="20"/>
      <c r="J30" s="20"/>
    </row>
    <row r="31" customFormat="false" ht="15" hidden="true" customHeight="false" outlineLevel="1" collapsed="false">
      <c r="A31" s="11" t="s">
        <v>245</v>
      </c>
      <c r="B31" s="23" t="s">
        <v>243</v>
      </c>
      <c r="C31" s="49" t="s">
        <v>239</v>
      </c>
      <c r="D31" s="49" t="s">
        <v>229</v>
      </c>
      <c r="E31" s="39"/>
      <c r="F31" s="39"/>
      <c r="G31" s="52" t="s">
        <v>240</v>
      </c>
      <c r="H31" s="52"/>
      <c r="I31" s="52"/>
      <c r="J31" s="52"/>
    </row>
    <row r="32" customFormat="false" ht="15" hidden="false" customHeight="false" outlineLevel="0" collapsed="false">
      <c r="A32" s="44" t="n">
        <v>3000</v>
      </c>
      <c r="B32" s="45" t="n">
        <v>3</v>
      </c>
      <c r="C32" s="20" t="s">
        <v>184</v>
      </c>
      <c r="D32" s="20" t="s">
        <v>246</v>
      </c>
      <c r="E32" s="51" t="s">
        <v>232</v>
      </c>
      <c r="F32" s="48" t="s">
        <v>184</v>
      </c>
      <c r="G32" s="20"/>
      <c r="H32" s="20"/>
      <c r="I32" s="20"/>
      <c r="J32" s="20"/>
    </row>
    <row r="33" customFormat="false" ht="15" hidden="true" customHeight="false" outlineLevel="1" collapsed="false">
      <c r="A33" s="11" t="s">
        <v>247</v>
      </c>
      <c r="B33" s="23" t="s">
        <v>243</v>
      </c>
      <c r="C33" s="49" t="s">
        <v>226</v>
      </c>
      <c r="D33" s="49" t="s">
        <v>239</v>
      </c>
      <c r="E33" s="39"/>
      <c r="F33" s="39"/>
      <c r="G33" s="50"/>
      <c r="H33" s="50"/>
      <c r="I33" s="50"/>
      <c r="J33" s="50"/>
    </row>
    <row r="34" customFormat="false" ht="15" hidden="true" customHeight="false" outlineLevel="1" collapsed="false">
      <c r="A34" s="11" t="s">
        <v>248</v>
      </c>
      <c r="B34" s="23" t="s">
        <v>235</v>
      </c>
      <c r="C34" s="49" t="s">
        <v>226</v>
      </c>
      <c r="D34" s="49" t="s">
        <v>249</v>
      </c>
      <c r="E34" s="39"/>
      <c r="F34" s="39"/>
      <c r="G34" s="50"/>
      <c r="H34" s="50"/>
      <c r="I34" s="50"/>
      <c r="J34" s="50"/>
    </row>
    <row r="35" customFormat="false" ht="15" hidden="true" customHeight="false" outlineLevel="1" collapsed="false">
      <c r="A35" s="11" t="s">
        <v>250</v>
      </c>
      <c r="B35" s="23" t="s">
        <v>235</v>
      </c>
      <c r="C35" s="49" t="s">
        <v>239</v>
      </c>
      <c r="D35" s="49" t="s">
        <v>229</v>
      </c>
      <c r="E35" s="39"/>
      <c r="F35" s="39"/>
      <c r="G35" s="50"/>
      <c r="H35" s="50"/>
      <c r="I35" s="50"/>
      <c r="J35" s="50"/>
    </row>
    <row r="37" customFormat="false" ht="15" hidden="false" customHeight="false" outlineLevel="0" collapsed="false">
      <c r="A37" s="31" t="s">
        <v>251</v>
      </c>
      <c r="B37" s="32"/>
      <c r="C37" s="32"/>
      <c r="D37" s="32"/>
      <c r="E37" s="32"/>
      <c r="F37" s="32"/>
      <c r="G37" s="32"/>
      <c r="H37" s="32"/>
      <c r="I37" s="32"/>
      <c r="J37" s="32"/>
    </row>
    <row r="38" customFormat="false" ht="30" hidden="false" customHeight="true" outlineLevel="0" collapsed="false">
      <c r="A38" s="3" t="s">
        <v>218</v>
      </c>
      <c r="B38" s="3" t="s">
        <v>219</v>
      </c>
      <c r="C38" s="3" t="s">
        <v>220</v>
      </c>
      <c r="D38" s="3" t="s">
        <v>221</v>
      </c>
      <c r="E38" s="3" t="s">
        <v>222</v>
      </c>
      <c r="F38" s="3" t="s">
        <v>223</v>
      </c>
      <c r="G38" s="3"/>
      <c r="H38" s="3"/>
      <c r="I38" s="3"/>
      <c r="J38" s="3" t="s">
        <v>224</v>
      </c>
    </row>
    <row r="39" customFormat="false" ht="15" hidden="false" customHeight="false" outlineLevel="0" collapsed="false">
      <c r="A39" s="44" t="n">
        <v>1500</v>
      </c>
      <c r="B39" s="45" t="n">
        <v>1</v>
      </c>
      <c r="C39" s="46" t="s">
        <v>225</v>
      </c>
      <c r="D39" s="20" t="s">
        <v>252</v>
      </c>
      <c r="E39" s="47" t="s">
        <v>226</v>
      </c>
      <c r="F39" s="48" t="s">
        <v>226</v>
      </c>
      <c r="G39" s="20"/>
      <c r="H39" s="20"/>
      <c r="I39" s="20"/>
      <c r="J39" s="20"/>
    </row>
    <row r="40" customFormat="false" ht="15" hidden="true" customHeight="false" outlineLevel="1" collapsed="false">
      <c r="A40" s="11" t="s">
        <v>253</v>
      </c>
      <c r="B40" s="23" t="s">
        <v>243</v>
      </c>
      <c r="C40" s="49" t="s">
        <v>226</v>
      </c>
      <c r="D40" s="49" t="s">
        <v>254</v>
      </c>
      <c r="E40" s="39"/>
      <c r="F40" s="39"/>
      <c r="G40" s="52" t="s">
        <v>255</v>
      </c>
      <c r="H40" s="52"/>
      <c r="I40" s="52"/>
      <c r="J40" s="52"/>
    </row>
    <row r="41" customFormat="false" ht="15" hidden="false" customHeight="false" outlineLevel="0" collapsed="false">
      <c r="A41" s="44" t="n">
        <v>2000</v>
      </c>
      <c r="B41" s="45" t="n">
        <v>1</v>
      </c>
      <c r="C41" s="46" t="s">
        <v>225</v>
      </c>
      <c r="D41" s="20" t="s">
        <v>252</v>
      </c>
      <c r="E41" s="47" t="s">
        <v>226</v>
      </c>
      <c r="F41" s="48" t="s">
        <v>226</v>
      </c>
      <c r="G41" s="20"/>
      <c r="H41" s="20"/>
      <c r="I41" s="20"/>
      <c r="J41" s="20"/>
    </row>
    <row r="42" customFormat="false" ht="15" hidden="true" customHeight="false" outlineLevel="1" collapsed="false">
      <c r="A42" s="11" t="s">
        <v>256</v>
      </c>
      <c r="B42" s="23" t="s">
        <v>235</v>
      </c>
      <c r="C42" s="49" t="s">
        <v>226</v>
      </c>
      <c r="D42" s="49" t="s">
        <v>254</v>
      </c>
      <c r="E42" s="39"/>
      <c r="F42" s="39"/>
      <c r="G42" s="50"/>
      <c r="H42" s="50"/>
      <c r="I42" s="50"/>
      <c r="J42" s="50"/>
    </row>
    <row r="43" customFormat="false" ht="15" hidden="false" customHeight="false" outlineLevel="0" collapsed="false">
      <c r="A43" s="44" t="n">
        <v>2500</v>
      </c>
      <c r="B43" s="45" t="n">
        <v>1</v>
      </c>
      <c r="C43" s="46" t="s">
        <v>225</v>
      </c>
      <c r="D43" s="20" t="s">
        <v>252</v>
      </c>
      <c r="E43" s="47" t="s">
        <v>226</v>
      </c>
      <c r="F43" s="48" t="s">
        <v>226</v>
      </c>
      <c r="G43" s="20"/>
      <c r="H43" s="20"/>
      <c r="I43" s="20"/>
      <c r="J43" s="20"/>
    </row>
    <row r="44" customFormat="false" ht="15" hidden="true" customHeight="false" outlineLevel="1" collapsed="false">
      <c r="A44" s="11" t="s">
        <v>257</v>
      </c>
      <c r="B44" s="23" t="s">
        <v>235</v>
      </c>
      <c r="C44" s="49" t="s">
        <v>226</v>
      </c>
      <c r="D44" s="49" t="s">
        <v>254</v>
      </c>
      <c r="E44" s="39"/>
      <c r="F44" s="39"/>
      <c r="G44" s="50"/>
      <c r="H44" s="50"/>
      <c r="I44" s="50"/>
      <c r="J44" s="50"/>
    </row>
    <row r="45" customFormat="false" ht="15" hidden="false" customHeight="false" outlineLevel="0" collapsed="false">
      <c r="A45" s="44" t="n">
        <v>2800</v>
      </c>
      <c r="B45" s="45" t="n">
        <v>1</v>
      </c>
      <c r="C45" s="20" t="s">
        <v>191</v>
      </c>
      <c r="D45" s="20" t="s">
        <v>233</v>
      </c>
      <c r="E45" s="47" t="s">
        <v>241</v>
      </c>
      <c r="F45" s="48" t="s">
        <v>233</v>
      </c>
      <c r="G45" s="20"/>
      <c r="H45" s="20"/>
      <c r="I45" s="20"/>
      <c r="J45" s="20"/>
    </row>
    <row r="46" customFormat="false" ht="15" hidden="true" customHeight="false" outlineLevel="1" collapsed="false">
      <c r="A46" s="11" t="s">
        <v>258</v>
      </c>
      <c r="B46" s="23" t="s">
        <v>243</v>
      </c>
      <c r="C46" s="49" t="s">
        <v>229</v>
      </c>
      <c r="D46" s="49" t="s">
        <v>236</v>
      </c>
      <c r="E46" s="39"/>
      <c r="F46" s="39"/>
      <c r="G46" s="52" t="s">
        <v>259</v>
      </c>
      <c r="H46" s="52"/>
      <c r="I46" s="52"/>
      <c r="J46" s="52"/>
    </row>
    <row r="47" customFormat="false" ht="15" hidden="false" customHeight="false" outlineLevel="0" collapsed="false">
      <c r="A47" s="44" t="n">
        <v>3000</v>
      </c>
      <c r="B47" s="45" t="n">
        <v>2</v>
      </c>
      <c r="C47" s="46" t="s">
        <v>225</v>
      </c>
      <c r="D47" s="20" t="s">
        <v>260</v>
      </c>
      <c r="E47" s="47" t="s">
        <v>226</v>
      </c>
      <c r="F47" s="48" t="s">
        <v>191</v>
      </c>
      <c r="G47" s="20"/>
      <c r="H47" s="20"/>
      <c r="I47" s="20"/>
      <c r="J47" s="20"/>
    </row>
    <row r="48" customFormat="false" ht="15" hidden="true" customHeight="false" outlineLevel="1" collapsed="false">
      <c r="A48" s="11" t="s">
        <v>261</v>
      </c>
      <c r="B48" s="23" t="s">
        <v>235</v>
      </c>
      <c r="C48" s="49" t="s">
        <v>226</v>
      </c>
      <c r="D48" s="49" t="s">
        <v>229</v>
      </c>
      <c r="E48" s="39"/>
      <c r="F48" s="39"/>
      <c r="G48" s="52" t="s">
        <v>262</v>
      </c>
      <c r="H48" s="52"/>
      <c r="I48" s="52"/>
      <c r="J48" s="52"/>
    </row>
    <row r="49" customFormat="false" ht="15" hidden="true" customHeight="false" outlineLevel="1" collapsed="false">
      <c r="A49" s="11" t="s">
        <v>248</v>
      </c>
      <c r="B49" s="23" t="s">
        <v>235</v>
      </c>
      <c r="C49" s="49" t="s">
        <v>226</v>
      </c>
      <c r="D49" s="49" t="s">
        <v>236</v>
      </c>
      <c r="E49" s="39"/>
      <c r="F49" s="39"/>
      <c r="G49" s="50"/>
      <c r="H49" s="50"/>
      <c r="I49" s="50"/>
      <c r="J49" s="50"/>
    </row>
    <row r="50" customFormat="false" ht="15" hidden="false" customHeight="false" outlineLevel="0" collapsed="false">
      <c r="A50" s="44" t="n">
        <v>3100</v>
      </c>
      <c r="B50" s="45" t="n">
        <v>1</v>
      </c>
      <c r="C50" s="20" t="s">
        <v>191</v>
      </c>
      <c r="D50" s="20" t="s">
        <v>233</v>
      </c>
      <c r="E50" s="47" t="s">
        <v>241</v>
      </c>
      <c r="F50" s="48" t="s">
        <v>233</v>
      </c>
      <c r="G50" s="20"/>
      <c r="H50" s="20"/>
      <c r="I50" s="20"/>
      <c r="J50" s="20"/>
    </row>
    <row r="51" customFormat="false" ht="15" hidden="true" customHeight="false" outlineLevel="1" collapsed="false">
      <c r="A51" s="11" t="s">
        <v>263</v>
      </c>
      <c r="B51" s="23" t="s">
        <v>243</v>
      </c>
      <c r="C51" s="49" t="s">
        <v>229</v>
      </c>
      <c r="D51" s="49" t="s">
        <v>236</v>
      </c>
      <c r="E51" s="39"/>
      <c r="F51" s="39"/>
      <c r="G51" s="52" t="s">
        <v>264</v>
      </c>
      <c r="H51" s="52"/>
      <c r="I51" s="52"/>
      <c r="J51" s="52"/>
    </row>
    <row r="52" customFormat="false" ht="15" hidden="false" customHeight="false" outlineLevel="0" collapsed="false">
      <c r="A52" s="44" t="n">
        <v>3500</v>
      </c>
      <c r="B52" s="45" t="n">
        <v>4</v>
      </c>
      <c r="C52" s="20" t="s">
        <v>265</v>
      </c>
      <c r="D52" s="20" t="s">
        <v>266</v>
      </c>
      <c r="E52" s="51" t="s">
        <v>232</v>
      </c>
      <c r="F52" s="48" t="s">
        <v>191</v>
      </c>
      <c r="G52" s="20"/>
      <c r="H52" s="20"/>
      <c r="I52" s="20"/>
      <c r="J52" s="20"/>
    </row>
    <row r="53" customFormat="false" ht="15" hidden="true" customHeight="false" outlineLevel="1" collapsed="false">
      <c r="A53" s="11" t="s">
        <v>267</v>
      </c>
      <c r="B53" s="23" t="s">
        <v>235</v>
      </c>
      <c r="C53" s="49" t="s">
        <v>226</v>
      </c>
      <c r="D53" s="49" t="s">
        <v>229</v>
      </c>
      <c r="E53" s="39"/>
      <c r="F53" s="39"/>
      <c r="G53" s="50"/>
      <c r="H53" s="50"/>
      <c r="I53" s="50"/>
      <c r="J53" s="50"/>
    </row>
    <row r="54" customFormat="false" ht="15" hidden="true" customHeight="false" outlineLevel="1" collapsed="false">
      <c r="A54" s="11" t="s">
        <v>268</v>
      </c>
      <c r="B54" s="23" t="s">
        <v>269</v>
      </c>
      <c r="C54" s="49" t="s">
        <v>226</v>
      </c>
      <c r="D54" s="49" t="s">
        <v>229</v>
      </c>
      <c r="E54" s="39"/>
      <c r="F54" s="39"/>
      <c r="G54" s="50"/>
      <c r="H54" s="50"/>
      <c r="I54" s="50"/>
      <c r="J54" s="50"/>
    </row>
    <row r="55" customFormat="false" ht="15" hidden="true" customHeight="false" outlineLevel="1" collapsed="false">
      <c r="A55" s="11" t="s">
        <v>270</v>
      </c>
      <c r="B55" s="23" t="s">
        <v>235</v>
      </c>
      <c r="C55" s="49" t="s">
        <v>249</v>
      </c>
      <c r="D55" s="49" t="s">
        <v>229</v>
      </c>
      <c r="E55" s="39"/>
      <c r="F55" s="39"/>
      <c r="G55" s="52" t="s">
        <v>264</v>
      </c>
      <c r="H55" s="52"/>
      <c r="I55" s="52"/>
      <c r="J55" s="52"/>
    </row>
    <row r="56" customFormat="false" ht="15" hidden="true" customHeight="false" outlineLevel="1" collapsed="false">
      <c r="A56" s="11" t="s">
        <v>238</v>
      </c>
      <c r="B56" s="23" t="s">
        <v>228</v>
      </c>
      <c r="C56" s="49" t="s">
        <v>239</v>
      </c>
      <c r="D56" s="49" t="s">
        <v>236</v>
      </c>
      <c r="E56" s="39"/>
      <c r="F56" s="39"/>
      <c r="G56" s="52" t="s">
        <v>271</v>
      </c>
      <c r="H56" s="52"/>
      <c r="I56" s="52"/>
      <c r="J56" s="52"/>
    </row>
    <row r="57" customFormat="false" ht="15" hidden="false" customHeight="false" outlineLevel="0" collapsed="false">
      <c r="A57" s="44" t="n">
        <v>4000</v>
      </c>
      <c r="B57" s="45" t="n">
        <v>1</v>
      </c>
      <c r="C57" s="20" t="s">
        <v>184</v>
      </c>
      <c r="D57" s="20" t="s">
        <v>191</v>
      </c>
      <c r="E57" s="51" t="s">
        <v>232</v>
      </c>
      <c r="F57" s="48" t="s">
        <v>191</v>
      </c>
      <c r="G57" s="20"/>
      <c r="H57" s="20"/>
      <c r="I57" s="20"/>
      <c r="J57" s="20"/>
    </row>
    <row r="58" customFormat="false" ht="15" hidden="true" customHeight="false" outlineLevel="1" collapsed="false">
      <c r="A58" s="11" t="s">
        <v>250</v>
      </c>
      <c r="B58" s="23" t="s">
        <v>235</v>
      </c>
      <c r="C58" s="49" t="s">
        <v>239</v>
      </c>
      <c r="D58" s="49" t="s">
        <v>229</v>
      </c>
      <c r="E58" s="39"/>
      <c r="F58" s="39"/>
      <c r="G58" s="50"/>
      <c r="H58" s="50"/>
      <c r="I58" s="50"/>
      <c r="J58" s="50"/>
    </row>
    <row r="59" customFormat="false" ht="15" hidden="false" customHeight="false" outlineLevel="0" collapsed="false">
      <c r="A59" s="44" t="n">
        <v>5000</v>
      </c>
      <c r="B59" s="45" t="n">
        <v>1</v>
      </c>
      <c r="C59" s="46" t="s">
        <v>225</v>
      </c>
      <c r="D59" s="20" t="s">
        <v>191</v>
      </c>
      <c r="E59" s="47" t="s">
        <v>226</v>
      </c>
      <c r="F59" s="48" t="s">
        <v>191</v>
      </c>
      <c r="G59" s="20"/>
      <c r="H59" s="20"/>
      <c r="I59" s="20"/>
      <c r="J59" s="20"/>
    </row>
    <row r="60" customFormat="false" ht="15" hidden="true" customHeight="false" outlineLevel="1" collapsed="false">
      <c r="A60" s="11" t="s">
        <v>247</v>
      </c>
      <c r="B60" s="23" t="s">
        <v>243</v>
      </c>
      <c r="C60" s="49" t="s">
        <v>226</v>
      </c>
      <c r="D60" s="49" t="s">
        <v>229</v>
      </c>
      <c r="E60" s="39"/>
      <c r="F60" s="39"/>
      <c r="G60" s="50"/>
      <c r="H60" s="50"/>
      <c r="I60" s="50"/>
      <c r="J60" s="50"/>
    </row>
    <row r="61" customFormat="false" ht="15" hidden="false" customHeight="false" outlineLevel="0" collapsed="false">
      <c r="A61" s="44" t="n">
        <v>5500</v>
      </c>
      <c r="B61" s="45" t="n">
        <v>2</v>
      </c>
      <c r="C61" s="46" t="s">
        <v>225</v>
      </c>
      <c r="D61" s="20" t="s">
        <v>272</v>
      </c>
      <c r="E61" s="47" t="s">
        <v>226</v>
      </c>
      <c r="F61" s="48" t="s">
        <v>191</v>
      </c>
      <c r="G61" s="20"/>
      <c r="H61" s="20"/>
      <c r="I61" s="20"/>
      <c r="J61" s="20"/>
    </row>
    <row r="62" customFormat="false" ht="15" hidden="true" customHeight="false" outlineLevel="1" collapsed="false">
      <c r="A62" s="11" t="s">
        <v>273</v>
      </c>
      <c r="B62" s="23" t="s">
        <v>235</v>
      </c>
      <c r="C62" s="49" t="s">
        <v>226</v>
      </c>
      <c r="D62" s="49" t="s">
        <v>229</v>
      </c>
      <c r="E62" s="39"/>
      <c r="F62" s="39"/>
      <c r="G62" s="50"/>
      <c r="H62" s="50"/>
      <c r="I62" s="50"/>
      <c r="J62" s="50"/>
    </row>
    <row r="63" customFormat="false" ht="15" hidden="true" customHeight="false" outlineLevel="1" collapsed="false">
      <c r="A63" s="11" t="s">
        <v>274</v>
      </c>
      <c r="B63" s="23" t="s">
        <v>235</v>
      </c>
      <c r="C63" s="49" t="s">
        <v>226</v>
      </c>
      <c r="D63" s="49" t="s">
        <v>229</v>
      </c>
      <c r="E63" s="39"/>
      <c r="F63" s="39"/>
      <c r="G63" s="50"/>
      <c r="H63" s="50"/>
      <c r="I63" s="50"/>
      <c r="J63" s="50"/>
    </row>
    <row r="64" customFormat="false" ht="15" hidden="false" customHeight="false" outlineLevel="0" collapsed="false">
      <c r="A64" s="44" t="n">
        <v>6000</v>
      </c>
      <c r="B64" s="45" t="n">
        <v>1</v>
      </c>
      <c r="C64" s="46" t="s">
        <v>225</v>
      </c>
      <c r="D64" s="20" t="s">
        <v>191</v>
      </c>
      <c r="E64" s="47" t="s">
        <v>226</v>
      </c>
      <c r="F64" s="48" t="s">
        <v>191</v>
      </c>
      <c r="G64" s="20"/>
      <c r="H64" s="20"/>
      <c r="I64" s="20"/>
      <c r="J64" s="20"/>
    </row>
    <row r="65" customFormat="false" ht="15" hidden="true" customHeight="false" outlineLevel="1" collapsed="false">
      <c r="A65" s="11" t="s">
        <v>275</v>
      </c>
      <c r="B65" s="23" t="s">
        <v>235</v>
      </c>
      <c r="C65" s="49" t="s">
        <v>226</v>
      </c>
      <c r="D65" s="49" t="s">
        <v>229</v>
      </c>
      <c r="E65" s="39"/>
      <c r="F65" s="39"/>
      <c r="G65" s="50"/>
      <c r="H65" s="50"/>
      <c r="I65" s="50"/>
      <c r="J65" s="50"/>
    </row>
    <row r="67" customFormat="false" ht="15" hidden="false" customHeight="false" outlineLevel="0" collapsed="false">
      <c r="A67" s="31" t="s">
        <v>276</v>
      </c>
      <c r="B67" s="32"/>
      <c r="C67" s="32"/>
      <c r="D67" s="32"/>
      <c r="E67" s="32"/>
      <c r="F67" s="32"/>
      <c r="G67" s="32"/>
      <c r="H67" s="32"/>
      <c r="I67" s="32"/>
      <c r="J67" s="32"/>
    </row>
    <row r="68" customFormat="false" ht="30" hidden="false" customHeight="true" outlineLevel="0" collapsed="false">
      <c r="A68" s="3" t="s">
        <v>218</v>
      </c>
      <c r="B68" s="3" t="s">
        <v>219</v>
      </c>
      <c r="C68" s="3" t="s">
        <v>220</v>
      </c>
      <c r="D68" s="3" t="s">
        <v>221</v>
      </c>
      <c r="E68" s="3" t="s">
        <v>222</v>
      </c>
      <c r="F68" s="3" t="s">
        <v>223</v>
      </c>
      <c r="G68" s="3"/>
      <c r="H68" s="3"/>
      <c r="I68" s="3"/>
      <c r="J68" s="3" t="s">
        <v>224</v>
      </c>
    </row>
    <row r="69" customFormat="false" ht="15" hidden="false" customHeight="false" outlineLevel="0" collapsed="false">
      <c r="A69" s="44" t="n">
        <v>2000</v>
      </c>
      <c r="B69" s="45" t="n">
        <v>2</v>
      </c>
      <c r="C69" s="46" t="s">
        <v>225</v>
      </c>
      <c r="D69" s="20" t="s">
        <v>277</v>
      </c>
      <c r="E69" s="47" t="s">
        <v>226</v>
      </c>
      <c r="F69" s="48" t="s">
        <v>226</v>
      </c>
      <c r="G69" s="20"/>
      <c r="H69" s="20"/>
      <c r="I69" s="20"/>
      <c r="J69" s="20"/>
    </row>
    <row r="70" customFormat="false" ht="15" hidden="true" customHeight="false" outlineLevel="1" collapsed="false">
      <c r="A70" s="11" t="s">
        <v>248</v>
      </c>
      <c r="B70" s="23" t="s">
        <v>235</v>
      </c>
      <c r="C70" s="49" t="s">
        <v>226</v>
      </c>
      <c r="D70" s="49" t="s">
        <v>254</v>
      </c>
      <c r="E70" s="39"/>
      <c r="F70" s="39"/>
      <c r="G70" s="50"/>
      <c r="H70" s="50"/>
      <c r="I70" s="50"/>
      <c r="J70" s="50"/>
    </row>
    <row r="71" customFormat="false" ht="15" hidden="true" customHeight="false" outlineLevel="1" collapsed="false">
      <c r="A71" s="11" t="s">
        <v>250</v>
      </c>
      <c r="B71" s="23" t="s">
        <v>235</v>
      </c>
      <c r="C71" s="49" t="s">
        <v>226</v>
      </c>
      <c r="D71" s="49" t="s">
        <v>254</v>
      </c>
      <c r="E71" s="39"/>
      <c r="F71" s="39"/>
      <c r="G71" s="50"/>
      <c r="H71" s="50"/>
      <c r="I71" s="50"/>
      <c r="J71" s="50"/>
    </row>
    <row r="72" customFormat="false" ht="15" hidden="false" customHeight="false" outlineLevel="0" collapsed="false">
      <c r="A72" s="44" t="n">
        <v>2500</v>
      </c>
      <c r="B72" s="45" t="n">
        <v>1</v>
      </c>
      <c r="C72" s="20" t="s">
        <v>191</v>
      </c>
      <c r="D72" s="20" t="s">
        <v>184</v>
      </c>
      <c r="E72" s="47" t="s">
        <v>241</v>
      </c>
      <c r="F72" s="48" t="s">
        <v>184</v>
      </c>
      <c r="G72" s="20"/>
      <c r="H72" s="20"/>
      <c r="I72" s="20"/>
      <c r="J72" s="20"/>
    </row>
    <row r="73" customFormat="false" ht="15" hidden="true" customHeight="false" outlineLevel="1" collapsed="false">
      <c r="A73" s="11" t="s">
        <v>278</v>
      </c>
      <c r="B73" s="23" t="s">
        <v>235</v>
      </c>
      <c r="C73" s="49" t="s">
        <v>229</v>
      </c>
      <c r="D73" s="49" t="s">
        <v>239</v>
      </c>
      <c r="E73" s="39"/>
      <c r="F73" s="39"/>
      <c r="G73" s="50"/>
      <c r="H73" s="50"/>
      <c r="I73" s="50"/>
      <c r="J73" s="50"/>
    </row>
    <row r="74" customFormat="false" ht="15" hidden="false" customHeight="false" outlineLevel="0" collapsed="false">
      <c r="A74" s="44" t="n">
        <v>2800</v>
      </c>
      <c r="B74" s="45" t="n">
        <v>1</v>
      </c>
      <c r="C74" s="20" t="s">
        <v>191</v>
      </c>
      <c r="D74" s="20" t="s">
        <v>279</v>
      </c>
      <c r="E74" s="47" t="s">
        <v>241</v>
      </c>
      <c r="F74" s="48" t="s">
        <v>279</v>
      </c>
      <c r="G74" s="20"/>
      <c r="H74" s="20"/>
      <c r="I74" s="20"/>
      <c r="J74" s="20"/>
    </row>
    <row r="75" customFormat="false" ht="15" hidden="true" customHeight="false" outlineLevel="1" collapsed="false">
      <c r="A75" s="11" t="s">
        <v>280</v>
      </c>
      <c r="B75" s="23" t="s">
        <v>243</v>
      </c>
      <c r="C75" s="49" t="s">
        <v>229</v>
      </c>
      <c r="D75" s="49" t="s">
        <v>281</v>
      </c>
      <c r="E75" s="39"/>
      <c r="F75" s="39"/>
      <c r="G75" s="52" t="s">
        <v>282</v>
      </c>
      <c r="H75" s="52"/>
      <c r="I75" s="52"/>
      <c r="J75" s="52"/>
    </row>
    <row r="76" customFormat="false" ht="15" hidden="false" customHeight="false" outlineLevel="0" collapsed="false">
      <c r="A76" s="44" t="n">
        <v>3100</v>
      </c>
      <c r="B76" s="45" t="n">
        <v>1</v>
      </c>
      <c r="C76" s="20" t="s">
        <v>283</v>
      </c>
      <c r="D76" s="20" t="s">
        <v>233</v>
      </c>
      <c r="E76" s="47" t="s">
        <v>284</v>
      </c>
      <c r="F76" s="48" t="s">
        <v>233</v>
      </c>
      <c r="G76" s="20"/>
      <c r="H76" s="20"/>
      <c r="I76" s="20"/>
      <c r="J76" s="20"/>
    </row>
    <row r="77" customFormat="false" ht="15" hidden="true" customHeight="false" outlineLevel="1" collapsed="false">
      <c r="A77" s="11" t="s">
        <v>285</v>
      </c>
      <c r="B77" s="23" t="s">
        <v>243</v>
      </c>
      <c r="C77" s="49" t="s">
        <v>249</v>
      </c>
      <c r="D77" s="49" t="s">
        <v>236</v>
      </c>
      <c r="E77" s="39"/>
      <c r="F77" s="39"/>
      <c r="G77" s="52" t="s">
        <v>286</v>
      </c>
      <c r="H77" s="52"/>
      <c r="I77" s="52"/>
      <c r="J77" s="52"/>
    </row>
    <row r="78" customFormat="false" ht="15" hidden="false" customHeight="false" outlineLevel="0" collapsed="false">
      <c r="A78" s="44" t="n">
        <v>3500</v>
      </c>
      <c r="B78" s="45" t="n">
        <v>2</v>
      </c>
      <c r="C78" s="20" t="s">
        <v>272</v>
      </c>
      <c r="D78" s="20" t="s">
        <v>272</v>
      </c>
      <c r="E78" s="47" t="s">
        <v>241</v>
      </c>
      <c r="F78" s="48" t="s">
        <v>191</v>
      </c>
      <c r="G78" s="20"/>
      <c r="H78" s="20"/>
      <c r="I78" s="20"/>
      <c r="J78" s="20"/>
    </row>
    <row r="79" customFormat="false" ht="15" hidden="true" customHeight="false" outlineLevel="1" collapsed="false">
      <c r="A79" s="11" t="s">
        <v>270</v>
      </c>
      <c r="B79" s="23" t="s">
        <v>235</v>
      </c>
      <c r="C79" s="49" t="s">
        <v>229</v>
      </c>
      <c r="D79" s="49" t="s">
        <v>229</v>
      </c>
      <c r="E79" s="39"/>
      <c r="F79" s="39"/>
      <c r="G79" s="52" t="s">
        <v>287</v>
      </c>
      <c r="H79" s="52"/>
      <c r="I79" s="52"/>
      <c r="J79" s="52"/>
    </row>
    <row r="80" customFormat="false" ht="15" hidden="true" customHeight="false" outlineLevel="1" collapsed="false">
      <c r="A80" s="11" t="s">
        <v>238</v>
      </c>
      <c r="B80" s="23" t="s">
        <v>228</v>
      </c>
      <c r="C80" s="49" t="s">
        <v>229</v>
      </c>
      <c r="D80" s="49" t="s">
        <v>229</v>
      </c>
      <c r="E80" s="39"/>
      <c r="F80" s="39"/>
      <c r="G80" s="52" t="s">
        <v>288</v>
      </c>
      <c r="H80" s="52"/>
      <c r="I80" s="52"/>
      <c r="J80" s="52"/>
    </row>
    <row r="81" customFormat="false" ht="15" hidden="false" customHeight="false" outlineLevel="0" collapsed="false">
      <c r="A81" s="44" t="n">
        <v>3700</v>
      </c>
      <c r="B81" s="45" t="n">
        <v>1</v>
      </c>
      <c r="C81" s="20" t="s">
        <v>283</v>
      </c>
      <c r="D81" s="20" t="s">
        <v>191</v>
      </c>
      <c r="E81" s="47" t="s">
        <v>284</v>
      </c>
      <c r="F81" s="48" t="s">
        <v>191</v>
      </c>
      <c r="G81" s="20"/>
      <c r="H81" s="20"/>
      <c r="I81" s="20"/>
      <c r="J81" s="20"/>
    </row>
    <row r="82" customFormat="false" ht="15" hidden="true" customHeight="false" outlineLevel="1" collapsed="false">
      <c r="A82" s="11" t="s">
        <v>289</v>
      </c>
      <c r="B82" s="23" t="s">
        <v>235</v>
      </c>
      <c r="C82" s="49" t="s">
        <v>249</v>
      </c>
      <c r="D82" s="49" t="s">
        <v>229</v>
      </c>
      <c r="E82" s="39"/>
      <c r="F82" s="39"/>
      <c r="G82" s="52" t="s">
        <v>286</v>
      </c>
      <c r="H82" s="52"/>
      <c r="I82" s="52"/>
      <c r="J82" s="52"/>
    </row>
    <row r="83" customFormat="false" ht="15" hidden="false" customHeight="false" outlineLevel="0" collapsed="false">
      <c r="A83" s="44" t="n">
        <v>3900</v>
      </c>
      <c r="B83" s="45" t="n">
        <v>1</v>
      </c>
      <c r="C83" s="20" t="s">
        <v>191</v>
      </c>
      <c r="D83" s="20" t="s">
        <v>191</v>
      </c>
      <c r="E83" s="47" t="s">
        <v>241</v>
      </c>
      <c r="F83" s="48" t="s">
        <v>191</v>
      </c>
      <c r="G83" s="20"/>
      <c r="H83" s="20"/>
      <c r="I83" s="20"/>
      <c r="J83" s="20"/>
    </row>
    <row r="84" customFormat="false" ht="15" hidden="true" customHeight="false" outlineLevel="1" collapsed="false">
      <c r="A84" s="11" t="s">
        <v>290</v>
      </c>
      <c r="B84" s="23" t="s">
        <v>235</v>
      </c>
      <c r="C84" s="49" t="s">
        <v>229</v>
      </c>
      <c r="D84" s="49" t="s">
        <v>229</v>
      </c>
      <c r="E84" s="39"/>
      <c r="F84" s="39"/>
      <c r="G84" s="52" t="s">
        <v>288</v>
      </c>
      <c r="H84" s="52"/>
      <c r="I84" s="52"/>
      <c r="J84" s="52"/>
    </row>
    <row r="86" customFormat="false" ht="15" hidden="false" customHeight="false" outlineLevel="0" collapsed="false">
      <c r="A86" s="2" t="s">
        <v>291</v>
      </c>
    </row>
  </sheetData>
  <mergeCells count="33">
    <mergeCell ref="G24:J24"/>
    <mergeCell ref="G26:J26"/>
    <mergeCell ref="G27:J27"/>
    <mergeCell ref="G29:J29"/>
    <mergeCell ref="G31:J31"/>
    <mergeCell ref="G33:J33"/>
    <mergeCell ref="G34:J34"/>
    <mergeCell ref="G35:J35"/>
    <mergeCell ref="G40:J40"/>
    <mergeCell ref="G42:J42"/>
    <mergeCell ref="G44:J44"/>
    <mergeCell ref="G46:J46"/>
    <mergeCell ref="G48:J48"/>
    <mergeCell ref="G49:J49"/>
    <mergeCell ref="G51:J51"/>
    <mergeCell ref="G53:J53"/>
    <mergeCell ref="G54:J54"/>
    <mergeCell ref="G55:J55"/>
    <mergeCell ref="G56:J56"/>
    <mergeCell ref="G58:J58"/>
    <mergeCell ref="G60:J60"/>
    <mergeCell ref="G62:J62"/>
    <mergeCell ref="G63:J63"/>
    <mergeCell ref="G65:J65"/>
    <mergeCell ref="G70:J70"/>
    <mergeCell ref="G71:J71"/>
    <mergeCell ref="G73:J73"/>
    <mergeCell ref="G75:J75"/>
    <mergeCell ref="G77:J77"/>
    <mergeCell ref="G79:J79"/>
    <mergeCell ref="G80:J80"/>
    <mergeCell ref="G82:J82"/>
    <mergeCell ref="G84:J8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2026-10-07T05:25:04Z</dcterms:created>
  <dc:creator>openpyxl</dc:creator>
  <dc:description/>
  <dc:language>en-US</dc:language>
  <cp:lastModifiedBy/>
  <dcterms:modified xsi:type="dcterms:W3CDTF">2026-10-07T05:25:04Z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