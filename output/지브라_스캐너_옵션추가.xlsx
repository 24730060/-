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맑은 고딕"/>
      <charset val="129"/>
      <family val="3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30">
    <xf numFmtId="0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4" fillId="2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/>
    </xf>
    <xf numFmtId="164" fontId="0" fillId="3" borderId="0" applyAlignment="1" pivotButton="0" quotePrefix="0" xfId="1">
      <alignment vertical="center"/>
    </xf>
    <xf numFmtId="9" fontId="0" fillId="3" borderId="0" applyAlignment="1" pivotButton="0" quotePrefix="0" xfId="2">
      <alignment vertical="center"/>
    </xf>
    <xf numFmtId="164" fontId="2" fillId="3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center" vertical="center" wrapText="1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6" fillId="0" borderId="0" applyAlignment="1" pivotButton="0" quotePrefix="0" xfId="1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pivotButton="0" quotePrefix="0" xfId="0"/>
    <xf numFmtId="9" fontId="0" fillId="0" borderId="0" pivotButton="0" quotePrefix="0" xfId="0"/>
    <xf numFmtId="164" fontId="7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4" fontId="4" fillId="2" borderId="1" applyAlignment="1" pivotButton="0" quotePrefix="0" xfId="1">
      <alignment horizontal="center" vertical="center" wrapText="1"/>
    </xf>
    <xf numFmtId="164" fontId="5" fillId="0" borderId="0" applyAlignment="1" pivotButton="0" quotePrefix="0" xfId="1">
      <alignment vertical="center"/>
    </xf>
    <xf numFmtId="164" fontId="0" fillId="0" borderId="0" pivotButton="0" quotePrefix="0" xfId="0"/>
    <xf numFmtId="164" fontId="6" fillId="0" borderId="0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4" fontId="0" fillId="3" borderId="0" applyAlignment="1" pivotButton="0" quotePrefix="0" xfId="1">
      <alignment vertical="center"/>
    </xf>
    <xf numFmtId="164" fontId="2" fillId="3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5" min="2" max="2"/>
    <col width="18.5" customWidth="1" style="15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5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5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5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5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5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5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5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5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5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5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5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5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5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5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5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5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5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5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5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5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5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5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5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5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5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5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5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5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5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5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5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5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5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5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5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5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5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5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5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5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5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5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5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5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5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5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5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5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5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5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5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5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5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5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5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5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5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5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5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5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5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5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5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5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5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5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5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5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5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5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5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5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5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5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5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5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5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5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5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5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5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5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5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5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5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5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5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5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5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5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5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5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5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5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5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5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5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5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5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5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5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5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5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5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5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5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5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5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5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5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5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5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5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5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5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5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5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5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5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5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5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5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5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5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5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5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5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5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5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5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5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5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5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5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5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5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5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5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5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5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5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5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5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5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5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5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5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5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5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5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5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5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5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5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5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5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5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5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5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5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5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5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5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5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5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5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5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5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5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5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5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5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5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5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5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5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5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5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5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5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5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5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5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5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5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5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5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5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5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5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5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5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5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5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5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5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5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5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5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5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5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5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5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5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5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5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5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5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5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5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5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5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5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5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5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5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5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5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5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5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5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5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5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5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5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5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5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5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5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5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5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5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5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5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5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5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5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5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5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5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5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5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5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5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5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5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5">
      <c r="A290" s="0" t="inlineStr">
        <is>
          <t>'</t>
        </is>
      </c>
    </row>
    <row r="291" hidden="1" s="15">
      <c r="A291" s="0" t="inlineStr">
        <is>
          <t>'</t>
        </is>
      </c>
    </row>
    <row r="292" hidden="1" s="15">
      <c r="A292" s="0" t="inlineStr">
        <is>
          <t>'</t>
        </is>
      </c>
    </row>
    <row r="293" hidden="1" s="15">
      <c r="A293" s="0" t="inlineStr">
        <is>
          <t>'</t>
        </is>
      </c>
    </row>
    <row r="294" hidden="1" s="15">
      <c r="A294" s="0" t="inlineStr">
        <is>
          <t>'</t>
        </is>
      </c>
    </row>
    <row r="295" hidden="1" s="15">
      <c r="A295" s="0" t="inlineStr">
        <is>
          <t>'</t>
        </is>
      </c>
    </row>
    <row r="296" hidden="1" s="15">
      <c r="A296" s="0" t="inlineStr">
        <is>
          <t>'</t>
        </is>
      </c>
    </row>
    <row r="297" hidden="1" s="15">
      <c r="A297" s="0" t="inlineStr">
        <is>
          <t>'</t>
        </is>
      </c>
    </row>
    <row r="298" hidden="1" s="15">
      <c r="A298" s="0" t="inlineStr">
        <is>
          <t>'</t>
        </is>
      </c>
    </row>
    <row r="299" hidden="1" s="15">
      <c r="A299" s="0" t="inlineStr">
        <is>
          <t>'</t>
        </is>
      </c>
    </row>
    <row r="300" hidden="1" s="15">
      <c r="A300" s="0" t="inlineStr">
        <is>
          <t>'</t>
        </is>
      </c>
    </row>
    <row r="301" hidden="1" s="15">
      <c r="A301" s="0" t="inlineStr">
        <is>
          <t>'</t>
        </is>
      </c>
    </row>
    <row r="302" hidden="1" s="15">
      <c r="A302" s="0" t="inlineStr">
        <is>
          <t>'</t>
        </is>
      </c>
    </row>
    <row r="303" hidden="1" s="15">
      <c r="A303" s="0" t="inlineStr">
        <is>
          <t>'</t>
        </is>
      </c>
    </row>
    <row r="304" hidden="1" s="15">
      <c r="A304" s="0" t="inlineStr">
        <is>
          <t>'</t>
        </is>
      </c>
    </row>
    <row r="305" hidden="1" s="15">
      <c r="A305" s="0" t="inlineStr">
        <is>
          <t>'</t>
        </is>
      </c>
    </row>
    <row r="306" hidden="1" s="15">
      <c r="A306" s="0" t="inlineStr">
        <is>
          <t>'</t>
        </is>
      </c>
    </row>
    <row r="307" hidden="1" s="15">
      <c r="A307" s="0" t="inlineStr">
        <is>
          <t>'</t>
        </is>
      </c>
    </row>
    <row r="308" hidden="1" s="15">
      <c r="A308" s="0" t="inlineStr">
        <is>
          <t>'</t>
        </is>
      </c>
    </row>
    <row r="309" hidden="1" s="15">
      <c r="A309" s="0" t="inlineStr">
        <is>
          <t>'</t>
        </is>
      </c>
    </row>
    <row r="310" hidden="1" s="15">
      <c r="A310" s="0" t="inlineStr">
        <is>
          <t>'</t>
        </is>
      </c>
    </row>
    <row r="311" hidden="1" s="15">
      <c r="A311" s="0" t="inlineStr">
        <is>
          <t>'</t>
        </is>
      </c>
    </row>
    <row r="312" hidden="1" s="15">
      <c r="A312" s="0" t="inlineStr">
        <is>
          <t>'</t>
        </is>
      </c>
    </row>
    <row r="313" hidden="1" s="15">
      <c r="A313" s="0" t="inlineStr">
        <is>
          <t>'</t>
        </is>
      </c>
    </row>
    <row r="314" hidden="1" s="15">
      <c r="A314" s="0" t="inlineStr">
        <is>
          <t>'</t>
        </is>
      </c>
    </row>
    <row r="315" hidden="1" s="15">
      <c r="A315" s="0" t="inlineStr">
        <is>
          <t>'</t>
        </is>
      </c>
    </row>
    <row r="316" hidden="1" s="15">
      <c r="A316" s="0" t="inlineStr">
        <is>
          <t>'</t>
        </is>
      </c>
    </row>
    <row r="317" hidden="1" s="15">
      <c r="A317" s="0" t="inlineStr">
        <is>
          <t>'</t>
        </is>
      </c>
    </row>
    <row r="318" hidden="1" s="15">
      <c r="A318" s="0" t="inlineStr">
        <is>
          <t>'</t>
        </is>
      </c>
    </row>
    <row r="319" hidden="1" s="15">
      <c r="A319" s="0" t="inlineStr">
        <is>
          <t>'</t>
        </is>
      </c>
    </row>
    <row r="320" hidden="1" s="15">
      <c r="A320" s="0" t="inlineStr">
        <is>
          <t>'</t>
        </is>
      </c>
    </row>
    <row r="321" hidden="1" s="15">
      <c r="A321" s="0" t="inlineStr">
        <is>
          <t>'</t>
        </is>
      </c>
    </row>
    <row r="322" hidden="1" s="15">
      <c r="A322" s="0" t="inlineStr">
        <is>
          <t>'</t>
        </is>
      </c>
    </row>
    <row r="323" hidden="1" s="15">
      <c r="A323" s="0" t="inlineStr">
        <is>
          <t>'</t>
        </is>
      </c>
    </row>
    <row r="324" hidden="1" s="15">
      <c r="A324" s="0" t="inlineStr">
        <is>
          <t>'</t>
        </is>
      </c>
    </row>
    <row r="325" hidden="1" s="15">
      <c r="A325" s="0" t="inlineStr">
        <is>
          <t>'</t>
        </is>
      </c>
    </row>
    <row r="326" hidden="1" s="15">
      <c r="A326" s="0" t="inlineStr">
        <is>
          <t>'</t>
        </is>
      </c>
    </row>
    <row r="327" hidden="1" s="15">
      <c r="A327" s="0" t="inlineStr">
        <is>
          <t>'</t>
        </is>
      </c>
    </row>
    <row r="328" hidden="1" s="15">
      <c r="A328" s="0" t="inlineStr">
        <is>
          <t>'</t>
        </is>
      </c>
    </row>
    <row r="329" hidden="1" s="15">
      <c r="A329" s="0" t="inlineStr">
        <is>
          <t>'</t>
        </is>
      </c>
    </row>
    <row r="330" hidden="1" s="15">
      <c r="A330" s="0" t="inlineStr">
        <is>
          <t>'</t>
        </is>
      </c>
    </row>
    <row r="331" hidden="1" s="15">
      <c r="A331" s="0" t="inlineStr">
        <is>
          <t>'</t>
        </is>
      </c>
    </row>
    <row r="332" hidden="1" s="15">
      <c r="A332" s="0" t="inlineStr">
        <is>
          <t>'</t>
        </is>
      </c>
    </row>
    <row r="333" hidden="1" s="15">
      <c r="A333" s="0" t="inlineStr">
        <is>
          <t>'</t>
        </is>
      </c>
    </row>
    <row r="334" hidden="1" s="15">
      <c r="A334" s="0" t="inlineStr">
        <is>
          <t>'</t>
        </is>
      </c>
    </row>
    <row r="335" hidden="1" s="15">
      <c r="A335" s="0" t="inlineStr">
        <is>
          <t>'</t>
        </is>
      </c>
    </row>
    <row r="336" hidden="1" s="15">
      <c r="A336" s="0" t="inlineStr">
        <is>
          <t>'</t>
        </is>
      </c>
    </row>
    <row r="337" hidden="1" s="15">
      <c r="A337" s="0" t="inlineStr">
        <is>
          <t>'</t>
        </is>
      </c>
    </row>
    <row r="338" hidden="1" s="15">
      <c r="A338" s="0" t="inlineStr">
        <is>
          <t>'</t>
        </is>
      </c>
    </row>
    <row r="339" hidden="1" s="15">
      <c r="A339" s="0" t="inlineStr">
        <is>
          <t>'</t>
        </is>
      </c>
    </row>
    <row r="340" hidden="1" s="15">
      <c r="A340" s="0" t="inlineStr">
        <is>
          <t>'</t>
        </is>
      </c>
    </row>
    <row r="341" hidden="1" s="15">
      <c r="A341" s="0" t="inlineStr">
        <is>
          <t>'</t>
        </is>
      </c>
    </row>
    <row r="342" hidden="1" s="15">
      <c r="A342" s="0" t="inlineStr">
        <is>
          <t>'</t>
        </is>
      </c>
    </row>
    <row r="343" hidden="1" s="15">
      <c r="A343" s="0" t="inlineStr">
        <is>
          <t>'</t>
        </is>
      </c>
    </row>
    <row r="344" hidden="1" s="15">
      <c r="A344" s="0" t="inlineStr">
        <is>
          <t>'</t>
        </is>
      </c>
    </row>
    <row r="345" hidden="1" s="15">
      <c r="A345" s="0" t="inlineStr">
        <is>
          <t>'</t>
        </is>
      </c>
    </row>
    <row r="346" hidden="1" s="15">
      <c r="A346" s="0" t="inlineStr">
        <is>
          <t>'</t>
        </is>
      </c>
    </row>
    <row r="347" hidden="1" s="15">
      <c r="A347" s="0" t="inlineStr">
        <is>
          <t>'</t>
        </is>
      </c>
    </row>
    <row r="348" hidden="1" s="15">
      <c r="A348" s="0" t="inlineStr">
        <is>
          <t>'</t>
        </is>
      </c>
    </row>
    <row r="349" hidden="1" s="15">
      <c r="A349" s="0" t="inlineStr">
        <is>
          <t>'</t>
        </is>
      </c>
    </row>
    <row r="350" hidden="1" s="15">
      <c r="A350" s="0" t="inlineStr">
        <is>
          <t>'</t>
        </is>
      </c>
    </row>
    <row r="351" hidden="1" s="15">
      <c r="A351" s="0" t="inlineStr">
        <is>
          <t>'</t>
        </is>
      </c>
    </row>
    <row r="352" hidden="1" s="15">
      <c r="A352" s="0" t="inlineStr">
        <is>
          <t>'</t>
        </is>
      </c>
    </row>
    <row r="353" hidden="1" s="15">
      <c r="A353" s="0" t="inlineStr">
        <is>
          <t>'</t>
        </is>
      </c>
    </row>
    <row r="354" hidden="1" s="15">
      <c r="A354" s="0" t="inlineStr">
        <is>
          <t>'</t>
        </is>
      </c>
    </row>
    <row r="355" hidden="1" s="15">
      <c r="A355" s="0" t="inlineStr">
        <is>
          <t>'</t>
        </is>
      </c>
    </row>
    <row r="356" hidden="1" s="15">
      <c r="A356" s="0" t="inlineStr">
        <is>
          <t>'</t>
        </is>
      </c>
    </row>
    <row r="357" hidden="1" s="15">
      <c r="A357" s="0" t="inlineStr">
        <is>
          <t>'</t>
        </is>
      </c>
    </row>
    <row r="358" hidden="1" s="15">
      <c r="A358" s="0" t="inlineStr">
        <is>
          <t>'</t>
        </is>
      </c>
    </row>
    <row r="359" hidden="1" s="15">
      <c r="A359" s="0" t="inlineStr">
        <is>
          <t>'</t>
        </is>
      </c>
    </row>
    <row r="360" hidden="1" s="15">
      <c r="A360" s="0" t="inlineStr">
        <is>
          <t>'</t>
        </is>
      </c>
    </row>
    <row r="361" hidden="1" s="15">
      <c r="A361" s="0" t="inlineStr">
        <is>
          <t>'</t>
        </is>
      </c>
    </row>
    <row r="362" hidden="1" s="15">
      <c r="A362" s="0" t="inlineStr">
        <is>
          <t>'</t>
        </is>
      </c>
    </row>
    <row r="363" hidden="1" s="15">
      <c r="A363" s="0" t="inlineStr">
        <is>
          <t>'</t>
        </is>
      </c>
    </row>
    <row r="364" hidden="1" s="15">
      <c r="A364" s="0" t="inlineStr">
        <is>
          <t>'</t>
        </is>
      </c>
    </row>
    <row r="365" hidden="1" s="15">
      <c r="A365" s="0" t="inlineStr">
        <is>
          <t>'</t>
        </is>
      </c>
    </row>
    <row r="366" hidden="1" s="15">
      <c r="A366" s="0" t="inlineStr">
        <is>
          <t>'</t>
        </is>
      </c>
    </row>
    <row r="367" hidden="1" s="15">
      <c r="A367" s="0" t="inlineStr">
        <is>
          <t>'</t>
        </is>
      </c>
    </row>
    <row r="368" hidden="1" s="15">
      <c r="A368" s="0" t="inlineStr">
        <is>
          <t>'</t>
        </is>
      </c>
    </row>
    <row r="369" hidden="1" s="15">
      <c r="A369" s="0" t="inlineStr">
        <is>
          <t>'</t>
        </is>
      </c>
    </row>
    <row r="370" hidden="1" s="15">
      <c r="A370" s="0" t="inlineStr">
        <is>
          <t>'</t>
        </is>
      </c>
    </row>
    <row r="371" hidden="1" s="15">
      <c r="A371" s="0" t="inlineStr">
        <is>
          <t>'</t>
        </is>
      </c>
    </row>
    <row r="372" hidden="1" s="15">
      <c r="A372" s="0" t="inlineStr">
        <is>
          <t>'</t>
        </is>
      </c>
    </row>
    <row r="373" hidden="1" s="15">
      <c r="A373" s="0" t="inlineStr">
        <is>
          <t>'</t>
        </is>
      </c>
    </row>
    <row r="374" hidden="1" s="15">
      <c r="A374" s="0" t="inlineStr">
        <is>
          <t>'</t>
        </is>
      </c>
    </row>
    <row r="375" hidden="1" s="15">
      <c r="A375" s="0" t="inlineStr">
        <is>
          <t>'</t>
        </is>
      </c>
    </row>
    <row r="376" hidden="1" s="15">
      <c r="A376" s="0" t="inlineStr">
        <is>
          <t>'</t>
        </is>
      </c>
    </row>
    <row r="377" hidden="1" s="15">
      <c r="A377" s="0" t="inlineStr">
        <is>
          <t>'</t>
        </is>
      </c>
    </row>
    <row r="378" hidden="1" s="15">
      <c r="A378" s="0" t="inlineStr">
        <is>
          <t>'</t>
        </is>
      </c>
    </row>
    <row r="379" hidden="1" s="15">
      <c r="A379" s="0" t="inlineStr">
        <is>
          <t>'</t>
        </is>
      </c>
    </row>
    <row r="380" hidden="1" s="15">
      <c r="A380" s="0" t="inlineStr">
        <is>
          <t>'</t>
        </is>
      </c>
    </row>
    <row r="381" hidden="1" s="15">
      <c r="A381" s="0" t="inlineStr">
        <is>
          <t>'</t>
        </is>
      </c>
    </row>
    <row r="382" hidden="1" s="15">
      <c r="A382" s="0" t="inlineStr">
        <is>
          <t>'</t>
        </is>
      </c>
    </row>
    <row r="383" hidden="1" s="15">
      <c r="A383" s="0" t="inlineStr">
        <is>
          <t>'</t>
        </is>
      </c>
    </row>
    <row r="384" hidden="1" s="15">
      <c r="A384" s="0" t="inlineStr">
        <is>
          <t>'</t>
        </is>
      </c>
    </row>
    <row r="385" hidden="1" s="15">
      <c r="A385" s="0" t="inlineStr">
        <is>
          <t>'</t>
        </is>
      </c>
    </row>
    <row r="386" hidden="1" s="15">
      <c r="A386" s="0" t="inlineStr">
        <is>
          <t>'</t>
        </is>
      </c>
    </row>
    <row r="387" hidden="1" s="15">
      <c r="A387" s="0" t="inlineStr">
        <is>
          <t>'</t>
        </is>
      </c>
    </row>
    <row r="388" hidden="1" s="15">
      <c r="A388" s="0" t="inlineStr">
        <is>
          <t>'</t>
        </is>
      </c>
    </row>
    <row r="389" hidden="1" s="15">
      <c r="A389" s="0" t="inlineStr">
        <is>
          <t>'</t>
        </is>
      </c>
    </row>
    <row r="390" hidden="1" s="15">
      <c r="A390" s="0" t="inlineStr">
        <is>
          <t>'</t>
        </is>
      </c>
    </row>
    <row r="391" hidden="1" s="15">
      <c r="A391" s="0" t="inlineStr">
        <is>
          <t>'</t>
        </is>
      </c>
    </row>
    <row r="392" hidden="1" s="15">
      <c r="A392" s="0" t="inlineStr">
        <is>
          <t>'</t>
        </is>
      </c>
    </row>
    <row r="393" hidden="1" s="15">
      <c r="A393" s="0" t="inlineStr">
        <is>
          <t>'</t>
        </is>
      </c>
    </row>
    <row r="394" hidden="1" s="15">
      <c r="A394" s="0" t="inlineStr">
        <is>
          <t>'</t>
        </is>
      </c>
    </row>
    <row r="395" hidden="1" s="15">
      <c r="A395" s="0" t="inlineStr">
        <is>
          <t>'</t>
        </is>
      </c>
    </row>
    <row r="396" hidden="1" s="15">
      <c r="A396" s="0" t="inlineStr">
        <is>
          <t>'</t>
        </is>
      </c>
    </row>
    <row r="397" hidden="1" s="15">
      <c r="A397" s="0" t="inlineStr">
        <is>
          <t>'</t>
        </is>
      </c>
    </row>
    <row r="398" hidden="1" s="15">
      <c r="A398" s="0" t="inlineStr">
        <is>
          <t>'</t>
        </is>
      </c>
    </row>
    <row r="399" hidden="1" s="15">
      <c r="A399" s="0" t="inlineStr">
        <is>
          <t>'</t>
        </is>
      </c>
    </row>
    <row r="400" hidden="1" s="15">
      <c r="A400" s="0" t="inlineStr">
        <is>
          <t>'</t>
        </is>
      </c>
    </row>
    <row r="401" hidden="1" s="15">
      <c r="A401" s="0" t="inlineStr">
        <is>
          <t>'</t>
        </is>
      </c>
    </row>
    <row r="402" hidden="1" s="15">
      <c r="A402" s="0" t="inlineStr">
        <is>
          <t>'</t>
        </is>
      </c>
    </row>
    <row r="403" hidden="1" s="15">
      <c r="A403" s="0" t="inlineStr">
        <is>
          <t>'</t>
        </is>
      </c>
    </row>
    <row r="404" hidden="1" s="15">
      <c r="A404" s="0" t="inlineStr">
        <is>
          <t>'</t>
        </is>
      </c>
    </row>
    <row r="405" hidden="1" s="15">
      <c r="A405" s="0" t="inlineStr">
        <is>
          <t>'</t>
        </is>
      </c>
    </row>
    <row r="406" hidden="1" s="15">
      <c r="A406" s="0" t="inlineStr">
        <is>
          <t>'</t>
        </is>
      </c>
    </row>
    <row r="407" hidden="1" s="15">
      <c r="A407" s="0" t="inlineStr">
        <is>
          <t>'</t>
        </is>
      </c>
    </row>
    <row r="408" hidden="1" s="15">
      <c r="A408" s="0" t="inlineStr">
        <is>
          <t>'</t>
        </is>
      </c>
    </row>
    <row r="409" hidden="1" s="15">
      <c r="A409" s="0" t="inlineStr">
        <is>
          <t>'</t>
        </is>
      </c>
    </row>
    <row r="410" hidden="1" s="15">
      <c r="A410" s="0" t="inlineStr">
        <is>
          <t>'</t>
        </is>
      </c>
    </row>
    <row r="411" hidden="1" s="15">
      <c r="A411" s="0" t="inlineStr">
        <is>
          <t>'</t>
        </is>
      </c>
    </row>
    <row r="412" hidden="1" s="15">
      <c r="A412" s="0" t="inlineStr">
        <is>
          <t>'</t>
        </is>
      </c>
    </row>
    <row r="413" hidden="1" s="15">
      <c r="A413" s="0" t="inlineStr">
        <is>
          <t>'</t>
        </is>
      </c>
    </row>
    <row r="414" hidden="1" s="15">
      <c r="A414" s="0" t="inlineStr">
        <is>
          <t>'</t>
        </is>
      </c>
    </row>
    <row r="415" hidden="1" s="15">
      <c r="A415" s="0" t="inlineStr">
        <is>
          <t>'</t>
        </is>
      </c>
    </row>
    <row r="416" hidden="1" s="15">
      <c r="A416" s="0" t="inlineStr">
        <is>
          <t>'</t>
        </is>
      </c>
    </row>
    <row r="417" hidden="1" s="15">
      <c r="A417" s="0" t="inlineStr">
        <is>
          <t>'</t>
        </is>
      </c>
    </row>
    <row r="418" hidden="1" s="15">
      <c r="A418" s="0" t="inlineStr">
        <is>
          <t>'</t>
        </is>
      </c>
    </row>
    <row r="419" hidden="1" s="15">
      <c r="A419" s="0" t="inlineStr">
        <is>
          <t>'</t>
        </is>
      </c>
    </row>
    <row r="420" hidden="1" s="15">
      <c r="A420" s="0" t="inlineStr">
        <is>
          <t>'</t>
        </is>
      </c>
    </row>
    <row r="421" hidden="1" s="15">
      <c r="A421" s="0" t="inlineStr">
        <is>
          <t>'</t>
        </is>
      </c>
    </row>
    <row r="422" hidden="1" s="15">
      <c r="A422" s="0" t="inlineStr">
        <is>
          <t>'</t>
        </is>
      </c>
    </row>
    <row r="423" hidden="1" s="15">
      <c r="A423" s="0" t="inlineStr">
        <is>
          <t>'</t>
        </is>
      </c>
    </row>
    <row r="424" hidden="1" s="15">
      <c r="A424" s="0" t="inlineStr">
        <is>
          <t>'</t>
        </is>
      </c>
    </row>
    <row r="425" hidden="1" s="15">
      <c r="A425" s="0" t="inlineStr">
        <is>
          <t>'</t>
        </is>
      </c>
    </row>
    <row r="426" hidden="1" s="15">
      <c r="A426" s="0" t="inlineStr">
        <is>
          <t>'</t>
        </is>
      </c>
    </row>
    <row r="427" hidden="1" s="15">
      <c r="A427" s="0" t="inlineStr">
        <is>
          <t>'</t>
        </is>
      </c>
    </row>
    <row r="428" hidden="1" s="15">
      <c r="A428" s="0" t="inlineStr">
        <is>
          <t>'</t>
        </is>
      </c>
    </row>
    <row r="429" hidden="1" s="15">
      <c r="A429" s="0" t="inlineStr">
        <is>
          <t>'</t>
        </is>
      </c>
    </row>
    <row r="430" hidden="1" s="15">
      <c r="A430" s="0" t="inlineStr">
        <is>
          <t>'</t>
        </is>
      </c>
    </row>
    <row r="431" hidden="1" s="15">
      <c r="A431" s="0" t="inlineStr">
        <is>
          <t>'</t>
        </is>
      </c>
    </row>
    <row r="432" hidden="1" s="15">
      <c r="A432" s="0" t="inlineStr">
        <is>
          <t>'</t>
        </is>
      </c>
    </row>
    <row r="433" hidden="1" s="15">
      <c r="A433" s="0" t="inlineStr">
        <is>
          <t>'</t>
        </is>
      </c>
    </row>
    <row r="434" hidden="1" s="15">
      <c r="A434" s="0" t="inlineStr">
        <is>
          <t>'</t>
        </is>
      </c>
    </row>
    <row r="435" hidden="1" s="15">
      <c r="A435" s="0" t="inlineStr">
        <is>
          <t>'</t>
        </is>
      </c>
    </row>
    <row r="436" hidden="1" s="15">
      <c r="A436" s="0" t="inlineStr">
        <is>
          <t>'</t>
        </is>
      </c>
    </row>
    <row r="437" hidden="1" s="15">
      <c r="A437" s="0" t="inlineStr">
        <is>
          <t>'</t>
        </is>
      </c>
    </row>
    <row r="438" hidden="1" s="15">
      <c r="A438" s="0" t="inlineStr">
        <is>
          <t>'</t>
        </is>
      </c>
    </row>
    <row r="439" hidden="1" s="15">
      <c r="A439" s="0" t="inlineStr">
        <is>
          <t>'</t>
        </is>
      </c>
    </row>
    <row r="440" hidden="1" s="15">
      <c r="A440" s="0" t="inlineStr">
        <is>
          <t>'</t>
        </is>
      </c>
    </row>
    <row r="441" hidden="1" s="15">
      <c r="A441" s="0" t="inlineStr">
        <is>
          <t>'</t>
        </is>
      </c>
    </row>
    <row r="442" hidden="1" s="15">
      <c r="A442" s="0" t="inlineStr">
        <is>
          <t>'</t>
        </is>
      </c>
    </row>
    <row r="443" hidden="1" s="15">
      <c r="A443" s="0" t="inlineStr">
        <is>
          <t>'</t>
        </is>
      </c>
    </row>
    <row r="444" hidden="1" s="15">
      <c r="A444" s="0" t="inlineStr">
        <is>
          <t>'</t>
        </is>
      </c>
    </row>
    <row r="445" hidden="1" s="15">
      <c r="A445" s="0" t="inlineStr">
        <is>
          <t>'</t>
        </is>
      </c>
    </row>
    <row r="446" hidden="1" s="15">
      <c r="A446" s="0" t="inlineStr">
        <is>
          <t>'</t>
        </is>
      </c>
    </row>
    <row r="447" hidden="1" s="15">
      <c r="A447" s="0" t="inlineStr">
        <is>
          <t>'</t>
        </is>
      </c>
    </row>
    <row r="448" hidden="1" s="15">
      <c r="A448" s="0" t="inlineStr">
        <is>
          <t>'</t>
        </is>
      </c>
    </row>
    <row r="449" hidden="1" s="15">
      <c r="A449" s="0" t="inlineStr">
        <is>
          <t>'</t>
        </is>
      </c>
    </row>
    <row r="450" hidden="1" s="15">
      <c r="A450" s="0" t="inlineStr">
        <is>
          <t>'</t>
        </is>
      </c>
    </row>
    <row r="451" hidden="1" s="15">
      <c r="A451" s="0" t="inlineStr">
        <is>
          <t>'</t>
        </is>
      </c>
    </row>
    <row r="452" hidden="1" s="15">
      <c r="A452" s="0" t="inlineStr">
        <is>
          <t>'</t>
        </is>
      </c>
    </row>
    <row r="453" hidden="1" s="15">
      <c r="A453" s="0" t="inlineStr">
        <is>
          <t>'</t>
        </is>
      </c>
    </row>
    <row r="454" hidden="1" s="15">
      <c r="A454" s="0" t="inlineStr">
        <is>
          <t>'</t>
        </is>
      </c>
    </row>
    <row r="455" hidden="1" s="15">
      <c r="A455" s="0" t="inlineStr">
        <is>
          <t>'</t>
        </is>
      </c>
    </row>
    <row r="456" hidden="1" s="15">
      <c r="A456" s="0" t="inlineStr">
        <is>
          <t>'</t>
        </is>
      </c>
    </row>
    <row r="457" hidden="1" s="15">
      <c r="A457" s="0" t="inlineStr">
        <is>
          <t>'</t>
        </is>
      </c>
    </row>
    <row r="458" hidden="1" s="15">
      <c r="A458" s="0" t="inlineStr">
        <is>
          <t>'</t>
        </is>
      </c>
    </row>
    <row r="459" hidden="1" s="15">
      <c r="A459" s="0" t="inlineStr">
        <is>
          <t>'</t>
        </is>
      </c>
    </row>
    <row r="460" hidden="1" s="15">
      <c r="A460" s="0" t="inlineStr">
        <is>
          <t>'</t>
        </is>
      </c>
    </row>
    <row r="461" hidden="1" s="15">
      <c r="A461" s="0" t="inlineStr">
        <is>
          <t>'</t>
        </is>
      </c>
    </row>
    <row r="462" hidden="1" s="15">
      <c r="A462" s="0" t="inlineStr">
        <is>
          <t>'</t>
        </is>
      </c>
    </row>
    <row r="463" hidden="1" s="15">
      <c r="A463" s="0" t="inlineStr">
        <is>
          <t>'</t>
        </is>
      </c>
    </row>
    <row r="464" hidden="1" s="15">
      <c r="A464" s="0" t="inlineStr">
        <is>
          <t>'</t>
        </is>
      </c>
    </row>
    <row r="465" hidden="1" s="15">
      <c r="A465" s="0" t="inlineStr">
        <is>
          <t>'</t>
        </is>
      </c>
    </row>
    <row r="466" hidden="1" s="15">
      <c r="A466" s="0" t="inlineStr">
        <is>
          <t>'</t>
        </is>
      </c>
    </row>
    <row r="467" hidden="1" s="15">
      <c r="A467" s="0" t="inlineStr">
        <is>
          <t>'</t>
        </is>
      </c>
    </row>
    <row r="468" hidden="1" s="15">
      <c r="A468" s="0" t="inlineStr">
        <is>
          <t>'</t>
        </is>
      </c>
    </row>
    <row r="469" hidden="1" s="15">
      <c r="A469" s="0" t="inlineStr">
        <is>
          <t>'</t>
        </is>
      </c>
    </row>
    <row r="470" hidden="1" s="15">
      <c r="A470" s="0" t="inlineStr">
        <is>
          <t>'</t>
        </is>
      </c>
    </row>
    <row r="471" hidden="1" s="15">
      <c r="A471" s="0" t="inlineStr">
        <is>
          <t>'</t>
        </is>
      </c>
    </row>
    <row r="472" hidden="1" s="15">
      <c r="A472" s="0" t="inlineStr">
        <is>
          <t>'</t>
        </is>
      </c>
    </row>
    <row r="473" hidden="1" s="15">
      <c r="A473" s="0" t="inlineStr">
        <is>
          <t>'</t>
        </is>
      </c>
    </row>
    <row r="474" hidden="1" s="15">
      <c r="A474" s="0" t="inlineStr">
        <is>
          <t>'</t>
        </is>
      </c>
    </row>
    <row r="475" hidden="1" s="15">
      <c r="A475" s="0" t="inlineStr">
        <is>
          <t>'</t>
        </is>
      </c>
    </row>
    <row r="476" hidden="1" s="15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tabSelected="1" workbookViewId="0">
      <selection activeCell="B2" sqref="B2"/>
    </sheetView>
  </sheetViews>
  <sheetFormatPr baseColWidth="8" defaultRowHeight="15" customHeight="1"/>
  <cols>
    <col width="13" customWidth="1" style="15" min="1" max="1"/>
    <col width="12.625" customWidth="1" style="15" min="2" max="2"/>
    <col hidden="1" width="13" customWidth="1" style="15" min="3" max="3"/>
    <col width="14.75" customWidth="1" style="21" min="4" max="4"/>
    <col width="14.625" bestFit="1" customWidth="1" style="21" min="5" max="7"/>
    <col width="13" customWidth="1" style="15" min="6" max="6"/>
    <col width="13" customWidth="1" style="15" min="7" max="7"/>
    <col hidden="1" width="13" customWidth="1" style="21" min="8" max="9"/>
    <col width="13" customWidth="1" style="15" min="9" max="9"/>
    <col width="14.625" bestFit="1" customWidth="1" style="21" min="10" max="11"/>
    <col width="13" customWidth="1" style="15" min="11" max="11"/>
    <col width="15.875" customWidth="1" style="15" min="12" max="12"/>
    <col hidden="1" width="18.125" customWidth="1" style="15" min="13" max="13"/>
    <col hidden="1" width="19.875" customWidth="1" style="15" min="14" max="14"/>
    <col hidden="1" width="13" customWidth="1" style="15" min="15" max="15"/>
    <col hidden="1" width="48" customWidth="1" style="15" min="16" max="16"/>
    <col width="8.875" customWidth="1" style="15" min="17" max="17"/>
    <col width="11.625" bestFit="1" customWidth="1" style="15" min="18" max="18"/>
    <col width="15.875" bestFit="1" customWidth="1" style="15" min="19" max="19"/>
    <col width="10.125" customWidth="1" style="15" min="20" max="20"/>
    <col width="25.375" customWidth="1" style="15" min="21" max="21"/>
    <col width="10.5" customWidth="1" style="15" min="22" max="22"/>
  </cols>
  <sheetData>
    <row r="1" ht="51" customHeight="1" s="15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22" t="inlineStr">
        <is>
          <t>매입가(VAT별도)</t>
        </is>
      </c>
      <c r="E1" s="22" t="inlineStr">
        <is>
          <t>매입가(VAT포함)</t>
        </is>
      </c>
      <c r="F1" s="22" t="inlineStr">
        <is>
          <t>판매가(VAT포함)</t>
        </is>
      </c>
      <c r="G1" s="22" t="inlineStr">
        <is>
          <t>판매가(VAT별도)</t>
        </is>
      </c>
      <c r="H1" s="22" t="n"/>
      <c r="I1" s="22" t="n"/>
      <c r="J1" s="22" t="inlineStr">
        <is>
          <t>최저가(VAT포함)</t>
        </is>
      </c>
      <c r="K1" s="22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옵션(USB 제외, 추가금액)</t>
        </is>
      </c>
      <c r="Q1" s="4" t="inlineStr">
        <is>
          <t>USB케이블 (O/X)</t>
        </is>
      </c>
      <c r="R1" s="4" t="inlineStr">
        <is>
          <t>코스모스몰</t>
        </is>
      </c>
      <c r="S1" s="4" t="inlineStr">
        <is>
          <t>최저가업체</t>
        </is>
      </c>
      <c r="T1" s="4" t="inlineStr">
        <is>
          <t>USB포함가(18,000원 기준)</t>
        </is>
      </c>
      <c r="U1" s="4" t="inlineStr">
        <is>
          <t>USB포함 매입가(VAT별도)</t>
        </is>
      </c>
      <c r="V1" s="4" t="inlineStr">
        <is>
          <t>현재 마진율(USB포함)</t>
        </is>
      </c>
    </row>
    <row r="2" ht="15" customHeight="1" s="15">
      <c r="A2" s="0" t="n">
        <v>1</v>
      </c>
      <c r="B2" s="12" t="inlineStr">
        <is>
          <t xml:space="preserve">LS2208 SR </t>
        </is>
      </c>
      <c r="D2" s="21" t="n">
        <v>63000</v>
      </c>
      <c r="E2" s="21">
        <f>D2*110%</f>
        <v/>
      </c>
      <c r="F2" s="23" t="n">
        <v>99000</v>
      </c>
      <c r="G2" s="21">
        <f>F2/110%</f>
        <v/>
      </c>
      <c r="J2" s="21" t="n">
        <v>63750</v>
      </c>
      <c r="K2" s="21">
        <f>J2/110%</f>
        <v/>
      </c>
      <c r="L2" s="0" t="inlineStr">
        <is>
          <t>에이치에스스토어</t>
        </is>
      </c>
      <c r="M2" s="3">
        <f>1-(D2/G2)</f>
        <v/>
      </c>
      <c r="N2" s="3">
        <f>1-(D2/K2)</f>
        <v/>
      </c>
      <c r="P2" s="16" t="inlineStr">
        <is>
          <t>RS232C (+24,200원)
본체만(케이블없음) (+0원)</t>
        </is>
      </c>
      <c r="Q2" s="17" t="inlineStr">
        <is>
          <t>X</t>
        </is>
      </c>
      <c r="R2" s="17" t="inlineStr">
        <is>
          <t>본체</t>
        </is>
      </c>
      <c r="S2" s="17" t="inlineStr">
        <is>
          <t>본체</t>
        </is>
      </c>
      <c r="T2" s="24">
        <f>F2+18000</f>
        <v/>
      </c>
      <c r="U2" s="24">
        <f>D2+9000</f>
        <v/>
      </c>
      <c r="V2" s="19">
        <f>1-(U2/(T2/110%))</f>
        <v/>
      </c>
    </row>
    <row r="3" ht="15" customHeight="1" s="15">
      <c r="A3" s="0" t="n">
        <v>2</v>
      </c>
      <c r="B3" s="12" t="inlineStr">
        <is>
          <t>DS2278</t>
        </is>
      </c>
      <c r="D3" s="21" t="n">
        <v>305000</v>
      </c>
      <c r="E3" s="21">
        <f>D3*110%</f>
        <v/>
      </c>
      <c r="F3" s="23" t="n">
        <v>348250</v>
      </c>
      <c r="G3" s="21">
        <f>F3/110%</f>
        <v/>
      </c>
      <c r="J3" s="23" t="n">
        <v>210540</v>
      </c>
      <c r="K3" s="21">
        <f>J3/110%</f>
        <v/>
      </c>
      <c r="L3" s="25" t="inlineStr">
        <is>
          <t>BA인터네셔널</t>
        </is>
      </c>
      <c r="M3" s="3">
        <f>1-(D3/G3)</f>
        <v/>
      </c>
      <c r="N3" s="3">
        <f>1-(D3/K3)</f>
        <v/>
      </c>
      <c r="P3" s="16" t="inlineStr">
        <is>
          <t>RS232C (+24,200원)
본체+크래들만(케이블없음) (+0원)</t>
        </is>
      </c>
      <c r="Q3" s="17" t="inlineStr">
        <is>
          <t>X</t>
        </is>
      </c>
      <c r="R3" s="17" t="inlineStr">
        <is>
          <t>본+크</t>
        </is>
      </c>
      <c r="S3" s="17" t="inlineStr">
        <is>
          <t>본+크+USB</t>
        </is>
      </c>
      <c r="T3" s="24">
        <f>F3+18000</f>
        <v/>
      </c>
      <c r="U3" s="24">
        <f>D3+9000</f>
        <v/>
      </c>
      <c r="V3" s="19">
        <f>1-(U3/(T3/110%))</f>
        <v/>
      </c>
    </row>
    <row r="4" ht="15" customHeight="1" s="15">
      <c r="A4" s="0" t="n">
        <v>3</v>
      </c>
      <c r="B4" s="12" t="inlineStr">
        <is>
          <t>DS2208</t>
        </is>
      </c>
      <c r="D4" s="21" t="n">
        <v>96000</v>
      </c>
      <c r="E4" s="21">
        <f>D4*110%</f>
        <v/>
      </c>
      <c r="F4" s="23" t="n">
        <v>125000</v>
      </c>
      <c r="G4" s="21">
        <f>F4/110%</f>
        <v/>
      </c>
      <c r="J4" s="23" t="n">
        <v>85900</v>
      </c>
      <c r="K4" s="21">
        <f>J4/110%</f>
        <v/>
      </c>
      <c r="L4" s="25" t="inlineStr">
        <is>
          <t>마켓굿초이스</t>
        </is>
      </c>
      <c r="M4" s="3">
        <f>1-(D4/G4)</f>
        <v/>
      </c>
      <c r="N4" s="3">
        <f>1-(D4/K4)</f>
        <v/>
      </c>
      <c r="P4" s="16" t="inlineStr">
        <is>
          <t>RS232C / 선택안함 (+24,200원)
RS232C / 스탠드거치대 (+79,200원)
본체만(케이블없음) / 선택안함 (+0원)
본체만(케이블없음) / 스탠드거치대 (+55,000원)</t>
        </is>
      </c>
      <c r="Q4" s="17" t="inlineStr">
        <is>
          <t>X</t>
        </is>
      </c>
      <c r="R4" s="17" t="inlineStr">
        <is>
          <t>본체</t>
        </is>
      </c>
      <c r="S4" s="17" t="inlineStr">
        <is>
          <t>본체</t>
        </is>
      </c>
      <c r="T4" s="24">
        <f>F4+18000</f>
        <v/>
      </c>
      <c r="U4" s="24">
        <f>D4+9000</f>
        <v/>
      </c>
      <c r="V4" s="19">
        <f>1-(U4/(T4/110%))</f>
        <v/>
      </c>
    </row>
    <row r="5" ht="15" customHeight="1" s="15">
      <c r="A5" s="0" t="n">
        <v>4</v>
      </c>
      <c r="B5" s="12" t="inlineStr">
        <is>
          <t>DS8108</t>
        </is>
      </c>
      <c r="D5" s="21" t="n">
        <v>210000</v>
      </c>
      <c r="E5" s="21">
        <f>D5*110%</f>
        <v/>
      </c>
      <c r="F5" s="23" t="n">
        <v>300000</v>
      </c>
      <c r="G5" s="21">
        <f>F5/110%</f>
        <v/>
      </c>
      <c r="J5" s="23" t="n">
        <v>239000</v>
      </c>
      <c r="K5" s="21">
        <f>J5/110%</f>
        <v/>
      </c>
      <c r="L5" s="25" t="inlineStr">
        <is>
          <t>바코드다판다</t>
        </is>
      </c>
      <c r="M5" s="3">
        <f>1-(D5/G5)</f>
        <v/>
      </c>
      <c r="N5" s="3">
        <f>1-(D5/K5)</f>
        <v/>
      </c>
      <c r="P5" s="16" t="inlineStr">
        <is>
          <t>RS232C (+24,200원)
본체만 (+0원)</t>
        </is>
      </c>
      <c r="Q5" s="17" t="inlineStr">
        <is>
          <t>X</t>
        </is>
      </c>
      <c r="R5" s="17" t="inlineStr">
        <is>
          <t>본체</t>
        </is>
      </c>
      <c r="S5" s="17" t="inlineStr">
        <is>
          <t>본체</t>
        </is>
      </c>
      <c r="T5" s="24">
        <f>F5+18000</f>
        <v/>
      </c>
      <c r="U5" s="24">
        <f>D5+9000</f>
        <v/>
      </c>
      <c r="V5" s="19">
        <f>1-(U5/(T5/110%))</f>
        <v/>
      </c>
    </row>
    <row r="6" ht="15" customHeight="1" s="15">
      <c r="A6" s="0" t="n">
        <v>5</v>
      </c>
      <c r="B6" s="12" t="inlineStr">
        <is>
          <t>DS4608 SR</t>
        </is>
      </c>
      <c r="D6" s="21" t="n">
        <v>165000</v>
      </c>
      <c r="E6" s="21">
        <f>D6*110%</f>
        <v/>
      </c>
      <c r="F6" s="23" t="n">
        <v>207500</v>
      </c>
      <c r="G6" s="21">
        <f>F6/110%</f>
        <v/>
      </c>
      <c r="J6" s="23" t="n">
        <v>138700</v>
      </c>
      <c r="K6" s="21">
        <f>J6/110%</f>
        <v/>
      </c>
      <c r="L6" s="25" t="inlineStr">
        <is>
          <t>에이치에스스토어</t>
        </is>
      </c>
      <c r="M6" s="3">
        <f>1-(D6/G6)</f>
        <v/>
      </c>
      <c r="N6" s="3">
        <f>1-(D6/K6)</f>
        <v/>
      </c>
      <c r="P6" s="16" t="inlineStr">
        <is>
          <t>RS232C / 선택안함 (+24,200원)
RS232C / 스탠드거치대 (+79,200원)
본체만(케이블없음) / 선택안함 (+0원)
본체만(케이블없음) / 스탠드거치대 (+55,000원)</t>
        </is>
      </c>
      <c r="Q6" s="17" t="inlineStr">
        <is>
          <t>X</t>
        </is>
      </c>
      <c r="R6" s="17" t="inlineStr">
        <is>
          <t>본체</t>
        </is>
      </c>
      <c r="S6" s="17" t="inlineStr">
        <is>
          <t>본체</t>
        </is>
      </c>
      <c r="T6" s="24">
        <f>F6+18000</f>
        <v/>
      </c>
      <c r="U6" s="24">
        <f>D6+9000</f>
        <v/>
      </c>
      <c r="V6" s="19">
        <f>1-(U6/(T6/110%))</f>
        <v/>
      </c>
    </row>
    <row r="7" ht="15" customHeight="1" s="15">
      <c r="A7" s="0" t="n">
        <v>6</v>
      </c>
      <c r="B7" s="12" t="inlineStr">
        <is>
          <t>LI2208</t>
        </is>
      </c>
      <c r="E7" s="21">
        <f>D7*110%</f>
        <v/>
      </c>
      <c r="F7" s="23" t="n">
        <v>220000</v>
      </c>
      <c r="G7" s="21">
        <f>F7/110%</f>
        <v/>
      </c>
      <c r="J7" s="23" t="n">
        <v>80000</v>
      </c>
      <c r="K7" s="21">
        <f>J7/110%</f>
        <v/>
      </c>
      <c r="L7" s="25" t="inlineStr">
        <is>
          <t>컴엔더</t>
        </is>
      </c>
      <c r="M7" s="3">
        <f>1-(D7/G7)</f>
        <v/>
      </c>
      <c r="N7" s="3">
        <f>1-(D7/K7)</f>
        <v/>
      </c>
      <c r="P7" s="16" t="inlineStr">
        <is>
          <t>RS232C (+24,200원)</t>
        </is>
      </c>
      <c r="Q7" s="17" t="inlineStr">
        <is>
          <t>X</t>
        </is>
      </c>
      <c r="R7" s="17" t="inlineStr">
        <is>
          <t>본체</t>
        </is>
      </c>
      <c r="S7" s="17" t="inlineStr">
        <is>
          <t>본체</t>
        </is>
      </c>
      <c r="T7" s="24">
        <f>F7+18000</f>
        <v/>
      </c>
      <c r="U7" s="24">
        <f>D7+9000</f>
        <v/>
      </c>
      <c r="V7" s="19">
        <f>1-(U7/(T7/110%))</f>
        <v/>
      </c>
    </row>
    <row r="8" ht="15" customHeight="1" s="15">
      <c r="A8" s="0" t="n">
        <v>7</v>
      </c>
      <c r="B8" s="12" t="inlineStr">
        <is>
          <t>LI3608 SR</t>
        </is>
      </c>
      <c r="D8" s="21" t="n">
        <v>70000</v>
      </c>
      <c r="E8" s="21">
        <f>D8*110%</f>
        <v/>
      </c>
      <c r="F8" s="23" t="n">
        <v>396000</v>
      </c>
      <c r="G8" s="21">
        <f>F8/110%</f>
        <v/>
      </c>
      <c r="J8" s="23" t="n">
        <v>359000</v>
      </c>
      <c r="K8" s="21">
        <f>J8/110%</f>
        <v/>
      </c>
      <c r="L8" s="25" t="inlineStr">
        <is>
          <t>유니정보</t>
        </is>
      </c>
      <c r="M8" s="3">
        <f>1-(D8/G8)</f>
        <v/>
      </c>
      <c r="N8" s="3">
        <f>1-(D8/K8)</f>
        <v/>
      </c>
      <c r="P8" s="16" t="inlineStr">
        <is>
          <t>없음</t>
        </is>
      </c>
      <c r="Q8" s="17" t="inlineStr">
        <is>
          <t>O</t>
        </is>
      </c>
      <c r="R8" s="17" t="inlineStr">
        <is>
          <t>본+USB</t>
        </is>
      </c>
      <c r="S8" s="17" t="inlineStr">
        <is>
          <t>본+USB</t>
        </is>
      </c>
      <c r="T8" s="24">
        <f>F8</f>
        <v/>
      </c>
      <c r="U8" s="24">
        <f>D8</f>
        <v/>
      </c>
      <c r="V8" s="19">
        <f>1-(U8/(T8/110%))</f>
        <v/>
      </c>
    </row>
    <row r="9" ht="15" customHeight="1" s="15">
      <c r="A9" s="0" t="n">
        <v>8</v>
      </c>
      <c r="B9" s="12" t="inlineStr">
        <is>
          <t>DS3608 SR</t>
        </is>
      </c>
      <c r="D9" s="21" t="n">
        <v>470000</v>
      </c>
      <c r="E9" s="21">
        <f>D9*110%</f>
        <v/>
      </c>
      <c r="F9" s="23" t="n">
        <v>660000</v>
      </c>
      <c r="G9" s="21">
        <f>F9/110%</f>
        <v/>
      </c>
      <c r="J9" s="23" t="n">
        <v>516000</v>
      </c>
      <c r="K9" s="21">
        <f>J9/110%</f>
        <v/>
      </c>
      <c r="L9" s="25" t="inlineStr">
        <is>
          <t>더원시스</t>
        </is>
      </c>
      <c r="M9" s="3">
        <f>1-(D9/G9)</f>
        <v/>
      </c>
      <c r="N9" s="3">
        <f>1-(D9/K9)</f>
        <v/>
      </c>
      <c r="P9" s="16" t="inlineStr">
        <is>
          <t>RS232C (+24,200원)</t>
        </is>
      </c>
      <c r="Q9" s="17" t="inlineStr">
        <is>
          <t>O</t>
        </is>
      </c>
      <c r="R9" s="17" t="inlineStr">
        <is>
          <t>본+USB</t>
        </is>
      </c>
      <c r="S9" s="17" t="inlineStr">
        <is>
          <t>본+USB</t>
        </is>
      </c>
      <c r="T9" s="24">
        <f>F9</f>
        <v/>
      </c>
      <c r="U9" s="24">
        <f>D9</f>
        <v/>
      </c>
      <c r="V9" s="19">
        <f>1-(U9/(T9/110%))</f>
        <v/>
      </c>
    </row>
    <row r="10" ht="15" customHeight="1" s="15">
      <c r="A10" s="0" t="n">
        <v>9</v>
      </c>
      <c r="B10" s="12" t="inlineStr">
        <is>
          <t>LI3678</t>
        </is>
      </c>
      <c r="E10" s="21">
        <f>D10*110%</f>
        <v/>
      </c>
      <c r="F10" s="23" t="n">
        <v>1210000</v>
      </c>
      <c r="G10" s="21">
        <f>F10/110%</f>
        <v/>
      </c>
      <c r="J10" s="23" t="n">
        <v>680000</v>
      </c>
      <c r="K10" s="21">
        <f>J10/110%</f>
        <v/>
      </c>
      <c r="L10" s="25" t="inlineStr">
        <is>
          <t>착한라벨</t>
        </is>
      </c>
      <c r="M10" s="3">
        <f>1-(D10/G10)</f>
        <v/>
      </c>
      <c r="N10" s="3">
        <f>1-(D10/K10)</f>
        <v/>
      </c>
      <c r="P10" s="16" t="inlineStr">
        <is>
          <t>RS232C (+33,000원)</t>
        </is>
      </c>
      <c r="Q10" s="17" t="inlineStr">
        <is>
          <t>O</t>
        </is>
      </c>
      <c r="R10" s="17" t="inlineStr">
        <is>
          <t>본+크+USB</t>
        </is>
      </c>
      <c r="S10" s="17" t="inlineStr">
        <is>
          <t>본+USB</t>
        </is>
      </c>
      <c r="T10" s="24">
        <f>F10</f>
        <v/>
      </c>
      <c r="U10" s="24">
        <f>D10</f>
        <v/>
      </c>
      <c r="V10" s="19">
        <f>1-(U10/(T10/110%))</f>
        <v/>
      </c>
    </row>
    <row r="11" ht="15" customHeight="1" s="15">
      <c r="A11" s="0" t="n">
        <v>10</v>
      </c>
      <c r="B11" s="12" t="inlineStr">
        <is>
          <t>DS9908</t>
        </is>
      </c>
      <c r="D11" s="21" t="n">
        <v>290000</v>
      </c>
      <c r="E11" s="21">
        <f>D11*110%</f>
        <v/>
      </c>
      <c r="F11" s="23" t="n">
        <v>385000</v>
      </c>
      <c r="G11" s="21">
        <f>F11/110%</f>
        <v/>
      </c>
      <c r="J11" s="23" t="n">
        <v>295000</v>
      </c>
      <c r="K11" s="21">
        <f>J11/110%</f>
        <v/>
      </c>
      <c r="L11" s="26" t="inlineStr">
        <is>
          <t>디앤에스테크</t>
        </is>
      </c>
      <c r="M11" s="3">
        <f>1-(D11/G11)</f>
        <v/>
      </c>
      <c r="N11" s="3">
        <f>1-(D11/K11)</f>
        <v/>
      </c>
      <c r="P11" s="16" t="inlineStr">
        <is>
          <t>RS232C (+24,200원)</t>
        </is>
      </c>
      <c r="Q11" s="17" t="inlineStr">
        <is>
          <t>X</t>
        </is>
      </c>
      <c r="R11" s="17" t="inlineStr">
        <is>
          <t>본체</t>
        </is>
      </c>
      <c r="S11" s="17" t="inlineStr">
        <is>
          <t>본체</t>
        </is>
      </c>
      <c r="T11" s="24">
        <f>F11+18000</f>
        <v/>
      </c>
      <c r="U11" s="24">
        <f>D11+9000</f>
        <v/>
      </c>
      <c r="V11" s="19">
        <f>1-(U11/(T11/110%))</f>
        <v/>
      </c>
    </row>
    <row r="12" ht="15" customHeight="1" s="15">
      <c r="A12" s="0" t="n">
        <v>11</v>
      </c>
      <c r="B12" s="12" t="inlineStr">
        <is>
          <t>CS6080</t>
        </is>
      </c>
      <c r="D12" s="21" t="n">
        <v>380000</v>
      </c>
      <c r="E12" s="21">
        <f>D12*110%</f>
        <v/>
      </c>
      <c r="F12" s="23" t="n">
        <v>820000</v>
      </c>
      <c r="G12" s="21">
        <f>F12/110%</f>
        <v/>
      </c>
      <c r="J12" s="23" t="n">
        <v>820000</v>
      </c>
      <c r="K12" s="21">
        <f>J12/110%</f>
        <v/>
      </c>
      <c r="L12" s="25" t="inlineStr">
        <is>
          <t>코스모스몰</t>
        </is>
      </c>
      <c r="M12" s="3">
        <f>1-(D12/G12)</f>
        <v/>
      </c>
      <c r="N12" s="3">
        <f>1-(D12/K12)</f>
        <v/>
      </c>
      <c r="P12" s="16" t="inlineStr">
        <is>
          <t>2D (+0원)</t>
        </is>
      </c>
      <c r="Q12" s="17" t="inlineStr">
        <is>
          <t>-</t>
        </is>
      </c>
      <c r="R12" s="17" t="inlineStr">
        <is>
          <t>본체</t>
        </is>
      </c>
      <c r="S12" s="17" t="inlineStr">
        <is>
          <t>본체</t>
        </is>
      </c>
    </row>
    <row r="13" ht="15" customHeight="1" s="15">
      <c r="A13" s="0" t="n">
        <v>12</v>
      </c>
      <c r="B13" s="12" t="inlineStr">
        <is>
          <t>DS3678 SR</t>
        </is>
      </c>
      <c r="D13" s="21" t="n">
        <v>750000</v>
      </c>
      <c r="E13" s="21">
        <f>D13*110%</f>
        <v/>
      </c>
      <c r="F13" s="23" t="n">
        <v>980000</v>
      </c>
      <c r="G13" s="21">
        <f>F13/110%</f>
        <v/>
      </c>
      <c r="J13" s="23" t="n">
        <v>729190</v>
      </c>
      <c r="K13" s="21">
        <f>J13/110%</f>
        <v/>
      </c>
      <c r="L13" s="25" t="inlineStr">
        <is>
          <t>더원시스</t>
        </is>
      </c>
      <c r="M13" s="3">
        <f>1-(D13/G13)</f>
        <v/>
      </c>
      <c r="N13" s="3">
        <f>1-(D13/K13)</f>
        <v/>
      </c>
      <c r="P13" s="16" t="inlineStr">
        <is>
          <t>SR버전+USB케이블 (+0원)
HD버전+USB케이블 (+220,000원)
SR버전+RS232C케이블 (+33,000원)
HD버전+RS232C케이블 (+275,000원)</t>
        </is>
      </c>
      <c r="Q13" s="17" t="inlineStr">
        <is>
          <t>O</t>
        </is>
      </c>
      <c r="R13" s="17" t="inlineStr">
        <is>
          <t>본+크+USB</t>
        </is>
      </c>
      <c r="S13" s="17" t="inlineStr">
        <is>
          <t>본+크+USB</t>
        </is>
      </c>
      <c r="T13" s="24">
        <f>F13</f>
        <v/>
      </c>
      <c r="U13" s="24">
        <f>D13</f>
        <v/>
      </c>
      <c r="V13" s="19">
        <f>1-(U13/(T13/110%))</f>
        <v/>
      </c>
    </row>
    <row r="14" ht="15" customHeight="1" s="15">
      <c r="A14" s="0" t="n">
        <v>13</v>
      </c>
      <c r="B14" s="12" t="inlineStr">
        <is>
          <t>DS3678 HD</t>
        </is>
      </c>
      <c r="D14" s="21" t="n">
        <v>790000</v>
      </c>
      <c r="E14" s="21">
        <f>D14*110%</f>
        <v/>
      </c>
      <c r="F14" s="23" t="n">
        <v>1200000</v>
      </c>
      <c r="G14" s="21">
        <f>F14/110%</f>
        <v/>
      </c>
      <c r="J14" s="23" t="n">
        <v>1060000</v>
      </c>
      <c r="K14" s="21">
        <f>J14/110%</f>
        <v/>
      </c>
      <c r="L14" s="25" t="inlineStr">
        <is>
          <t>아크메시스</t>
        </is>
      </c>
      <c r="M14" s="3">
        <f>1-(D14/G14)</f>
        <v/>
      </c>
      <c r="N14" s="3">
        <f>1-(D14/K14)</f>
        <v/>
      </c>
      <c r="P14" s="16" t="n"/>
      <c r="Q14" s="17" t="inlineStr">
        <is>
          <t>O</t>
        </is>
      </c>
      <c r="R14" s="17" t="inlineStr">
        <is>
          <t>본+크+USB</t>
        </is>
      </c>
      <c r="S14" s="17" t="inlineStr">
        <is>
          <t>본+아답타+USB</t>
        </is>
      </c>
      <c r="T14" s="24">
        <f>F14</f>
        <v/>
      </c>
      <c r="U14" s="24">
        <f>D14</f>
        <v/>
      </c>
      <c r="V14" s="19">
        <f>1-(U14/(T14/110%))</f>
        <v/>
      </c>
    </row>
    <row r="15" ht="15" customHeight="1" s="15">
      <c r="A15" s="0" t="n">
        <v>14</v>
      </c>
      <c r="B15" s="12" t="inlineStr">
        <is>
          <t>DS4608 XD</t>
        </is>
      </c>
      <c r="D15" s="21" t="n">
        <v>280000</v>
      </c>
      <c r="E15" s="21">
        <f>D15*110%</f>
        <v/>
      </c>
      <c r="F15" s="23" t="n">
        <v>495000</v>
      </c>
      <c r="G15" s="21">
        <f>F15/110%</f>
        <v/>
      </c>
      <c r="J15" s="23" t="n">
        <v>181900</v>
      </c>
      <c r="K15" s="21">
        <f>J15/110%</f>
        <v/>
      </c>
      <c r="L15" s="25" t="inlineStr">
        <is>
          <t>바코드총판</t>
        </is>
      </c>
      <c r="M15" s="3">
        <f>1-(D15/G15)</f>
        <v/>
      </c>
      <c r="N15" s="3">
        <f>1-(D15/K15)</f>
        <v/>
      </c>
      <c r="P15" s="16" t="inlineStr">
        <is>
          <t>RS232C / 선택안함 (+24,200원)
RS232C / 스탠드거치대 (+79,200원)
본체만(케이블없음) / 선택안함 (+0원)
본체만(케이블없음) / 스탠드거치대 (+55,000원)</t>
        </is>
      </c>
      <c r="Q15" s="17" t="inlineStr">
        <is>
          <t>X</t>
        </is>
      </c>
      <c r="R15" s="17" t="inlineStr">
        <is>
          <t>본체</t>
        </is>
      </c>
      <c r="S15" s="17" t="inlineStr">
        <is>
          <t>본체</t>
        </is>
      </c>
      <c r="T15" s="24">
        <f>F15+18000</f>
        <v/>
      </c>
      <c r="U15" s="24">
        <f>D15+9000</f>
        <v/>
      </c>
      <c r="V15" s="19">
        <f>1-(U15/(T15/110%))</f>
        <v/>
      </c>
    </row>
    <row r="16" ht="15" customHeight="1" s="15">
      <c r="A16" s="0" t="n">
        <v>15</v>
      </c>
      <c r="B16" s="12" t="inlineStr">
        <is>
          <t>DS8288/타업체없음</t>
        </is>
      </c>
      <c r="D16" s="21" t="n">
        <v>700000</v>
      </c>
      <c r="E16" s="21">
        <f>D16*110%</f>
        <v/>
      </c>
      <c r="F16" s="23" t="n">
        <v>1058200</v>
      </c>
      <c r="G16" s="21">
        <f>F16/110%</f>
        <v/>
      </c>
      <c r="J16" s="23" t="n">
        <v>1058200</v>
      </c>
      <c r="K16" s="21">
        <f>J16/110%</f>
        <v/>
      </c>
      <c r="L16" s="25" t="inlineStr">
        <is>
          <t>코스모스몰</t>
        </is>
      </c>
      <c r="M16" s="3">
        <f>1-(D16/G16)</f>
        <v/>
      </c>
      <c r="N16" s="3">
        <f>1-(D16/K16)</f>
        <v/>
      </c>
      <c r="P16" s="16" t="inlineStr">
        <is>
          <t>RS232C (+24,200원)</t>
        </is>
      </c>
      <c r="Q16" s="17" t="inlineStr">
        <is>
          <t>O</t>
        </is>
      </c>
      <c r="R16" s="17" t="inlineStr">
        <is>
          <t>본+USB</t>
        </is>
      </c>
      <c r="S16" s="17" t="inlineStr">
        <is>
          <t>본+USB</t>
        </is>
      </c>
      <c r="T16" s="24">
        <f>F16</f>
        <v/>
      </c>
      <c r="U16" s="24">
        <f>D16</f>
        <v/>
      </c>
      <c r="V16" s="19">
        <f>1-(U16/(T16/110%))</f>
        <v/>
      </c>
    </row>
    <row r="17" ht="15" customHeight="1" s="15">
      <c r="A17" s="0" t="n">
        <v>16</v>
      </c>
      <c r="B17" s="12" t="inlineStr">
        <is>
          <t>DS8208/타업체없음</t>
        </is>
      </c>
      <c r="E17" s="21">
        <f>D17*110%</f>
        <v/>
      </c>
      <c r="F17" s="23" t="n">
        <v>577500</v>
      </c>
      <c r="G17" s="21">
        <f>F17/110%</f>
        <v/>
      </c>
      <c r="J17" s="23" t="n">
        <v>577500</v>
      </c>
      <c r="K17" s="21">
        <f>J17/110%</f>
        <v/>
      </c>
      <c r="L17" s="25" t="inlineStr">
        <is>
          <t>코스모스몰</t>
        </is>
      </c>
      <c r="M17" s="3">
        <f>1-(D17/G17)</f>
        <v/>
      </c>
      <c r="N17" s="3">
        <f>1-(D17/K17)</f>
        <v/>
      </c>
      <c r="P17" s="16" t="inlineStr">
        <is>
          <t>RS232C (+24,200원)</t>
        </is>
      </c>
      <c r="Q17" s="17" t="inlineStr">
        <is>
          <t>O</t>
        </is>
      </c>
      <c r="R17" s="17" t="inlineStr">
        <is>
          <t>본+USB</t>
        </is>
      </c>
      <c r="S17" s="17" t="inlineStr">
        <is>
          <t>본+USB</t>
        </is>
      </c>
      <c r="T17" s="24">
        <f>F17</f>
        <v/>
      </c>
      <c r="U17" s="24">
        <f>D17</f>
        <v/>
      </c>
      <c r="V17" s="19">
        <f>1-(U17/(T17/110%))</f>
        <v/>
      </c>
    </row>
    <row r="18" ht="16.5" customHeight="1" s="15">
      <c r="A18" s="0" t="n">
        <v>17</v>
      </c>
      <c r="B18" s="12" t="inlineStr">
        <is>
          <t>DS3608 ER</t>
        </is>
      </c>
      <c r="D18" s="21" t="n">
        <v>65000</v>
      </c>
      <c r="E18" s="21">
        <f>D18*110%</f>
        <v/>
      </c>
      <c r="F18" s="23" t="n">
        <v>660000</v>
      </c>
      <c r="G18" s="21">
        <f>F18/110%</f>
        <v/>
      </c>
      <c r="J18" s="23" t="n">
        <v>200000</v>
      </c>
      <c r="K18" s="21">
        <f>J18/110%</f>
        <v/>
      </c>
      <c r="L18" s="25" t="inlineStr">
        <is>
          <t>코스모스몰</t>
        </is>
      </c>
      <c r="M18" s="3">
        <f>1-(D18/G18)</f>
        <v/>
      </c>
      <c r="N18" s="3">
        <f>1-(D18/K18)</f>
        <v/>
      </c>
      <c r="P18" s="16" t="inlineStr">
        <is>
          <t>없음</t>
        </is>
      </c>
      <c r="Q18" s="17" t="inlineStr">
        <is>
          <t>O</t>
        </is>
      </c>
      <c r="R18" s="17" t="inlineStr">
        <is>
          <t>본+USB</t>
        </is>
      </c>
      <c r="S18" s="17" t="inlineStr">
        <is>
          <t>본+USB</t>
        </is>
      </c>
      <c r="T18" s="24">
        <f>F18</f>
        <v/>
      </c>
      <c r="U18" s="24">
        <f>D18</f>
        <v/>
      </c>
      <c r="V18" s="19">
        <f>1-(U18/(T18/110%))</f>
        <v/>
      </c>
    </row>
    <row r="19" ht="15" customHeight="1" s="15">
      <c r="A19" s="0" t="n">
        <v>18</v>
      </c>
      <c r="B19" s="12" t="inlineStr">
        <is>
          <t>LI3608 ER</t>
        </is>
      </c>
      <c r="D19" s="21" t="n">
        <v>70000</v>
      </c>
      <c r="E19" s="21">
        <f>D19*110%</f>
        <v/>
      </c>
      <c r="F19" s="23" t="n">
        <v>572000</v>
      </c>
      <c r="G19" s="21">
        <f>F19/110%</f>
        <v/>
      </c>
      <c r="J19" s="23" t="n">
        <v>359000</v>
      </c>
      <c r="K19" s="21">
        <f>J19/110%</f>
        <v/>
      </c>
      <c r="L19" s="25" t="inlineStr">
        <is>
          <t>유니정보</t>
        </is>
      </c>
      <c r="M19" s="3">
        <f>1-(D19/G19)</f>
        <v/>
      </c>
      <c r="N19" s="3">
        <f>1-(D19/K19)</f>
        <v/>
      </c>
      <c r="P19" s="16" t="inlineStr">
        <is>
          <t>없음</t>
        </is>
      </c>
      <c r="Q19" s="17" t="inlineStr">
        <is>
          <t>O</t>
        </is>
      </c>
      <c r="R19" s="17" t="inlineStr">
        <is>
          <t>본+USB</t>
        </is>
      </c>
      <c r="S19" s="17" t="inlineStr">
        <is>
          <t>본+USB</t>
        </is>
      </c>
      <c r="T19" s="24">
        <f>F19</f>
        <v/>
      </c>
      <c r="U19" s="24">
        <f>D19</f>
        <v/>
      </c>
      <c r="V19" s="19">
        <f>1-(U19/(T19/110%))</f>
        <v/>
      </c>
    </row>
    <row r="20" ht="15" customHeight="1" s="15">
      <c r="A20" s="0" t="n">
        <v>19</v>
      </c>
      <c r="B20" s="12" t="inlineStr">
        <is>
          <t>DS3678 XR</t>
        </is>
      </c>
      <c r="E20" s="21">
        <f>D20*110%</f>
        <v/>
      </c>
      <c r="F20" s="23" t="n">
        <v>1628000</v>
      </c>
      <c r="G20" s="21">
        <f>F20/110%</f>
        <v/>
      </c>
      <c r="J20" s="23" t="n">
        <v>1628000</v>
      </c>
      <c r="K20" s="21">
        <f>J20/110%</f>
        <v/>
      </c>
      <c r="L20" s="25" t="inlineStr">
        <is>
          <t>코스모스몰</t>
        </is>
      </c>
      <c r="M20" s="3">
        <f>1-(D20/G20)</f>
        <v/>
      </c>
      <c r="N20" s="3">
        <f>1-(D20/K20)</f>
        <v/>
      </c>
      <c r="P20" s="16" t="inlineStr">
        <is>
          <t>RS232C (+24,200원)</t>
        </is>
      </c>
      <c r="Q20" s="17" t="inlineStr">
        <is>
          <t>O</t>
        </is>
      </c>
      <c r="R20" s="17" t="inlineStr">
        <is>
          <t>본+USB</t>
        </is>
      </c>
      <c r="S20" s="17" t="inlineStr">
        <is>
          <t>본+USB</t>
        </is>
      </c>
      <c r="T20" s="24">
        <f>F20</f>
        <v/>
      </c>
      <c r="U20" s="24">
        <f>D20</f>
        <v/>
      </c>
      <c r="V20" s="19">
        <f>1-(U20/(T20/110%))</f>
        <v/>
      </c>
    </row>
    <row r="21" ht="15" customHeight="1" s="15">
      <c r="A21" s="0" t="n">
        <v>20</v>
      </c>
      <c r="B21" s="12" t="inlineStr">
        <is>
          <t>DS5502</t>
        </is>
      </c>
      <c r="E21" s="21">
        <f>D21*110%</f>
        <v/>
      </c>
      <c r="F21" s="23" t="n">
        <v>418000</v>
      </c>
      <c r="G21" s="21">
        <f>F21/110%</f>
        <v/>
      </c>
      <c r="J21" s="23" t="n">
        <v>390000</v>
      </c>
      <c r="K21" s="21">
        <f>J21/110%</f>
        <v/>
      </c>
      <c r="L21" s="25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16" t="inlineStr">
        <is>
          <t>RS232C (+49,500원)</t>
        </is>
      </c>
      <c r="Q21" s="17" t="inlineStr">
        <is>
          <t>O</t>
        </is>
      </c>
      <c r="R21" s="17" t="inlineStr">
        <is>
          <t>본+USB</t>
        </is>
      </c>
      <c r="S21" s="17" t="inlineStr">
        <is>
          <t>본+USB</t>
        </is>
      </c>
      <c r="T21" s="24">
        <f>F21</f>
        <v/>
      </c>
      <c r="U21" s="24">
        <f>D21</f>
        <v/>
      </c>
      <c r="V21" s="19">
        <f>1-(U21/(T21/110%))</f>
        <v/>
      </c>
    </row>
    <row r="22" ht="15" customHeight="1" s="15">
      <c r="A22" s="0" t="n">
        <v>21</v>
      </c>
      <c r="B22" s="12" t="inlineStr">
        <is>
          <t>DS4678</t>
        </is>
      </c>
      <c r="D22" s="21" t="n">
        <v>440000</v>
      </c>
      <c r="E22" s="21">
        <f>D22*110%</f>
        <v/>
      </c>
      <c r="F22" s="23" t="n">
        <v>566500</v>
      </c>
      <c r="G22" s="21">
        <f>F22/110%</f>
        <v/>
      </c>
      <c r="J22" s="23" t="n">
        <v>524990</v>
      </c>
      <c r="K22" s="21">
        <f>J22/110%</f>
        <v/>
      </c>
      <c r="L22" s="25" t="inlineStr">
        <is>
          <t>코스모스전문몰</t>
        </is>
      </c>
      <c r="M22" s="3">
        <f>1-(D22/G22)</f>
        <v/>
      </c>
      <c r="N22" s="3">
        <f>1-(D22/K22)</f>
        <v/>
      </c>
      <c r="P22" s="16" t="inlineStr">
        <is>
          <t>본체+크래들만(케이블없음) (+0원)
RS232C (+24,200원)</t>
        </is>
      </c>
      <c r="Q22" s="17" t="inlineStr">
        <is>
          <t>X</t>
        </is>
      </c>
      <c r="R22" s="17" t="inlineStr">
        <is>
          <t>본+크</t>
        </is>
      </c>
      <c r="S22" s="17" t="inlineStr">
        <is>
          <t>본+크</t>
        </is>
      </c>
      <c r="T22" s="24">
        <f>F22+18000</f>
        <v/>
      </c>
      <c r="U22" s="24">
        <f>D22+9000</f>
        <v/>
      </c>
      <c r="V22" s="19">
        <f>1-(U22/(T22/110%))</f>
        <v/>
      </c>
    </row>
    <row r="23" ht="15" customHeight="1" s="15">
      <c r="A23" s="0" t="n">
        <v>22</v>
      </c>
      <c r="B23" s="12" t="inlineStr">
        <is>
          <t>SP72</t>
        </is>
      </c>
      <c r="D23" s="21" t="n">
        <v>448000</v>
      </c>
      <c r="E23" s="21">
        <f>D23*110%</f>
        <v/>
      </c>
      <c r="F23" s="23" t="n">
        <v>980000</v>
      </c>
      <c r="G23" s="21">
        <f>F23/110%</f>
        <v/>
      </c>
      <c r="J23" s="23" t="n">
        <v>980000</v>
      </c>
      <c r="K23" s="21">
        <f>J23/110%</f>
        <v/>
      </c>
      <c r="L23" s="25" t="inlineStr">
        <is>
          <t>코스모스몰,더원시스</t>
        </is>
      </c>
      <c r="M23" s="3">
        <f>1-(D23/G23)</f>
        <v/>
      </c>
      <c r="N23" s="3">
        <f>1-(D23/K23)</f>
        <v/>
      </c>
      <c r="P23" s="16" t="inlineStr">
        <is>
          <t>없음</t>
        </is>
      </c>
      <c r="Q23" s="17" t="inlineStr">
        <is>
          <t>O</t>
        </is>
      </c>
      <c r="R23" s="17" t="inlineStr">
        <is>
          <t>본+USB</t>
        </is>
      </c>
      <c r="S23" s="17" t="inlineStr">
        <is>
          <t>본+USB</t>
        </is>
      </c>
      <c r="T23" s="24">
        <f>F23</f>
        <v/>
      </c>
      <c r="U23" s="24">
        <f>D23</f>
        <v/>
      </c>
      <c r="V23" s="19">
        <f>1-(U23/(T23/110%))</f>
        <v/>
      </c>
    </row>
    <row r="24" ht="15" customHeight="1" s="15">
      <c r="A24" s="0" t="n">
        <v>23</v>
      </c>
      <c r="B24" s="12" t="inlineStr">
        <is>
          <t>DS9308</t>
        </is>
      </c>
      <c r="D24" s="21" t="n">
        <v>182000</v>
      </c>
      <c r="E24" s="21">
        <f>D24*110%</f>
        <v/>
      </c>
      <c r="F24" s="23" t="n">
        <v>246000</v>
      </c>
      <c r="G24" s="21">
        <f>F24/110%</f>
        <v/>
      </c>
      <c r="J24" s="23" t="n">
        <v>149500</v>
      </c>
      <c r="K24" s="21">
        <f>J24/110%</f>
        <v/>
      </c>
      <c r="L24" s="25" t="inlineStr">
        <is>
          <t>에이치앤아이디지탈</t>
        </is>
      </c>
      <c r="M24" s="3">
        <f>1-(D24/G24)</f>
        <v/>
      </c>
      <c r="N24" s="3">
        <f>1-(D24/K24)</f>
        <v/>
      </c>
      <c r="P24" s="16" t="inlineStr">
        <is>
          <t>RS232C (+24,200원)
본체만(케이블없음) (+0원)</t>
        </is>
      </c>
      <c r="Q24" s="17" t="inlineStr">
        <is>
          <t>X</t>
        </is>
      </c>
      <c r="R24" s="17" t="inlineStr">
        <is>
          <t>본체</t>
        </is>
      </c>
      <c r="S24" s="17" t="inlineStr">
        <is>
          <t>본체</t>
        </is>
      </c>
      <c r="T24" s="24">
        <f>F24+18000</f>
        <v/>
      </c>
      <c r="U24" s="24">
        <f>D24+9000</f>
        <v/>
      </c>
      <c r="V24" s="19">
        <f>1-(U24/(T24/110%))</f>
        <v/>
      </c>
    </row>
    <row r="25" ht="15" customHeight="1" s="15">
      <c r="A25" s="0" t="n">
        <v>24</v>
      </c>
      <c r="B25" s="12" t="inlineStr">
        <is>
          <t>DS8178</t>
        </is>
      </c>
      <c r="D25" s="21" t="n">
        <v>510000</v>
      </c>
      <c r="E25" s="21">
        <f>D25*110%</f>
        <v/>
      </c>
      <c r="F25" s="23" t="n">
        <v>660000</v>
      </c>
      <c r="G25" s="21">
        <f>F25/110%</f>
        <v/>
      </c>
      <c r="J25" s="23" t="n">
        <v>326920</v>
      </c>
      <c r="K25" s="21">
        <f>J25/110%</f>
        <v/>
      </c>
      <c r="L25" s="25" t="inlineStr">
        <is>
          <t>착한라벨</t>
        </is>
      </c>
      <c r="M25" s="3">
        <f>1-(D25/G25)</f>
        <v/>
      </c>
      <c r="N25" s="3">
        <f>1-(D25/K25)</f>
        <v/>
      </c>
      <c r="P25" s="16" t="inlineStr">
        <is>
          <t>RS232C (+24,200원)
본체+크래들만(케이블없음) (+0원)</t>
        </is>
      </c>
      <c r="Q25" s="17" t="inlineStr">
        <is>
          <t>X</t>
        </is>
      </c>
      <c r="R25" s="17" t="inlineStr">
        <is>
          <t>본+크</t>
        </is>
      </c>
      <c r="S25" s="17" t="inlineStr">
        <is>
          <t>본+크+USB</t>
        </is>
      </c>
      <c r="T25" s="24">
        <f>F25+18000</f>
        <v/>
      </c>
      <c r="U25" s="24">
        <f>D25+9000</f>
        <v/>
      </c>
      <c r="V25" s="19">
        <f>1-(U25/(T25/110%))</f>
        <v/>
      </c>
    </row>
    <row r="26" ht="15" customHeight="1" s="15">
      <c r="A26" s="0" t="n">
        <v>25</v>
      </c>
      <c r="B26" s="12" t="inlineStr">
        <is>
          <t>LI4278</t>
        </is>
      </c>
      <c r="D26" s="21" t="n">
        <v>305000</v>
      </c>
      <c r="E26" s="21">
        <f>D26*110%</f>
        <v/>
      </c>
      <c r="F26" s="23" t="n">
        <v>380000</v>
      </c>
      <c r="G26" s="21">
        <f>F26/110%</f>
        <v/>
      </c>
      <c r="J26" s="23" t="n">
        <v>187390</v>
      </c>
      <c r="K26" s="21">
        <f>J26/110%</f>
        <v/>
      </c>
      <c r="L26" s="25" t="inlineStr">
        <is>
          <t>더원시스</t>
        </is>
      </c>
      <c r="M26" s="3">
        <f>1-(D26/G26)</f>
        <v/>
      </c>
      <c r="N26" s="3">
        <f>1-(D26/K26)</f>
        <v/>
      </c>
      <c r="P26" s="16" t="inlineStr">
        <is>
          <t>RS232C (+24,200원)
본체+크래들만(케이블없음) (+0원)</t>
        </is>
      </c>
      <c r="Q26" s="17" t="inlineStr">
        <is>
          <t>X</t>
        </is>
      </c>
      <c r="R26" s="17" t="inlineStr">
        <is>
          <t>본+크</t>
        </is>
      </c>
      <c r="S26" s="17" t="inlineStr">
        <is>
          <t>본+크+USB</t>
        </is>
      </c>
      <c r="T26" s="24">
        <f>F26+18000</f>
        <v/>
      </c>
      <c r="U26" s="24">
        <f>D26+9000</f>
        <v/>
      </c>
      <c r="V26" s="19">
        <f>1-(U26/(T26/110%))</f>
        <v/>
      </c>
    </row>
    <row r="27" ht="15" customHeight="1" s="15">
      <c r="A27" s="0" t="n">
        <v>26</v>
      </c>
      <c r="B27" s="12" t="inlineStr">
        <is>
          <t>RS6100/견적요청</t>
        </is>
      </c>
      <c r="E27" s="21">
        <f>D27*110%</f>
        <v/>
      </c>
      <c r="F27" s="23" t="n">
        <v>0</v>
      </c>
      <c r="G27" s="21">
        <f>F27/110%</f>
        <v/>
      </c>
      <c r="J27" s="23" t="n"/>
      <c r="L27" s="25" t="n"/>
      <c r="M27" s="3" t="n"/>
      <c r="N27" s="3" t="n"/>
      <c r="P27" s="16" t="inlineStr">
        <is>
          <t>링트리거 (+0원)</t>
        </is>
      </c>
      <c r="Q27" s="17" t="inlineStr">
        <is>
          <t>-</t>
        </is>
      </c>
      <c r="R27" s="17" t="n"/>
      <c r="S27" s="17" t="n"/>
    </row>
    <row r="28" ht="15" customHeight="1" s="15">
      <c r="A28" s="0" t="n">
        <v>27</v>
      </c>
      <c r="B28" s="12" t="inlineStr">
        <is>
          <t>FS10/견적요청</t>
        </is>
      </c>
      <c r="E28" s="21">
        <f>D28*110%</f>
        <v/>
      </c>
      <c r="F28" s="23" t="n">
        <v>0</v>
      </c>
      <c r="G28" s="21">
        <f>F28/110%</f>
        <v/>
      </c>
      <c r="J28" s="23" t="n"/>
      <c r="L28" s="25" t="n"/>
      <c r="M28" s="3" t="n"/>
      <c r="N28" s="3" t="n"/>
      <c r="P28" s="16" t="inlineStr">
        <is>
          <t>본체 (+0원)</t>
        </is>
      </c>
      <c r="Q28" s="17" t="inlineStr">
        <is>
          <t>-</t>
        </is>
      </c>
      <c r="R28" s="17" t="n"/>
      <c r="S28" s="17" t="n"/>
    </row>
    <row r="29" ht="15" customHeight="1" s="15">
      <c r="A29" s="0" t="n">
        <v>28</v>
      </c>
      <c r="B29" s="12" t="inlineStr">
        <is>
          <t>FS20/견적요청</t>
        </is>
      </c>
      <c r="E29" s="21">
        <f>D29*110%</f>
        <v/>
      </c>
      <c r="F29" s="23" t="n">
        <v>0</v>
      </c>
      <c r="G29" s="21">
        <f>F29/110%</f>
        <v/>
      </c>
      <c r="J29" s="23" t="n"/>
      <c r="L29" s="25" t="n"/>
      <c r="M29" s="3" t="n"/>
      <c r="N29" s="3" t="n"/>
      <c r="P29" s="16" t="inlineStr">
        <is>
          <t>본체 (+0원)</t>
        </is>
      </c>
      <c r="Q29" s="17" t="inlineStr">
        <is>
          <t>-</t>
        </is>
      </c>
      <c r="R29" s="17" t="n"/>
      <c r="S29" s="17" t="n"/>
    </row>
    <row r="30" ht="15" customHeight="1" s="15">
      <c r="A30" s="0" t="n">
        <v>29</v>
      </c>
      <c r="B30" s="12" t="inlineStr">
        <is>
          <t>FS40/견적요청</t>
        </is>
      </c>
      <c r="E30" s="21">
        <f>D30*110%</f>
        <v/>
      </c>
      <c r="F30" s="23" t="n">
        <v>0</v>
      </c>
      <c r="G30" s="21">
        <f>F30/110%</f>
        <v/>
      </c>
      <c r="J30" s="23" t="n"/>
      <c r="L30" s="25" t="n"/>
      <c r="M30" s="3" t="n"/>
      <c r="N30" s="3" t="n"/>
      <c r="P30" s="16" t="inlineStr">
        <is>
          <t>본체 (+0원)</t>
        </is>
      </c>
      <c r="Q30" s="17" t="inlineStr">
        <is>
          <t>-</t>
        </is>
      </c>
      <c r="R30" s="17" t="n"/>
      <c r="S30" s="17" t="n"/>
    </row>
    <row r="31" ht="15" customHeight="1" s="15">
      <c r="A31" s="0" t="n">
        <v>30</v>
      </c>
      <c r="B31" s="12" t="inlineStr">
        <is>
          <t>FS70/견적요청</t>
        </is>
      </c>
      <c r="E31" s="21">
        <f>D31*110%</f>
        <v/>
      </c>
      <c r="F31" s="23" t="n">
        <v>0</v>
      </c>
      <c r="G31" s="21">
        <f>F31/110%</f>
        <v/>
      </c>
      <c r="J31" s="23" t="n"/>
      <c r="L31" s="25" t="n"/>
      <c r="M31" s="3" t="n"/>
      <c r="N31" s="3" t="n"/>
      <c r="P31" s="16" t="inlineStr">
        <is>
          <t>본체 (+0원)</t>
        </is>
      </c>
      <c r="Q31" s="17" t="inlineStr">
        <is>
          <t>-</t>
        </is>
      </c>
      <c r="R31" s="17" t="n"/>
      <c r="S31" s="17" t="n"/>
    </row>
    <row r="32" ht="15" customHeight="1" s="15"/>
    <row r="33" ht="15" customHeight="1" s="15"/>
    <row r="40" ht="15" customHeight="1" s="15">
      <c r="U40" s="12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5" min="1" max="1"/>
    <col width="16.125" customWidth="1" style="15" min="2" max="2"/>
    <col hidden="1" width="16.75" customWidth="1" style="15" min="3" max="3"/>
    <col width="13.625" customWidth="1" style="15" min="4" max="4"/>
    <col width="13.5" customWidth="1" style="15" min="5" max="5"/>
    <col width="14.375" customWidth="1" style="15" min="6" max="6"/>
    <col width="13.875" customWidth="1" style="15" min="7" max="9"/>
    <col width="14.875" customWidth="1" style="15" min="10" max="10"/>
    <col width="14.75" customWidth="1" style="15" min="11" max="11"/>
    <col width="19.875" customWidth="1" style="15" min="12" max="12"/>
    <col width="18.125" customWidth="1" style="15" min="13" max="13"/>
    <col width="19.625" customWidth="1" style="15" min="14" max="14"/>
  </cols>
  <sheetData>
    <row r="1" ht="18.75" customHeight="1" s="15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21" t="n">
        <v>470000</v>
      </c>
      <c r="E2" s="21">
        <f>D2*1.1</f>
        <v/>
      </c>
      <c r="F2" s="21" t="n">
        <v>800000</v>
      </c>
      <c r="G2" s="21">
        <f>F2/110%</f>
        <v/>
      </c>
      <c r="H2" s="21" t="n"/>
      <c r="I2" s="21" t="n"/>
      <c r="J2" s="21" t="n">
        <v>746630</v>
      </c>
      <c r="K2" s="21">
        <f>J2/1.1</f>
        <v/>
      </c>
      <c r="L2" s="21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21" t="n">
        <v>2266000</v>
      </c>
      <c r="E3" s="21">
        <f>D3*1.1</f>
        <v/>
      </c>
      <c r="F3" s="21" t="n">
        <v>2600000</v>
      </c>
      <c r="G3" s="21">
        <f>F3/110%</f>
        <v/>
      </c>
      <c r="H3" s="21" t="n"/>
      <c r="I3" s="21" t="n"/>
      <c r="J3" s="21" t="n">
        <v>2600000</v>
      </c>
      <c r="K3" s="21">
        <f>J3/1.1</f>
        <v/>
      </c>
      <c r="L3" s="21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7" t="n">
        <v>1840000</v>
      </c>
      <c r="E4" s="27">
        <f>D4*1.1</f>
        <v/>
      </c>
      <c r="F4" s="27" t="n">
        <v>2640000</v>
      </c>
      <c r="G4" s="27">
        <f>F4/110%</f>
        <v/>
      </c>
      <c r="H4" s="28" t="n">
        <v>2500000</v>
      </c>
      <c r="I4" s="28">
        <f>ROUND(H4*1.1/0.95,-1)</f>
        <v/>
      </c>
      <c r="J4" s="27" t="n">
        <v>2640000</v>
      </c>
      <c r="K4" s="27">
        <f>J4/1.1</f>
        <v/>
      </c>
      <c r="L4" s="27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21" t="n"/>
      <c r="E5" s="21">
        <f>D5*1.1</f>
        <v/>
      </c>
      <c r="F5" s="21" t="n">
        <v>3300000</v>
      </c>
      <c r="G5" s="21">
        <f>F5/110%</f>
        <v/>
      </c>
      <c r="H5" s="21" t="n"/>
      <c r="I5" s="21" t="n"/>
      <c r="J5" s="21" t="n">
        <v>3250450</v>
      </c>
      <c r="K5" s="21">
        <f>J5/1.1</f>
        <v/>
      </c>
      <c r="L5" s="21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21" t="n">
        <v>1030000</v>
      </c>
      <c r="E6" s="21">
        <f>D6*1.1</f>
        <v/>
      </c>
      <c r="F6" s="21" t="n">
        <v>1210000</v>
      </c>
      <c r="G6" s="21">
        <f>F6/110%</f>
        <v/>
      </c>
      <c r="H6" s="21" t="n"/>
      <c r="I6" s="21" t="n"/>
      <c r="J6" s="21" t="n">
        <v>1180000</v>
      </c>
      <c r="K6" s="21">
        <f>J6/1.1</f>
        <v/>
      </c>
      <c r="L6" s="21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21" t="n"/>
      <c r="E7" s="21">
        <f>D7*1.1</f>
        <v/>
      </c>
      <c r="F7" s="21" t="n">
        <v>3300000</v>
      </c>
      <c r="G7" s="21">
        <f>F7/110%</f>
        <v/>
      </c>
      <c r="H7" s="21" t="n"/>
      <c r="I7" s="21" t="n"/>
      <c r="J7" s="21" t="n">
        <v>3249900</v>
      </c>
      <c r="K7" s="21">
        <f>J7/1.1</f>
        <v/>
      </c>
      <c r="L7" s="21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7" t="n">
        <v>2500000</v>
      </c>
      <c r="E8" s="27">
        <f>D8*1.1</f>
        <v/>
      </c>
      <c r="F8" s="27" t="n">
        <v>2640000</v>
      </c>
      <c r="G8" s="28" t="n"/>
      <c r="H8" s="28" t="n">
        <v>3000000</v>
      </c>
      <c r="I8" s="28">
        <f>ROUND(H8*1.1/0.95,-1)</f>
        <v/>
      </c>
      <c r="J8" s="27" t="n">
        <v>2577960</v>
      </c>
      <c r="K8" s="27">
        <f>J8/1.1</f>
        <v/>
      </c>
      <c r="L8" s="27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21" t="n">
        <v>2470000</v>
      </c>
      <c r="E9" s="21">
        <f>D9*1.1</f>
        <v/>
      </c>
      <c r="F9" s="21" t="n">
        <v>3190000</v>
      </c>
      <c r="G9" s="21">
        <f>F9/110%</f>
        <v/>
      </c>
      <c r="H9" s="21" t="n"/>
      <c r="I9" s="21" t="n"/>
      <c r="J9" s="21" t="n">
        <v>3115040</v>
      </c>
      <c r="K9" s="21">
        <f>J9/1.1</f>
        <v/>
      </c>
      <c r="L9" s="21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7" t="n">
        <v>1490000</v>
      </c>
      <c r="E10" s="27">
        <f>D10*1.1</f>
        <v/>
      </c>
      <c r="F10" s="27" t="n">
        <v>2750000</v>
      </c>
      <c r="G10" s="27">
        <f>F10/110%</f>
        <v/>
      </c>
      <c r="H10" s="27" t="n"/>
      <c r="I10" s="27" t="n"/>
      <c r="J10" s="27" t="n">
        <v>2750000</v>
      </c>
      <c r="K10" s="27">
        <f>J10/1.1</f>
        <v/>
      </c>
      <c r="L10" s="27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21" t="n">
        <v>560000</v>
      </c>
      <c r="E11" s="21">
        <f>D11*1.1</f>
        <v/>
      </c>
      <c r="F11" s="21" t="n">
        <v>979000</v>
      </c>
      <c r="G11" s="21">
        <f>F11/110%</f>
        <v/>
      </c>
      <c r="H11" s="21" t="n"/>
      <c r="I11" s="21" t="n"/>
      <c r="J11" s="21" t="n">
        <v>929930</v>
      </c>
      <c r="K11" s="21">
        <f>J11/1.1</f>
        <v/>
      </c>
      <c r="L11" s="21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21" t="n"/>
      <c r="E12" s="21">
        <f>D12*1.1</f>
        <v/>
      </c>
      <c r="F12" s="21" t="n">
        <v>3850000</v>
      </c>
      <c r="G12" s="21">
        <f>F12/110%</f>
        <v/>
      </c>
      <c r="H12" s="21" t="n"/>
      <c r="I12" s="21" t="n"/>
      <c r="J12" s="21" t="n">
        <v>3850000</v>
      </c>
      <c r="K12" s="21">
        <f>J12/1.1</f>
        <v/>
      </c>
      <c r="L12" s="21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21" t="n">
        <v>1150000</v>
      </c>
      <c r="E13" s="21">
        <f>D13*1.1</f>
        <v/>
      </c>
      <c r="F13" s="21" t="n">
        <v>1650000</v>
      </c>
      <c r="G13" s="21">
        <f>F13/110%</f>
        <v/>
      </c>
      <c r="H13" s="21" t="n"/>
      <c r="I13" s="21" t="n"/>
      <c r="J13" s="21" t="n">
        <v>1650000</v>
      </c>
      <c r="K13" s="21">
        <f>J13/1.1</f>
        <v/>
      </c>
      <c r="L13" s="21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29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6" customWidth="1" style="15" min="1" max="1"/>
    <col width="14" customWidth="1" style="15" min="2" max="2"/>
    <col width="18" customWidth="1" style="15" min="3" max="3"/>
    <col width="22" customWidth="1" style="15" min="4" max="4"/>
    <col width="32" customWidth="1" style="15" min="5" max="5"/>
    <col width="14" customWidth="1" style="15" min="6" max="6"/>
    <col width="18" customWidth="1" style="15" min="7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s="0" t="n">
        <v>1</v>
      </c>
      <c r="B2" s="0" t="inlineStr">
        <is>
          <t>LS2208 SR</t>
        </is>
      </c>
      <c r="C2" s="24">
        <f>'지브라-스캐너'!F2</f>
        <v/>
      </c>
      <c r="D2" s="0" t="inlineStr">
        <is>
          <t>인터페이스</t>
        </is>
      </c>
      <c r="E2" s="0" t="inlineStr">
        <is>
          <t>RS232C</t>
        </is>
      </c>
      <c r="F2" s="24" t="n">
        <v>24200</v>
      </c>
      <c r="G2" s="24">
        <f>C2+F2</f>
        <v/>
      </c>
      <c r="H2" s="24">
        <f>G2/110%</f>
        <v/>
      </c>
    </row>
    <row r="3">
      <c r="A3" s="0" t="n">
        <v>2</v>
      </c>
      <c r="B3" s="0" t="inlineStr">
        <is>
          <t>LS2208 SR</t>
        </is>
      </c>
      <c r="C3" s="24">
        <f>'지브라-스캐너'!F2</f>
        <v/>
      </c>
      <c r="D3" s="0" t="inlineStr">
        <is>
          <t>인터페이스</t>
        </is>
      </c>
      <c r="E3" s="0" t="inlineStr">
        <is>
          <t>본체만(케이블없음)</t>
        </is>
      </c>
      <c r="F3" s="24" t="n">
        <v>0</v>
      </c>
      <c r="G3" s="24">
        <f>C3+F3</f>
        <v/>
      </c>
      <c r="H3" s="24">
        <f>G3/110%</f>
        <v/>
      </c>
    </row>
    <row r="4">
      <c r="A4" s="0" t="n">
        <v>3</v>
      </c>
      <c r="B4" s="0" t="inlineStr">
        <is>
          <t>DS2278</t>
        </is>
      </c>
      <c r="C4" s="24">
        <f>'지브라-스캐너'!F3</f>
        <v/>
      </c>
      <c r="D4" s="0" t="inlineStr">
        <is>
          <t>인터페이스</t>
        </is>
      </c>
      <c r="E4" s="0" t="inlineStr">
        <is>
          <t>RS232C</t>
        </is>
      </c>
      <c r="F4" s="24" t="n">
        <v>24200</v>
      </c>
      <c r="G4" s="24">
        <f>C4+F4</f>
        <v/>
      </c>
      <c r="H4" s="24">
        <f>G4/110%</f>
        <v/>
      </c>
    </row>
    <row r="5">
      <c r="A5" s="0" t="n">
        <v>4</v>
      </c>
      <c r="B5" s="0" t="inlineStr">
        <is>
          <t>DS2278</t>
        </is>
      </c>
      <c r="C5" s="24">
        <f>'지브라-스캐너'!F3</f>
        <v/>
      </c>
      <c r="D5" s="0" t="inlineStr">
        <is>
          <t>인터페이스</t>
        </is>
      </c>
      <c r="E5" s="0" t="inlineStr">
        <is>
          <t>본체+크래들만(케이블없음)</t>
        </is>
      </c>
      <c r="F5" s="24" t="n">
        <v>0</v>
      </c>
      <c r="G5" s="24">
        <f>C5+F5</f>
        <v/>
      </c>
      <c r="H5" s="24">
        <f>G5/110%</f>
        <v/>
      </c>
    </row>
    <row r="6">
      <c r="A6" s="0" t="n">
        <v>5</v>
      </c>
      <c r="B6" s="0" t="inlineStr">
        <is>
          <t>DS2208</t>
        </is>
      </c>
      <c r="C6" s="24">
        <f>'지브라-스캐너'!F4</f>
        <v/>
      </c>
      <c r="D6" s="0" t="inlineStr">
        <is>
          <t>인터페이스 / 악세사리</t>
        </is>
      </c>
      <c r="E6" s="0" t="inlineStr">
        <is>
          <t>RS232C / 선택안함</t>
        </is>
      </c>
      <c r="F6" s="24" t="n">
        <v>24200</v>
      </c>
      <c r="G6" s="24">
        <f>C6+F6</f>
        <v/>
      </c>
      <c r="H6" s="24">
        <f>G6/110%</f>
        <v/>
      </c>
    </row>
    <row r="7">
      <c r="A7" s="0" t="n">
        <v>6</v>
      </c>
      <c r="B7" s="0" t="inlineStr">
        <is>
          <t>DS2208</t>
        </is>
      </c>
      <c r="C7" s="24">
        <f>'지브라-스캐너'!F4</f>
        <v/>
      </c>
      <c r="D7" s="0" t="inlineStr">
        <is>
          <t>인터페이스 / 악세사리</t>
        </is>
      </c>
      <c r="E7" s="0" t="inlineStr">
        <is>
          <t>RS232C / 스탠드거치대</t>
        </is>
      </c>
      <c r="F7" s="24" t="n">
        <v>79200</v>
      </c>
      <c r="G7" s="24">
        <f>C7+F7</f>
        <v/>
      </c>
      <c r="H7" s="24">
        <f>G7/110%</f>
        <v/>
      </c>
    </row>
    <row r="8">
      <c r="A8" s="0" t="n">
        <v>7</v>
      </c>
      <c r="B8" s="0" t="inlineStr">
        <is>
          <t>DS2208</t>
        </is>
      </c>
      <c r="C8" s="24">
        <f>'지브라-스캐너'!F4</f>
        <v/>
      </c>
      <c r="D8" s="0" t="inlineStr">
        <is>
          <t>인터페이스 / 악세사리</t>
        </is>
      </c>
      <c r="E8" s="0" t="inlineStr">
        <is>
          <t>본체만(케이블없음) / 선택안함</t>
        </is>
      </c>
      <c r="F8" s="24" t="n">
        <v>0</v>
      </c>
      <c r="G8" s="24">
        <f>C8+F8</f>
        <v/>
      </c>
      <c r="H8" s="24">
        <f>G8/110%</f>
        <v/>
      </c>
    </row>
    <row r="9">
      <c r="A9" s="0" t="n">
        <v>8</v>
      </c>
      <c r="B9" s="0" t="inlineStr">
        <is>
          <t>DS2208</t>
        </is>
      </c>
      <c r="C9" s="24">
        <f>'지브라-스캐너'!F4</f>
        <v/>
      </c>
      <c r="D9" s="0" t="inlineStr">
        <is>
          <t>인터페이스 / 악세사리</t>
        </is>
      </c>
      <c r="E9" s="0" t="inlineStr">
        <is>
          <t>본체만(케이블없음) / 스탠드거치대</t>
        </is>
      </c>
      <c r="F9" s="24" t="n">
        <v>55000</v>
      </c>
      <c r="G9" s="24">
        <f>C9+F9</f>
        <v/>
      </c>
      <c r="H9" s="24">
        <f>G9/110%</f>
        <v/>
      </c>
    </row>
    <row r="10">
      <c r="A10" s="0" t="n">
        <v>9</v>
      </c>
      <c r="B10" s="0" t="inlineStr">
        <is>
          <t>DS8108</t>
        </is>
      </c>
      <c r="C10" s="24">
        <f>'지브라-스캐너'!F5</f>
        <v/>
      </c>
      <c r="D10" s="0" t="inlineStr">
        <is>
          <t>인터페이스</t>
        </is>
      </c>
      <c r="E10" s="0" t="inlineStr">
        <is>
          <t>RS232C</t>
        </is>
      </c>
      <c r="F10" s="24" t="n">
        <v>24200</v>
      </c>
      <c r="G10" s="24">
        <f>C10+F10</f>
        <v/>
      </c>
      <c r="H10" s="24">
        <f>G10/110%</f>
        <v/>
      </c>
    </row>
    <row r="11">
      <c r="A11" s="0" t="n">
        <v>10</v>
      </c>
      <c r="B11" s="0" t="inlineStr">
        <is>
          <t>DS8108</t>
        </is>
      </c>
      <c r="C11" s="24">
        <f>'지브라-스캐너'!F5</f>
        <v/>
      </c>
      <c r="D11" s="0" t="inlineStr">
        <is>
          <t>인터페이스</t>
        </is>
      </c>
      <c r="E11" s="0" t="inlineStr">
        <is>
          <t>본체만</t>
        </is>
      </c>
      <c r="F11" s="24" t="n">
        <v>0</v>
      </c>
      <c r="G11" s="24">
        <f>C11+F11</f>
        <v/>
      </c>
      <c r="H11" s="24">
        <f>G11/110%</f>
        <v/>
      </c>
    </row>
    <row r="12">
      <c r="A12" s="0" t="n">
        <v>11</v>
      </c>
      <c r="B12" s="0" t="inlineStr">
        <is>
          <t>DS4608 SR</t>
        </is>
      </c>
      <c r="C12" s="24">
        <f>'지브라-스캐너'!F6</f>
        <v/>
      </c>
      <c r="D12" s="0" t="inlineStr">
        <is>
          <t>인터페이스 / 악세사리</t>
        </is>
      </c>
      <c r="E12" s="0" t="inlineStr">
        <is>
          <t>RS232C / 선택안함</t>
        </is>
      </c>
      <c r="F12" s="24" t="n">
        <v>24200</v>
      </c>
      <c r="G12" s="24">
        <f>C12+F12</f>
        <v/>
      </c>
      <c r="H12" s="24">
        <f>G12/110%</f>
        <v/>
      </c>
    </row>
    <row r="13">
      <c r="A13" s="0" t="n">
        <v>12</v>
      </c>
      <c r="B13" s="0" t="inlineStr">
        <is>
          <t>DS4608 SR</t>
        </is>
      </c>
      <c r="C13" s="24">
        <f>'지브라-스캐너'!F6</f>
        <v/>
      </c>
      <c r="D13" s="0" t="inlineStr">
        <is>
          <t>인터페이스 / 악세사리</t>
        </is>
      </c>
      <c r="E13" s="0" t="inlineStr">
        <is>
          <t>RS232C / 스탠드거치대</t>
        </is>
      </c>
      <c r="F13" s="24" t="n">
        <v>79200</v>
      </c>
      <c r="G13" s="24">
        <f>C13+F13</f>
        <v/>
      </c>
      <c r="H13" s="24">
        <f>G13/110%</f>
        <v/>
      </c>
    </row>
    <row r="14">
      <c r="A14" s="0" t="n">
        <v>13</v>
      </c>
      <c r="B14" s="0" t="inlineStr">
        <is>
          <t>DS4608 SR</t>
        </is>
      </c>
      <c r="C14" s="24">
        <f>'지브라-스캐너'!F6</f>
        <v/>
      </c>
      <c r="D14" s="0" t="inlineStr">
        <is>
          <t>인터페이스 / 악세사리</t>
        </is>
      </c>
      <c r="E14" s="0" t="inlineStr">
        <is>
          <t>본체만(케이블없음) / 선택안함</t>
        </is>
      </c>
      <c r="F14" s="24" t="n">
        <v>0</v>
      </c>
      <c r="G14" s="24">
        <f>C14+F14</f>
        <v/>
      </c>
      <c r="H14" s="24">
        <f>G14/110%</f>
        <v/>
      </c>
    </row>
    <row r="15">
      <c r="A15" s="0" t="n">
        <v>14</v>
      </c>
      <c r="B15" s="0" t="inlineStr">
        <is>
          <t>DS4608 SR</t>
        </is>
      </c>
      <c r="C15" s="24">
        <f>'지브라-스캐너'!F6</f>
        <v/>
      </c>
      <c r="D15" s="0" t="inlineStr">
        <is>
          <t>인터페이스 / 악세사리</t>
        </is>
      </c>
      <c r="E15" s="0" t="inlineStr">
        <is>
          <t>본체만(케이블없음) / 스탠드거치대</t>
        </is>
      </c>
      <c r="F15" s="24" t="n">
        <v>55000</v>
      </c>
      <c r="G15" s="24">
        <f>C15+F15</f>
        <v/>
      </c>
      <c r="H15" s="24">
        <f>G15/110%</f>
        <v/>
      </c>
    </row>
    <row r="16">
      <c r="A16" s="0" t="n">
        <v>15</v>
      </c>
      <c r="B16" s="0" t="inlineStr">
        <is>
          <t>LI2208</t>
        </is>
      </c>
      <c r="C16" s="24">
        <f>'지브라-스캐너'!F7</f>
        <v/>
      </c>
      <c r="D16" s="0" t="inlineStr">
        <is>
          <t>인터페이스</t>
        </is>
      </c>
      <c r="E16" s="0" t="inlineStr">
        <is>
          <t>RS232C</t>
        </is>
      </c>
      <c r="F16" s="24" t="n">
        <v>24200</v>
      </c>
      <c r="G16" s="24">
        <f>C16+F16</f>
        <v/>
      </c>
      <c r="H16" s="24">
        <f>G16/110%</f>
        <v/>
      </c>
    </row>
    <row r="17">
      <c r="A17" s="0" t="n">
        <v>16</v>
      </c>
      <c r="B17" s="0" t="inlineStr">
        <is>
          <t>DS3608 SR</t>
        </is>
      </c>
      <c r="C17" s="24">
        <f>'지브라-스캐너'!F9</f>
        <v/>
      </c>
      <c r="D17" s="0" t="inlineStr">
        <is>
          <t>인터페이스</t>
        </is>
      </c>
      <c r="E17" s="0" t="inlineStr">
        <is>
          <t>RS232C</t>
        </is>
      </c>
      <c r="F17" s="24" t="n">
        <v>24200</v>
      </c>
      <c r="G17" s="24">
        <f>C17+F17</f>
        <v/>
      </c>
      <c r="H17" s="24">
        <f>G17/110%</f>
        <v/>
      </c>
    </row>
    <row r="18">
      <c r="A18" s="0" t="n">
        <v>17</v>
      </c>
      <c r="B18" s="0" t="inlineStr">
        <is>
          <t>LI3678</t>
        </is>
      </c>
      <c r="C18" s="24">
        <f>'지브라-스캐너'!F10</f>
        <v/>
      </c>
      <c r="D18" s="0" t="inlineStr">
        <is>
          <t>인터페이스</t>
        </is>
      </c>
      <c r="E18" s="0" t="inlineStr">
        <is>
          <t>RS232C</t>
        </is>
      </c>
      <c r="F18" s="24" t="n">
        <v>33000</v>
      </c>
      <c r="G18" s="24">
        <f>C18+F18</f>
        <v/>
      </c>
      <c r="H18" s="24">
        <f>G18/110%</f>
        <v/>
      </c>
    </row>
    <row r="19">
      <c r="A19" s="0" t="n">
        <v>18</v>
      </c>
      <c r="B19" s="0" t="inlineStr">
        <is>
          <t>DS9908</t>
        </is>
      </c>
      <c r="C19" s="24">
        <f>'지브라-스캐너'!F11</f>
        <v/>
      </c>
      <c r="D19" s="0" t="inlineStr">
        <is>
          <t>인터페이스</t>
        </is>
      </c>
      <c r="E19" s="0" t="inlineStr">
        <is>
          <t>RS232C</t>
        </is>
      </c>
      <c r="F19" s="24" t="n">
        <v>24200</v>
      </c>
      <c r="G19" s="24">
        <f>C19+F19</f>
        <v/>
      </c>
      <c r="H19" s="24">
        <f>G19/110%</f>
        <v/>
      </c>
    </row>
    <row r="20">
      <c r="A20" s="0" t="n">
        <v>19</v>
      </c>
      <c r="B20" s="0" t="inlineStr">
        <is>
          <t>CS6080</t>
        </is>
      </c>
      <c r="C20" s="24">
        <f>'지브라-스캐너'!F12</f>
        <v/>
      </c>
      <c r="D20" s="0" t="inlineStr">
        <is>
          <t>스캔엔진</t>
        </is>
      </c>
      <c r="E20" s="0" t="inlineStr">
        <is>
          <t>2D</t>
        </is>
      </c>
      <c r="F20" s="24" t="n">
        <v>0</v>
      </c>
      <c r="G20" s="24">
        <f>C20+F20</f>
        <v/>
      </c>
      <c r="H20" s="24">
        <f>G20/110%</f>
        <v/>
      </c>
    </row>
    <row r="21">
      <c r="A21" s="0" t="n">
        <v>20</v>
      </c>
      <c r="B21" s="0" t="inlineStr">
        <is>
          <t>DS3678 SR</t>
        </is>
      </c>
      <c r="C21" s="24">
        <f>'지브라-스캐너'!F13</f>
        <v/>
      </c>
      <c r="D21" s="0" t="inlineStr">
        <is>
          <t>인터페이스</t>
        </is>
      </c>
      <c r="E21" s="0" t="inlineStr">
        <is>
          <t>SR버전+USB케이블</t>
        </is>
      </c>
      <c r="F21" s="24" t="n">
        <v>0</v>
      </c>
      <c r="G21" s="24">
        <f>C21+F21</f>
        <v/>
      </c>
      <c r="H21" s="24">
        <f>G21/110%</f>
        <v/>
      </c>
    </row>
    <row r="22">
      <c r="A22" s="0" t="n">
        <v>21</v>
      </c>
      <c r="B22" s="0" t="inlineStr">
        <is>
          <t>DS3678 SR</t>
        </is>
      </c>
      <c r="C22" s="24">
        <f>'지브라-스캐너'!F13</f>
        <v/>
      </c>
      <c r="D22" s="0" t="inlineStr">
        <is>
          <t>인터페이스</t>
        </is>
      </c>
      <c r="E22" s="0" t="inlineStr">
        <is>
          <t>HD버전+USB케이블</t>
        </is>
      </c>
      <c r="F22" s="24" t="n">
        <v>220000</v>
      </c>
      <c r="G22" s="24">
        <f>C22+F22</f>
        <v/>
      </c>
      <c r="H22" s="24">
        <f>G22/110%</f>
        <v/>
      </c>
    </row>
    <row r="23">
      <c r="A23" s="0" t="n">
        <v>22</v>
      </c>
      <c r="B23" s="0" t="inlineStr">
        <is>
          <t>DS3678 SR</t>
        </is>
      </c>
      <c r="C23" s="24">
        <f>'지브라-스캐너'!F13</f>
        <v/>
      </c>
      <c r="D23" s="0" t="inlineStr">
        <is>
          <t>인터페이스</t>
        </is>
      </c>
      <c r="E23" s="0" t="inlineStr">
        <is>
          <t>SR버전+RS232C케이블</t>
        </is>
      </c>
      <c r="F23" s="24" t="n">
        <v>33000</v>
      </c>
      <c r="G23" s="24">
        <f>C23+F23</f>
        <v/>
      </c>
      <c r="H23" s="24">
        <f>G23/110%</f>
        <v/>
      </c>
    </row>
    <row r="24">
      <c r="A24" s="0" t="n">
        <v>23</v>
      </c>
      <c r="B24" s="0" t="inlineStr">
        <is>
          <t>DS3678 SR</t>
        </is>
      </c>
      <c r="C24" s="24">
        <f>'지브라-스캐너'!F13</f>
        <v/>
      </c>
      <c r="D24" s="0" t="inlineStr">
        <is>
          <t>인터페이스</t>
        </is>
      </c>
      <c r="E24" s="0" t="inlineStr">
        <is>
          <t>HD버전+RS232C케이블</t>
        </is>
      </c>
      <c r="F24" s="24" t="n">
        <v>275000</v>
      </c>
      <c r="G24" s="24">
        <f>C24+F24</f>
        <v/>
      </c>
      <c r="H24" s="24">
        <f>G24/110%</f>
        <v/>
      </c>
    </row>
    <row r="25">
      <c r="A25" s="0" t="n">
        <v>24</v>
      </c>
      <c r="B25" s="0" t="inlineStr">
        <is>
          <t>DS4608 XD</t>
        </is>
      </c>
      <c r="C25" s="24">
        <f>'지브라-스캐너'!F15</f>
        <v/>
      </c>
      <c r="D25" s="0" t="inlineStr">
        <is>
          <t>인터페이스 / 악세사리</t>
        </is>
      </c>
      <c r="E25" s="0" t="inlineStr">
        <is>
          <t>RS232C / 선택안함</t>
        </is>
      </c>
      <c r="F25" s="24" t="n">
        <v>24200</v>
      </c>
      <c r="G25" s="24">
        <f>C25+F25</f>
        <v/>
      </c>
      <c r="H25" s="24">
        <f>G25/110%</f>
        <v/>
      </c>
    </row>
    <row r="26">
      <c r="A26" s="0" t="n">
        <v>25</v>
      </c>
      <c r="B26" s="0" t="inlineStr">
        <is>
          <t>DS4608 XD</t>
        </is>
      </c>
      <c r="C26" s="24">
        <f>'지브라-스캐너'!F15</f>
        <v/>
      </c>
      <c r="D26" s="0" t="inlineStr">
        <is>
          <t>인터페이스 / 악세사리</t>
        </is>
      </c>
      <c r="E26" s="0" t="inlineStr">
        <is>
          <t>RS232C / 스탠드거치대</t>
        </is>
      </c>
      <c r="F26" s="24" t="n">
        <v>79200</v>
      </c>
      <c r="G26" s="24">
        <f>C26+F26</f>
        <v/>
      </c>
      <c r="H26" s="24">
        <f>G26/110%</f>
        <v/>
      </c>
    </row>
    <row r="27">
      <c r="A27" s="0" t="n">
        <v>26</v>
      </c>
      <c r="B27" s="0" t="inlineStr">
        <is>
          <t>DS4608 XD</t>
        </is>
      </c>
      <c r="C27" s="24">
        <f>'지브라-스캐너'!F15</f>
        <v/>
      </c>
      <c r="D27" s="0" t="inlineStr">
        <is>
          <t>인터페이스 / 악세사리</t>
        </is>
      </c>
      <c r="E27" s="0" t="inlineStr">
        <is>
          <t>본체만(케이블없음) / 선택안함</t>
        </is>
      </c>
      <c r="F27" s="24" t="n">
        <v>0</v>
      </c>
      <c r="G27" s="24">
        <f>C27+F27</f>
        <v/>
      </c>
      <c r="H27" s="24">
        <f>G27/110%</f>
        <v/>
      </c>
    </row>
    <row r="28">
      <c r="A28" s="0" t="n">
        <v>27</v>
      </c>
      <c r="B28" s="0" t="inlineStr">
        <is>
          <t>DS4608 XD</t>
        </is>
      </c>
      <c r="C28" s="24">
        <f>'지브라-스캐너'!F15</f>
        <v/>
      </c>
      <c r="D28" s="0" t="inlineStr">
        <is>
          <t>인터페이스 / 악세사리</t>
        </is>
      </c>
      <c r="E28" s="0" t="inlineStr">
        <is>
          <t>본체만(케이블없음) / 스탠드거치대</t>
        </is>
      </c>
      <c r="F28" s="24" t="n">
        <v>55000</v>
      </c>
      <c r="G28" s="24">
        <f>C28+F28</f>
        <v/>
      </c>
      <c r="H28" s="24">
        <f>G28/110%</f>
        <v/>
      </c>
    </row>
    <row r="29">
      <c r="A29" s="0" t="n">
        <v>28</v>
      </c>
      <c r="B29" s="0" t="inlineStr">
        <is>
          <t>DS8288</t>
        </is>
      </c>
      <c r="C29" s="24">
        <f>'지브라-스캐너'!F16</f>
        <v/>
      </c>
      <c r="D29" s="0" t="inlineStr">
        <is>
          <t>인터페이스</t>
        </is>
      </c>
      <c r="E29" s="0" t="inlineStr">
        <is>
          <t>RS232C</t>
        </is>
      </c>
      <c r="F29" s="24" t="n">
        <v>24200</v>
      </c>
      <c r="G29" s="24">
        <f>C29+F29</f>
        <v/>
      </c>
      <c r="H29" s="24">
        <f>G29/110%</f>
        <v/>
      </c>
    </row>
    <row r="30">
      <c r="A30" s="0" t="n">
        <v>29</v>
      </c>
      <c r="B30" s="0" t="inlineStr">
        <is>
          <t>DS8208</t>
        </is>
      </c>
      <c r="C30" s="24">
        <f>'지브라-스캐너'!F17</f>
        <v/>
      </c>
      <c r="D30" s="0" t="inlineStr">
        <is>
          <t>인터페이스</t>
        </is>
      </c>
      <c r="E30" s="0" t="inlineStr">
        <is>
          <t>RS232C</t>
        </is>
      </c>
      <c r="F30" s="24" t="n">
        <v>24200</v>
      </c>
      <c r="G30" s="24">
        <f>C30+F30</f>
        <v/>
      </c>
      <c r="H30" s="24">
        <f>G30/110%</f>
        <v/>
      </c>
    </row>
    <row r="31">
      <c r="A31" s="0" t="n">
        <v>30</v>
      </c>
      <c r="B31" s="0" t="inlineStr">
        <is>
          <t>DS3678 XR</t>
        </is>
      </c>
      <c r="C31" s="24">
        <f>'지브라-스캐너'!F20</f>
        <v/>
      </c>
      <c r="D31" s="0" t="inlineStr">
        <is>
          <t>인터페이스</t>
        </is>
      </c>
      <c r="E31" s="0" t="inlineStr">
        <is>
          <t>RS232C</t>
        </is>
      </c>
      <c r="F31" s="24" t="n">
        <v>24200</v>
      </c>
      <c r="G31" s="24">
        <f>C31+F31</f>
        <v/>
      </c>
      <c r="H31" s="24">
        <f>G31/110%</f>
        <v/>
      </c>
    </row>
    <row r="32">
      <c r="A32" s="0" t="n">
        <v>31</v>
      </c>
      <c r="B32" s="0" t="inlineStr">
        <is>
          <t>DS5502</t>
        </is>
      </c>
      <c r="C32" s="24">
        <f>'지브라-스캐너'!F21</f>
        <v/>
      </c>
      <c r="D32" s="0" t="inlineStr">
        <is>
          <t>인터페이스</t>
        </is>
      </c>
      <c r="E32" s="0" t="inlineStr">
        <is>
          <t>RS232C</t>
        </is>
      </c>
      <c r="F32" s="24" t="n">
        <v>49500</v>
      </c>
      <c r="G32" s="24">
        <f>C32+F32</f>
        <v/>
      </c>
      <c r="H32" s="24">
        <f>G32/110%</f>
        <v/>
      </c>
    </row>
    <row r="33">
      <c r="A33" s="0" t="n">
        <v>32</v>
      </c>
      <c r="B33" s="0" t="inlineStr">
        <is>
          <t>DS4678</t>
        </is>
      </c>
      <c r="C33" s="24">
        <f>'지브라-스캐너'!F22</f>
        <v/>
      </c>
      <c r="D33" s="0" t="inlineStr">
        <is>
          <t>인터페이스</t>
        </is>
      </c>
      <c r="E33" s="0" t="inlineStr">
        <is>
          <t>본체+크래들만(케이블없음)</t>
        </is>
      </c>
      <c r="F33" s="24" t="n">
        <v>0</v>
      </c>
      <c r="G33" s="24">
        <f>C33+F33</f>
        <v/>
      </c>
      <c r="H33" s="24">
        <f>G33/110%</f>
        <v/>
      </c>
    </row>
    <row r="34">
      <c r="A34" s="0" t="n">
        <v>33</v>
      </c>
      <c r="B34" s="0" t="inlineStr">
        <is>
          <t>DS4678</t>
        </is>
      </c>
      <c r="C34" s="24">
        <f>'지브라-스캐너'!F22</f>
        <v/>
      </c>
      <c r="D34" s="0" t="inlineStr">
        <is>
          <t>인터페이스</t>
        </is>
      </c>
      <c r="E34" s="0" t="inlineStr">
        <is>
          <t>RS232C</t>
        </is>
      </c>
      <c r="F34" s="24" t="n">
        <v>24200</v>
      </c>
      <c r="G34" s="24">
        <f>C34+F34</f>
        <v/>
      </c>
      <c r="H34" s="24">
        <f>G34/110%</f>
        <v/>
      </c>
    </row>
    <row r="35">
      <c r="A35" s="0" t="n">
        <v>34</v>
      </c>
      <c r="B35" s="0" t="inlineStr">
        <is>
          <t>DS9308</t>
        </is>
      </c>
      <c r="C35" s="24">
        <f>'지브라-스캐너'!F24</f>
        <v/>
      </c>
      <c r="D35" s="0" t="inlineStr">
        <is>
          <t>인터페이스</t>
        </is>
      </c>
      <c r="E35" s="0" t="inlineStr">
        <is>
          <t>RS232C</t>
        </is>
      </c>
      <c r="F35" s="24" t="n">
        <v>24200</v>
      </c>
      <c r="G35" s="24">
        <f>C35+F35</f>
        <v/>
      </c>
      <c r="H35" s="24">
        <f>G35/110%</f>
        <v/>
      </c>
    </row>
    <row r="36">
      <c r="A36" s="0" t="n">
        <v>35</v>
      </c>
      <c r="B36" s="0" t="inlineStr">
        <is>
          <t>DS9308</t>
        </is>
      </c>
      <c r="C36" s="24">
        <f>'지브라-스캐너'!F24</f>
        <v/>
      </c>
      <c r="D36" s="0" t="inlineStr">
        <is>
          <t>인터페이스</t>
        </is>
      </c>
      <c r="E36" s="0" t="inlineStr">
        <is>
          <t>본체만(케이블없음)</t>
        </is>
      </c>
      <c r="F36" s="24" t="n">
        <v>0</v>
      </c>
      <c r="G36" s="24">
        <f>C36+F36</f>
        <v/>
      </c>
      <c r="H36" s="24">
        <f>G36/110%</f>
        <v/>
      </c>
    </row>
    <row r="37">
      <c r="A37" s="0" t="n">
        <v>36</v>
      </c>
      <c r="B37" s="0" t="inlineStr">
        <is>
          <t>DS8178</t>
        </is>
      </c>
      <c r="C37" s="24">
        <f>'지브라-스캐너'!F25</f>
        <v/>
      </c>
      <c r="D37" s="0" t="inlineStr">
        <is>
          <t>인터페이스</t>
        </is>
      </c>
      <c r="E37" s="0" t="inlineStr">
        <is>
          <t>RS232C</t>
        </is>
      </c>
      <c r="F37" s="24" t="n">
        <v>24200</v>
      </c>
      <c r="G37" s="24">
        <f>C37+F37</f>
        <v/>
      </c>
      <c r="H37" s="24">
        <f>G37/110%</f>
        <v/>
      </c>
    </row>
    <row r="38">
      <c r="A38" s="0" t="n">
        <v>37</v>
      </c>
      <c r="B38" s="0" t="inlineStr">
        <is>
          <t>DS8178</t>
        </is>
      </c>
      <c r="C38" s="24">
        <f>'지브라-스캐너'!F25</f>
        <v/>
      </c>
      <c r="D38" s="0" t="inlineStr">
        <is>
          <t>인터페이스</t>
        </is>
      </c>
      <c r="E38" s="0" t="inlineStr">
        <is>
          <t>본체+크래들만(케이블없음)</t>
        </is>
      </c>
      <c r="F38" s="24" t="n">
        <v>0</v>
      </c>
      <c r="G38" s="24">
        <f>C38+F38</f>
        <v/>
      </c>
      <c r="H38" s="24">
        <f>G38/110%</f>
        <v/>
      </c>
    </row>
    <row r="39">
      <c r="A39" s="0" t="n">
        <v>38</v>
      </c>
      <c r="B39" s="0" t="inlineStr">
        <is>
          <t>LI4278</t>
        </is>
      </c>
      <c r="C39" s="24">
        <f>'지브라-스캐너'!F26</f>
        <v/>
      </c>
      <c r="D39" s="0" t="inlineStr">
        <is>
          <t>인터페이스</t>
        </is>
      </c>
      <c r="E39" s="0" t="inlineStr">
        <is>
          <t>RS232C</t>
        </is>
      </c>
      <c r="F39" s="24" t="n">
        <v>24200</v>
      </c>
      <c r="G39" s="24">
        <f>C39+F39</f>
        <v/>
      </c>
      <c r="H39" s="24">
        <f>G39/110%</f>
        <v/>
      </c>
    </row>
    <row r="40">
      <c r="A40" s="0" t="n">
        <v>39</v>
      </c>
      <c r="B40" s="0" t="inlineStr">
        <is>
          <t>LI4278</t>
        </is>
      </c>
      <c r="C40" s="24">
        <f>'지브라-스캐너'!F26</f>
        <v/>
      </c>
      <c r="D40" s="0" t="inlineStr">
        <is>
          <t>인터페이스</t>
        </is>
      </c>
      <c r="E40" s="0" t="inlineStr">
        <is>
          <t>본체+크래들만(케이블없음)</t>
        </is>
      </c>
      <c r="F40" s="24" t="n">
        <v>0</v>
      </c>
      <c r="G40" s="24">
        <f>C40+F40</f>
        <v/>
      </c>
      <c r="H40" s="24">
        <f>G40/110%</f>
        <v/>
      </c>
    </row>
    <row r="41">
      <c r="A41" s="0" t="n">
        <v>40</v>
      </c>
      <c r="B41" s="0" t="inlineStr">
        <is>
          <t>RS6100</t>
        </is>
      </c>
      <c r="C41" s="24">
        <f>'지브라-스캐너'!F27</f>
        <v/>
      </c>
      <c r="D41" s="0" t="inlineStr">
        <is>
          <t>연결방식</t>
        </is>
      </c>
      <c r="E41" s="0" t="inlineStr">
        <is>
          <t>링트리거</t>
        </is>
      </c>
      <c r="F41" s="24" t="n">
        <v>0</v>
      </c>
      <c r="G41" s="24">
        <f>C41+F41</f>
        <v/>
      </c>
      <c r="H41" s="24">
        <f>G41/110%</f>
        <v/>
      </c>
    </row>
    <row r="42">
      <c r="A42" s="0" t="n">
        <v>41</v>
      </c>
      <c r="B42" s="0" t="inlineStr">
        <is>
          <t>FS10</t>
        </is>
      </c>
      <c r="C42" s="24">
        <f>'지브라-스캐너'!F28</f>
        <v/>
      </c>
      <c r="D42" s="0" t="inlineStr">
        <is>
          <t>본체</t>
        </is>
      </c>
      <c r="E42" s="0" t="inlineStr">
        <is>
          <t>본체</t>
        </is>
      </c>
      <c r="F42" s="24" t="n">
        <v>0</v>
      </c>
      <c r="G42" s="24">
        <f>C42+F42</f>
        <v/>
      </c>
      <c r="H42" s="24">
        <f>G42/110%</f>
        <v/>
      </c>
    </row>
    <row r="43">
      <c r="A43" s="0" t="n">
        <v>42</v>
      </c>
      <c r="B43" s="0" t="inlineStr">
        <is>
          <t>FS20</t>
        </is>
      </c>
      <c r="C43" s="24">
        <f>'지브라-스캐너'!F29</f>
        <v/>
      </c>
      <c r="D43" s="0" t="inlineStr">
        <is>
          <t>본체</t>
        </is>
      </c>
      <c r="E43" s="0" t="inlineStr">
        <is>
          <t>본체</t>
        </is>
      </c>
      <c r="F43" s="24" t="n">
        <v>0</v>
      </c>
      <c r="G43" s="24">
        <f>C43+F43</f>
        <v/>
      </c>
      <c r="H43" s="24">
        <f>G43/110%</f>
        <v/>
      </c>
    </row>
    <row r="44">
      <c r="A44" s="0" t="n">
        <v>43</v>
      </c>
      <c r="B44" s="0" t="inlineStr">
        <is>
          <t>FS40</t>
        </is>
      </c>
      <c r="C44" s="24">
        <f>'지브라-스캐너'!F30</f>
        <v/>
      </c>
      <c r="D44" s="0" t="inlineStr">
        <is>
          <t>본체</t>
        </is>
      </c>
      <c r="E44" s="0" t="inlineStr">
        <is>
          <t>본체</t>
        </is>
      </c>
      <c r="F44" s="24" t="n">
        <v>0</v>
      </c>
      <c r="G44" s="24">
        <f>C44+F44</f>
        <v/>
      </c>
      <c r="H44" s="24">
        <f>G44/110%</f>
        <v/>
      </c>
    </row>
    <row r="45">
      <c r="A45" s="0" t="n">
        <v>44</v>
      </c>
      <c r="B45" s="0" t="inlineStr">
        <is>
          <t>FS70</t>
        </is>
      </c>
      <c r="C45" s="24">
        <f>'지브라-스캐너'!F31</f>
        <v/>
      </c>
      <c r="D45" s="0" t="inlineStr">
        <is>
          <t>본체</t>
        </is>
      </c>
      <c r="E45" s="0" t="inlineStr">
        <is>
          <t>본체</t>
        </is>
      </c>
      <c r="F45" s="24" t="n">
        <v>0</v>
      </c>
      <c r="G45" s="24">
        <f>C45+F45</f>
        <v/>
      </c>
      <c r="H45" s="24">
        <f>G45/110%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2026-10-20T07:52:26Z</dcterms:modified>
  <cp:lastModifiedBy>우영 박</cp:lastModifiedBy>
</cp:coreProperties>
</file>