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  <fill>
      <patternFill patternType="solid">
        <fgColor rgb="FFFFF2CC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32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0" fontId="0" fillId="35" borderId="0" pivotButton="0" quotePrefix="0" xfId="0"/>
    <xf numFmtId="164" fontId="0" fillId="35" borderId="0" pivotButton="0" quotePrefix="0" xfId="0"/>
    <xf numFmtId="0" fontId="0" fillId="35" borderId="0" applyAlignment="1" pivotButton="0" quotePrefix="0" xfId="0">
      <alignment horizontal="center"/>
    </xf>
    <xf numFmtId="9" fontId="0" fillId="0" borderId="0" pivotButton="0" quotePrefix="0" xfId="0"/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  <col width="22" customWidth="1" style="16" min="18" max="18"/>
    <col width="16" customWidth="1" style="16" min="19" max="19"/>
    <col width="14" customWidth="1" style="16" min="20" max="20"/>
    <col width="20" customWidth="1" style="16" min="21" max="21"/>
    <col width="30" customWidth="1" style="16" min="22" max="22"/>
    <col width="16" customWidth="1" style="16" min="23" max="23"/>
    <col width="18" customWidth="1" style="16" min="24" max="24"/>
    <col width="20" customWidth="1" style="16" min="25" max="25"/>
    <col width="20" customWidth="1" style="16" min="26" max="26"/>
    <col width="18" customWidth="1" style="16" min="27" max="27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포함(O/X)</t>
        </is>
      </c>
      <c r="R1" s="4" t="inlineStr">
        <is>
          <t>USB포함가(18,000원 기준)</t>
        </is>
      </c>
      <c r="S1" s="4" t="inlineStr">
        <is>
          <t>타업체명</t>
        </is>
      </c>
      <c r="T1" s="4" t="inlineStr">
        <is>
          <t>타업체 판매가</t>
        </is>
      </c>
      <c r="U1" s="4" t="inlineStr">
        <is>
          <t>타업체 케이블포함(O/X)</t>
        </is>
      </c>
      <c r="V1" s="4" t="inlineStr">
        <is>
          <t>타업체 케이블가(포함이면 0, 모르면 18000)</t>
        </is>
      </c>
      <c r="W1" s="4" t="inlineStr">
        <is>
          <t>타업체 USB포함가</t>
        </is>
      </c>
      <c r="X1" s="4" t="inlineStr">
        <is>
          <t>가격차(우리-타업체)</t>
        </is>
      </c>
      <c r="Y1" s="4" t="inlineStr">
        <is>
          <t>USB포함 매입가(VAT별도)</t>
        </is>
      </c>
      <c r="Z1" s="4" t="inlineStr">
        <is>
          <t>현재 마진율(USB포함 기준)</t>
        </is>
      </c>
      <c r="AA1" s="4" t="inlineStr">
        <is>
          <t>타업체가 기준 마진율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RS232C (+24,200원)
본체만(케이블없음) (+0원)</t>
        </is>
      </c>
      <c r="Q2" s="21" t="inlineStr">
        <is>
          <t>X</t>
        </is>
      </c>
      <c r="R2" s="22">
        <f>F2+18000</f>
        <v/>
      </c>
      <c r="S2" s="23" t="n"/>
      <c r="T2" s="24" t="n"/>
      <c r="U2" s="25" t="n"/>
      <c r="V2" s="24" t="n"/>
      <c r="W2" s="22">
        <f>T2+V2</f>
        <v/>
      </c>
      <c r="X2" s="22">
        <f>R2-W2</f>
        <v/>
      </c>
      <c r="Y2" s="22">
        <f>D2+9000</f>
        <v/>
      </c>
      <c r="Z2" s="26">
        <f>1-(Y2/(R2/110%))</f>
        <v/>
      </c>
      <c r="AA2" s="26">
        <f>1-(Y2/(W2/110%))</f>
        <v/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7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RS232C (+24,200원)
본체+크래들만(케이블없음) (+0원)</t>
        </is>
      </c>
      <c r="Q3" s="21" t="inlineStr">
        <is>
          <t>X</t>
        </is>
      </c>
      <c r="R3" s="22">
        <f>F3+18000</f>
        <v/>
      </c>
      <c r="S3" s="23" t="n"/>
      <c r="T3" s="24" t="n"/>
      <c r="U3" s="25" t="n"/>
      <c r="V3" s="24" t="n"/>
      <c r="W3" s="22">
        <f>T3+V3</f>
        <v/>
      </c>
      <c r="X3" s="22">
        <f>R3-W3</f>
        <v/>
      </c>
      <c r="Y3" s="22">
        <f>D3+9000</f>
        <v/>
      </c>
      <c r="Z3" s="26">
        <f>1-(Y3/(R3/110%))</f>
        <v/>
      </c>
      <c r="AA3" s="26">
        <f>1-(Y3/(W3/110%))</f>
        <v/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7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RS232C / 선택안함 (+24,200원)
RS232C / 스탠드거치대 (+79,200원)
본체만(케이블없음) / 선택안함 (+0원)
본체만(케이블없음) / 스탠드거치대 (+55,000원)</t>
        </is>
      </c>
      <c r="Q4" s="21" t="inlineStr">
        <is>
          <t>X</t>
        </is>
      </c>
      <c r="R4" s="22">
        <f>F4+18000</f>
        <v/>
      </c>
      <c r="S4" s="23" t="n"/>
      <c r="T4" s="24" t="n"/>
      <c r="U4" s="25" t="n"/>
      <c r="V4" s="24" t="n"/>
      <c r="W4" s="22">
        <f>T4+V4</f>
        <v/>
      </c>
      <c r="X4" s="22">
        <f>R4-W4</f>
        <v/>
      </c>
      <c r="Y4" s="22">
        <f>D4+9000</f>
        <v/>
      </c>
      <c r="Z4" s="26">
        <f>1-(Y4/(R4/110%))</f>
        <v/>
      </c>
      <c r="AA4" s="26">
        <f>1-(Y4/(W4/110%))</f>
        <v/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7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RS232C (+24,200원)
본체만 (+0원)</t>
        </is>
      </c>
      <c r="Q5" s="21" t="inlineStr">
        <is>
          <t>X</t>
        </is>
      </c>
      <c r="R5" s="22">
        <f>F5+18000</f>
        <v/>
      </c>
      <c r="S5" s="23" t="n"/>
      <c r="T5" s="24" t="n"/>
      <c r="U5" s="25" t="n"/>
      <c r="V5" s="24" t="n"/>
      <c r="W5" s="22">
        <f>T5+V5</f>
        <v/>
      </c>
      <c r="X5" s="22">
        <f>R5-W5</f>
        <v/>
      </c>
      <c r="Y5" s="22">
        <f>D5+9000</f>
        <v/>
      </c>
      <c r="Z5" s="26">
        <f>1-(Y5/(R5/110%))</f>
        <v/>
      </c>
      <c r="AA5" s="26">
        <f>1-(Y5/(W5/110%))</f>
        <v/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7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RS232C / 선택안함 (+24,200원)
RS232C / 스탠드거치대 (+79,200원)
본체만(케이블없음) / 선택안함 (+0원)
본체만(케이블없음) / 스탠드거치대 (+55,000원)</t>
        </is>
      </c>
      <c r="Q6" s="21" t="inlineStr">
        <is>
          <t>X</t>
        </is>
      </c>
      <c r="R6" s="22">
        <f>F6+18000</f>
        <v/>
      </c>
      <c r="S6" s="23" t="n"/>
      <c r="T6" s="24" t="n"/>
      <c r="U6" s="25" t="n"/>
      <c r="V6" s="24" t="n"/>
      <c r="W6" s="22">
        <f>T6+V6</f>
        <v/>
      </c>
      <c r="X6" s="22">
        <f>R6-W6</f>
        <v/>
      </c>
      <c r="Y6" s="22">
        <f>D6+9000</f>
        <v/>
      </c>
      <c r="Z6" s="26">
        <f>1-(Y6/(R6/110%))</f>
        <v/>
      </c>
      <c r="AA6" s="26">
        <f>1-(Y6/(W6/110%))</f>
        <v/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7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RS232C (+24,200원)</t>
        </is>
      </c>
      <c r="Q7" s="21" t="inlineStr">
        <is>
          <t>X</t>
        </is>
      </c>
      <c r="R7" s="22">
        <f>F7+18000</f>
        <v/>
      </c>
      <c r="S7" s="23" t="n"/>
      <c r="T7" s="24" t="n"/>
      <c r="U7" s="25" t="n"/>
      <c r="V7" s="24" t="n"/>
      <c r="W7" s="22">
        <f>T7+V7</f>
        <v/>
      </c>
      <c r="X7" s="22">
        <f>R7-W7</f>
        <v/>
      </c>
      <c r="Y7" s="22">
        <f>D7+9000</f>
        <v/>
      </c>
      <c r="Z7" s="26">
        <f>1-(Y7/(R7/110%))</f>
        <v/>
      </c>
      <c r="AA7" s="26">
        <f>1-(Y7/(W7/110%))</f>
        <v/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7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없음</t>
        </is>
      </c>
      <c r="Q8" s="21" t="inlineStr">
        <is>
          <t>O</t>
        </is>
      </c>
      <c r="R8" s="22">
        <f>F8</f>
        <v/>
      </c>
      <c r="S8" s="23" t="n"/>
      <c r="T8" s="24" t="n"/>
      <c r="U8" s="25" t="n"/>
      <c r="V8" s="24" t="n"/>
      <c r="W8" s="22">
        <f>T8+V8</f>
        <v/>
      </c>
      <c r="X8" s="22">
        <f>R8-W8</f>
        <v/>
      </c>
      <c r="Y8" s="22">
        <f>D8</f>
        <v/>
      </c>
      <c r="Z8" s="26">
        <f>1-(Y8/(R8/110%))</f>
        <v/>
      </c>
      <c r="AA8" s="26">
        <f>1-(Y8/(W8/110%))</f>
        <v/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7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RS232C (+24,200원)</t>
        </is>
      </c>
      <c r="Q9" s="21" t="inlineStr">
        <is>
          <t>O</t>
        </is>
      </c>
      <c r="R9" s="22">
        <f>F9</f>
        <v/>
      </c>
      <c r="S9" s="23" t="n"/>
      <c r="T9" s="24" t="n"/>
      <c r="U9" s="25" t="n"/>
      <c r="V9" s="24" t="n"/>
      <c r="W9" s="22">
        <f>T9+V9</f>
        <v/>
      </c>
      <c r="X9" s="22">
        <f>R9-W9</f>
        <v/>
      </c>
      <c r="Y9" s="22">
        <f>D9</f>
        <v/>
      </c>
      <c r="Z9" s="26">
        <f>1-(Y9/(R9/110%))</f>
        <v/>
      </c>
      <c r="AA9" s="26">
        <f>1-(Y9/(W9/110%))</f>
        <v/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7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RS232C (+33,000원)</t>
        </is>
      </c>
      <c r="Q10" s="21" t="inlineStr">
        <is>
          <t>O</t>
        </is>
      </c>
      <c r="R10" s="22">
        <f>F10</f>
        <v/>
      </c>
      <c r="S10" s="23" t="n"/>
      <c r="T10" s="24" t="n"/>
      <c r="U10" s="25" t="n"/>
      <c r="V10" s="24" t="n"/>
      <c r="W10" s="22">
        <f>T10+V10</f>
        <v/>
      </c>
      <c r="X10" s="22">
        <f>R10-W10</f>
        <v/>
      </c>
      <c r="Y10" s="22">
        <f>D10</f>
        <v/>
      </c>
      <c r="Z10" s="26">
        <f>1-(Y10/(R10/110%))</f>
        <v/>
      </c>
      <c r="AA10" s="26">
        <f>1-(Y10/(W10/110%))</f>
        <v/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8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RS232C (+24,200원)</t>
        </is>
      </c>
      <c r="Q11" s="21" t="inlineStr">
        <is>
          <t>X</t>
        </is>
      </c>
      <c r="R11" s="22">
        <f>F11+18000</f>
        <v/>
      </c>
      <c r="S11" s="23" t="n"/>
      <c r="T11" s="24" t="n"/>
      <c r="U11" s="25" t="n"/>
      <c r="V11" s="24" t="n"/>
      <c r="W11" s="22">
        <f>T11+V11</f>
        <v/>
      </c>
      <c r="X11" s="22">
        <f>R11-W11</f>
        <v/>
      </c>
      <c r="Y11" s="22">
        <f>D11+9000</f>
        <v/>
      </c>
      <c r="Z11" s="26">
        <f>1-(Y11/(R11/110%))</f>
        <v/>
      </c>
      <c r="AA11" s="26">
        <f>1-(Y11/(W11/110%))</f>
        <v/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7" t="inlineStr">
        <is>
          <t>유니정보</t>
        </is>
      </c>
      <c r="M12" s="3">
        <f>1-(D12/G12)</f>
        <v/>
      </c>
      <c r="N12" s="3">
        <f>1-(D12/K12)</f>
        <v/>
      </c>
      <c r="O12" t="inlineStr">
        <is>
          <t>단종</t>
        </is>
      </c>
      <c r="P12" t="inlineStr">
        <is>
          <t>-</t>
        </is>
      </c>
      <c r="Q12" t="inlineStr">
        <is>
          <t>-</t>
        </is>
      </c>
      <c r="S12" s="23" t="n"/>
      <c r="T12" s="24" t="n"/>
      <c r="U12" s="25" t="n"/>
      <c r="V12" s="24" t="n"/>
      <c r="W12" s="22" t="n"/>
      <c r="X12" s="22" t="n"/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7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  <c r="S13" s="23" t="n"/>
      <c r="T13" s="24" t="n"/>
      <c r="U13" s="25" t="n"/>
      <c r="V13" s="24" t="n"/>
      <c r="W13" s="22" t="n"/>
      <c r="X13" s="22" t="n"/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7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  <c r="R14" s="22">
        <f>F14</f>
        <v/>
      </c>
      <c r="S14" s="23" t="n"/>
      <c r="T14" s="24" t="n"/>
      <c r="U14" s="25" t="n"/>
      <c r="V14" s="24" t="n"/>
      <c r="W14" s="22">
        <f>T14+V14</f>
        <v/>
      </c>
      <c r="X14" s="22">
        <f>R14-W14</f>
        <v/>
      </c>
      <c r="Y14" s="22">
        <f>D14</f>
        <v/>
      </c>
      <c r="Z14" s="26">
        <f>1-(Y14/(R14/110%))</f>
        <v/>
      </c>
      <c r="AA14" s="26">
        <f>1-(Y14/(W14/110%))</f>
        <v/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7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RS232C / 선택안함 (+24,200원)
RS232C / 스탠드거치대 (+79,200원)
본체만(케이블없음) / 선택안함 (+0원)
본체만(케이블없음) / 스탠드거치대 (+55,000원)</t>
        </is>
      </c>
      <c r="Q15" s="21" t="inlineStr">
        <is>
          <t>X</t>
        </is>
      </c>
      <c r="R15" s="22">
        <f>F15+18000</f>
        <v/>
      </c>
      <c r="S15" s="23" t="n"/>
      <c r="T15" s="24" t="n"/>
      <c r="U15" s="25" t="n"/>
      <c r="V15" s="24" t="n"/>
      <c r="W15" s="22">
        <f>T15+V15</f>
        <v/>
      </c>
      <c r="X15" s="22">
        <f>R15-W15</f>
        <v/>
      </c>
      <c r="Y15" s="22">
        <f>D15+9000</f>
        <v/>
      </c>
      <c r="Z15" s="26">
        <f>1-(Y15/(R15/110%))</f>
        <v/>
      </c>
      <c r="AA15" s="26">
        <f>1-(Y15/(W15/110%))</f>
        <v/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7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</t>
        </is>
      </c>
      <c r="Q16" s="21" t="inlineStr">
        <is>
          <t>O</t>
        </is>
      </c>
      <c r="R16" s="22">
        <f>F16</f>
        <v/>
      </c>
      <c r="S16" s="23" t="n"/>
      <c r="T16" s="24" t="n"/>
      <c r="U16" s="25" t="n"/>
      <c r="V16" s="24" t="n"/>
      <c r="W16" s="22">
        <f>T16+V16</f>
        <v/>
      </c>
      <c r="X16" s="22">
        <f>R16-W16</f>
        <v/>
      </c>
      <c r="Y16" s="22">
        <f>D16</f>
        <v/>
      </c>
      <c r="Z16" s="26">
        <f>1-(Y16/(R16/110%))</f>
        <v/>
      </c>
      <c r="AA16" s="26">
        <f>1-(Y16/(W16/110%))</f>
        <v/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7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</t>
        </is>
      </c>
      <c r="Q17" s="21" t="inlineStr">
        <is>
          <t>O</t>
        </is>
      </c>
      <c r="R17" s="22">
        <f>F17</f>
        <v/>
      </c>
      <c r="S17" s="23" t="n"/>
      <c r="T17" s="24" t="n"/>
      <c r="U17" s="25" t="n"/>
      <c r="V17" s="24" t="n"/>
      <c r="W17" s="22">
        <f>T17+V17</f>
        <v/>
      </c>
      <c r="X17" s="22">
        <f>R17-W17</f>
        <v/>
      </c>
      <c r="Y17" s="22">
        <f>D17</f>
        <v/>
      </c>
      <c r="Z17" s="26">
        <f>1-(Y17/(R17/110%))</f>
        <v/>
      </c>
      <c r="AA17" s="26">
        <f>1-(Y17/(W17/110%))</f>
        <v/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7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없음</t>
        </is>
      </c>
      <c r="Q18" s="21" t="inlineStr">
        <is>
          <t>O</t>
        </is>
      </c>
      <c r="R18" s="22">
        <f>F18</f>
        <v/>
      </c>
      <c r="S18" s="23" t="n"/>
      <c r="T18" s="24" t="n"/>
      <c r="U18" s="25" t="n"/>
      <c r="V18" s="24" t="n"/>
      <c r="W18" s="22">
        <f>T18+V18</f>
        <v/>
      </c>
      <c r="X18" s="22">
        <f>R18-W18</f>
        <v/>
      </c>
      <c r="Y18" s="22">
        <f>D18</f>
        <v/>
      </c>
      <c r="Z18" s="26">
        <f>1-(Y18/(R18/110%))</f>
        <v/>
      </c>
      <c r="AA18" s="26">
        <f>1-(Y18/(W18/110%))</f>
        <v/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7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없음</t>
        </is>
      </c>
      <c r="Q19" s="21" t="inlineStr">
        <is>
          <t>O</t>
        </is>
      </c>
      <c r="R19" s="22">
        <f>F19</f>
        <v/>
      </c>
      <c r="S19" s="23" t="n"/>
      <c r="T19" s="24" t="n"/>
      <c r="U19" s="25" t="n"/>
      <c r="V19" s="24" t="n"/>
      <c r="W19" s="22">
        <f>T19+V19</f>
        <v/>
      </c>
      <c r="X19" s="22">
        <f>R19-W19</f>
        <v/>
      </c>
      <c r="Y19" s="22">
        <f>D19</f>
        <v/>
      </c>
      <c r="Z19" s="26">
        <f>1-(Y19/(R19/110%))</f>
        <v/>
      </c>
      <c r="AA19" s="26">
        <f>1-(Y19/(W19/110%))</f>
        <v/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7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RS232C (+24,200원)</t>
        </is>
      </c>
      <c r="Q20" s="21" t="inlineStr">
        <is>
          <t>O</t>
        </is>
      </c>
      <c r="R20" s="22">
        <f>F20</f>
        <v/>
      </c>
      <c r="S20" s="23" t="n"/>
      <c r="T20" s="24" t="n"/>
      <c r="U20" s="25" t="n"/>
      <c r="V20" s="24" t="n"/>
      <c r="W20" s="22">
        <f>T20+V20</f>
        <v/>
      </c>
      <c r="X20" s="22">
        <f>R20-W20</f>
        <v/>
      </c>
      <c r="Y20" s="22">
        <f>D20</f>
        <v/>
      </c>
      <c r="Z20" s="26">
        <f>1-(Y20/(R20/110%))</f>
        <v/>
      </c>
      <c r="AA20" s="26">
        <f>1-(Y20/(W20/110%))</f>
        <v/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7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</t>
        </is>
      </c>
      <c r="Q21" s="21" t="inlineStr">
        <is>
          <t>O</t>
        </is>
      </c>
      <c r="R21" s="22">
        <f>F21</f>
        <v/>
      </c>
      <c r="S21" s="23" t="n"/>
      <c r="T21" s="24" t="n"/>
      <c r="U21" s="25" t="n"/>
      <c r="V21" s="24" t="n"/>
      <c r="W21" s="22">
        <f>T21+V21</f>
        <v/>
      </c>
      <c r="X21" s="22">
        <f>R21-W21</f>
        <v/>
      </c>
      <c r="Y21" s="22">
        <f>D21</f>
        <v/>
      </c>
      <c r="Z21" s="26">
        <f>1-(Y21/(R21/110%))</f>
        <v/>
      </c>
      <c r="AA21" s="26">
        <f>1-(Y21/(W21/110%))</f>
        <v/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7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RS232C (+24,200원)</t>
        </is>
      </c>
      <c r="Q22" s="21" t="inlineStr">
        <is>
          <t>X</t>
        </is>
      </c>
      <c r="R22" s="22">
        <f>F22+18000</f>
        <v/>
      </c>
      <c r="S22" s="23" t="n"/>
      <c r="T22" s="24" t="n"/>
      <c r="U22" s="25" t="n"/>
      <c r="V22" s="24" t="n"/>
      <c r="W22" s="22">
        <f>T22+V22</f>
        <v/>
      </c>
      <c r="X22" s="22">
        <f>R22-W22</f>
        <v/>
      </c>
      <c r="Y22" s="22">
        <f>D22+9000</f>
        <v/>
      </c>
      <c r="Z22" s="26">
        <f>1-(Y22/(R22/110%))</f>
        <v/>
      </c>
      <c r="AA22" s="26">
        <f>1-(Y22/(W22/110%))</f>
        <v/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7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없음</t>
        </is>
      </c>
      <c r="Q23" s="21" t="inlineStr">
        <is>
          <t>O</t>
        </is>
      </c>
      <c r="R23" s="22">
        <f>F23</f>
        <v/>
      </c>
      <c r="S23" s="23" t="n"/>
      <c r="T23" s="24" t="n"/>
      <c r="U23" s="25" t="n"/>
      <c r="V23" s="24" t="n"/>
      <c r="W23" s="22">
        <f>T23+V23</f>
        <v/>
      </c>
      <c r="X23" s="22">
        <f>R23-W23</f>
        <v/>
      </c>
      <c r="Y23" s="22">
        <f>D23</f>
        <v/>
      </c>
      <c r="Z23" s="26">
        <f>1-(Y23/(R23/110%))</f>
        <v/>
      </c>
      <c r="AA23" s="26">
        <f>1-(Y23/(W23/110%))</f>
        <v/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7" t="n"/>
      <c r="M24" s="3" t="n"/>
      <c r="N24" s="3" t="n"/>
      <c r="O24" t="inlineStr">
        <is>
          <t>엑셀 누락분 추가</t>
        </is>
      </c>
      <c r="P24" s="20" t="inlineStr">
        <is>
          <t>RS232C (+24,200원)
본체만(케이블없음) (+0원)</t>
        </is>
      </c>
      <c r="Q24" s="21" t="inlineStr">
        <is>
          <t>X</t>
        </is>
      </c>
      <c r="R24" s="22">
        <f>F24+18000</f>
        <v/>
      </c>
      <c r="S24" s="23" t="n"/>
      <c r="T24" s="24" t="n"/>
      <c r="U24" s="25" t="n"/>
      <c r="V24" s="24" t="n"/>
      <c r="W24" s="22">
        <f>T24+V24</f>
        <v/>
      </c>
      <c r="X24" s="22">
        <f>R24-W24</f>
        <v/>
      </c>
      <c r="Y24" s="22">
        <f>D24+9000</f>
        <v/>
      </c>
      <c r="Z24" s="26">
        <f>1-(Y24/(R24/110%))</f>
        <v/>
      </c>
      <c r="AA24" s="26">
        <f>1-(Y24/(W24/110%))</f>
        <v/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7" t="n"/>
      <c r="M25" s="3" t="n"/>
      <c r="N25" s="3" t="n"/>
      <c r="O25" t="inlineStr">
        <is>
          <t>엑셀 누락분 추가</t>
        </is>
      </c>
      <c r="P25" s="20" t="inlineStr">
        <is>
          <t>RS232C (+24,200원)
본체+크래들만(케이블없음) (+0원)</t>
        </is>
      </c>
      <c r="Q25" s="21" t="inlineStr">
        <is>
          <t>X</t>
        </is>
      </c>
      <c r="R25" s="22">
        <f>F25+18000</f>
        <v/>
      </c>
      <c r="S25" s="23" t="n"/>
      <c r="T25" s="24" t="n"/>
      <c r="U25" s="25" t="n"/>
      <c r="V25" s="24" t="n"/>
      <c r="W25" s="22">
        <f>T25+V25</f>
        <v/>
      </c>
      <c r="X25" s="22">
        <f>R25-W25</f>
        <v/>
      </c>
      <c r="Y25" s="22">
        <f>D25+9000</f>
        <v/>
      </c>
      <c r="Z25" s="26">
        <f>1-(Y25/(R25/110%))</f>
        <v/>
      </c>
      <c r="AA25" s="26">
        <f>1-(Y25/(W25/110%))</f>
        <v/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7" t="n"/>
      <c r="M26" s="3" t="n"/>
      <c r="N26" s="3" t="n"/>
      <c r="O26" t="inlineStr">
        <is>
          <t>엑셀 누락분 추가</t>
        </is>
      </c>
      <c r="P26" s="20" t="inlineStr">
        <is>
          <t>RS232C (+24,200원)
본체+크래들만(케이블없음) (+0원)</t>
        </is>
      </c>
      <c r="Q26" s="21" t="inlineStr">
        <is>
          <t>X</t>
        </is>
      </c>
      <c r="R26" s="22">
        <f>F26+18000</f>
        <v/>
      </c>
      <c r="S26" s="23" t="n"/>
      <c r="T26" s="24" t="n"/>
      <c r="U26" s="25" t="n"/>
      <c r="V26" s="24" t="n"/>
      <c r="W26" s="22">
        <f>T26+V26</f>
        <v/>
      </c>
      <c r="X26" s="22">
        <f>R26-W26</f>
        <v/>
      </c>
      <c r="Y26" s="22">
        <f>D26+9000</f>
        <v/>
      </c>
      <c r="Z26" s="26">
        <f>1-(Y26/(R26/110%))</f>
        <v/>
      </c>
      <c r="AA26" s="26">
        <f>1-(Y26/(W26/110%))</f>
        <v/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7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  <c r="S27" s="23" t="n"/>
      <c r="T27" s="24" t="n"/>
      <c r="U27" s="25" t="n"/>
      <c r="V27" s="24" t="n"/>
      <c r="W27" s="22" t="n"/>
      <c r="X27" s="22" t="n"/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7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  <c r="S28" s="23" t="n"/>
      <c r="T28" s="24" t="n"/>
      <c r="U28" s="25" t="n"/>
      <c r="V28" s="24" t="n"/>
      <c r="W28" s="22" t="n"/>
      <c r="X28" s="22" t="n"/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7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  <c r="S29" s="23" t="n"/>
      <c r="T29" s="24" t="n"/>
      <c r="U29" s="25" t="n"/>
      <c r="V29" s="24" t="n"/>
      <c r="W29" s="22" t="n"/>
      <c r="X29" s="22" t="n"/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7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  <c r="S30" s="23" t="n"/>
      <c r="T30" s="24" t="n"/>
      <c r="U30" s="25" t="n"/>
      <c r="V30" s="24" t="n"/>
      <c r="W30" s="22" t="n"/>
      <c r="X30" s="22" t="n"/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7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  <c r="S31" s="23" t="n"/>
      <c r="T31" s="24" t="n"/>
      <c r="U31" s="25" t="n"/>
      <c r="V31" s="24" t="n"/>
      <c r="W31" s="22" t="n"/>
      <c r="X31" s="22" t="n"/>
    </row>
  </sheetData>
  <dataValidations count="1">
    <dataValidation sqref="U2:U31" showDropDown="0" showInputMessage="0" showErrorMessage="0" allowBlank="1" type="list">
      <formula1>"O,X"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9" t="n">
        <v>1840000</v>
      </c>
      <c r="E4" s="29">
        <f>D4*1.1</f>
        <v/>
      </c>
      <c r="F4" s="29" t="n">
        <v>2640000</v>
      </c>
      <c r="G4" s="29">
        <f>F4/110%</f>
        <v/>
      </c>
      <c r="H4" s="30" t="n">
        <v>2500000</v>
      </c>
      <c r="I4" s="30">
        <f>ROUND(H4*1.1/0.95,-1)</f>
        <v/>
      </c>
      <c r="J4" s="29" t="n">
        <v>2640000</v>
      </c>
      <c r="K4" s="29">
        <f>J4/1.1</f>
        <v/>
      </c>
      <c r="L4" s="29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9" t="n">
        <v>2500000</v>
      </c>
      <c r="E8" s="29">
        <f>D8*1.1</f>
        <v/>
      </c>
      <c r="F8" s="29" t="n">
        <v>2640000</v>
      </c>
      <c r="G8" s="30" t="n"/>
      <c r="H8" s="30" t="n">
        <v>3000000</v>
      </c>
      <c r="I8" s="30">
        <f>ROUND(H8*1.1/0.95,-1)</f>
        <v/>
      </c>
      <c r="J8" s="29" t="n">
        <v>2577960</v>
      </c>
      <c r="K8" s="29">
        <f>J8/1.1</f>
        <v/>
      </c>
      <c r="L8" s="29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9" t="n">
        <v>1490000</v>
      </c>
      <c r="E10" s="29">
        <f>D10*1.1</f>
        <v/>
      </c>
      <c r="F10" s="29" t="n">
        <v>2750000</v>
      </c>
      <c r="G10" s="29">
        <f>F10/110%</f>
        <v/>
      </c>
      <c r="H10" s="29" t="n"/>
      <c r="I10" s="29" t="n"/>
      <c r="J10" s="29" t="n">
        <v>2750000</v>
      </c>
      <c r="K10" s="29">
        <f>J10/1.1</f>
        <v/>
      </c>
      <c r="L10" s="29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3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2">
        <f>'지브라-스캐너'!F2</f>
        <v/>
      </c>
      <c r="D2" t="inlineStr">
        <is>
          <t>인터페이스</t>
        </is>
      </c>
      <c r="E2" t="inlineStr">
        <is>
          <t>RS232C</t>
        </is>
      </c>
      <c r="F2" s="22" t="n">
        <v>24200</v>
      </c>
      <c r="G2" s="22">
        <f>C2+F2</f>
        <v/>
      </c>
      <c r="H2" s="22">
        <f>G2/110%</f>
        <v/>
      </c>
    </row>
    <row r="3">
      <c r="A3" t="n">
        <v>2</v>
      </c>
      <c r="B3" t="inlineStr">
        <is>
          <t>LS2208 SR</t>
        </is>
      </c>
      <c r="C3" s="22">
        <f>'지브라-스캐너'!F2</f>
        <v/>
      </c>
      <c r="D3" t="inlineStr">
        <is>
          <t>인터페이스</t>
        </is>
      </c>
      <c r="E3" t="inlineStr">
        <is>
          <t>본체만(케이블없음)</t>
        </is>
      </c>
      <c r="F3" s="22" t="n">
        <v>0</v>
      </c>
      <c r="G3" s="22">
        <f>C3+F3</f>
        <v/>
      </c>
      <c r="H3" s="22">
        <f>G3/110%</f>
        <v/>
      </c>
    </row>
    <row r="4">
      <c r="A4" t="n">
        <v>3</v>
      </c>
      <c r="B4" t="inlineStr">
        <is>
          <t>DS2278</t>
        </is>
      </c>
      <c r="C4" s="22">
        <f>'지브라-스캐너'!F3</f>
        <v/>
      </c>
      <c r="D4" t="inlineStr">
        <is>
          <t>인터페이스</t>
        </is>
      </c>
      <c r="E4" t="inlineStr">
        <is>
          <t>RS232C</t>
        </is>
      </c>
      <c r="F4" s="22" t="n">
        <v>24200</v>
      </c>
      <c r="G4" s="22">
        <f>C4+F4</f>
        <v/>
      </c>
      <c r="H4" s="22">
        <f>G4/110%</f>
        <v/>
      </c>
    </row>
    <row r="5">
      <c r="A5" t="n">
        <v>4</v>
      </c>
      <c r="B5" t="inlineStr">
        <is>
          <t>DS2278</t>
        </is>
      </c>
      <c r="C5" s="22">
        <f>'지브라-스캐너'!F3</f>
        <v/>
      </c>
      <c r="D5" t="inlineStr">
        <is>
          <t>인터페이스</t>
        </is>
      </c>
      <c r="E5" t="inlineStr">
        <is>
          <t>본체+크래들만(케이블없음)</t>
        </is>
      </c>
      <c r="F5" s="22" t="n">
        <v>0</v>
      </c>
      <c r="G5" s="22">
        <f>C5+F5</f>
        <v/>
      </c>
      <c r="H5" s="22">
        <f>G5/110%</f>
        <v/>
      </c>
    </row>
    <row r="6">
      <c r="A6" t="n">
        <v>5</v>
      </c>
      <c r="B6" t="inlineStr">
        <is>
          <t>DS2208</t>
        </is>
      </c>
      <c r="C6" s="22">
        <f>'지브라-스캐너'!F4</f>
        <v/>
      </c>
      <c r="D6" t="inlineStr">
        <is>
          <t>인터페이스 / 악세사리</t>
        </is>
      </c>
      <c r="E6" t="inlineStr">
        <is>
          <t>RS232C / 선택안함</t>
        </is>
      </c>
      <c r="F6" s="22" t="n">
        <v>24200</v>
      </c>
      <c r="G6" s="22">
        <f>C6+F6</f>
        <v/>
      </c>
      <c r="H6" s="22">
        <f>G6/110%</f>
        <v/>
      </c>
    </row>
    <row r="7">
      <c r="A7" t="n">
        <v>6</v>
      </c>
      <c r="B7" t="inlineStr">
        <is>
          <t>DS2208</t>
        </is>
      </c>
      <c r="C7" s="22">
        <f>'지브라-스캐너'!F4</f>
        <v/>
      </c>
      <c r="D7" t="inlineStr">
        <is>
          <t>인터페이스 / 악세사리</t>
        </is>
      </c>
      <c r="E7" t="inlineStr">
        <is>
          <t>RS232C / 스탠드거치대</t>
        </is>
      </c>
      <c r="F7" s="22" t="n">
        <v>79200</v>
      </c>
      <c r="G7" s="22">
        <f>C7+F7</f>
        <v/>
      </c>
      <c r="H7" s="22">
        <f>G7/110%</f>
        <v/>
      </c>
    </row>
    <row r="8">
      <c r="A8" t="n">
        <v>7</v>
      </c>
      <c r="B8" t="inlineStr">
        <is>
          <t>DS2208</t>
        </is>
      </c>
      <c r="C8" s="22">
        <f>'지브라-스캐너'!F4</f>
        <v/>
      </c>
      <c r="D8" t="inlineStr">
        <is>
          <t>인터페이스 / 악세사리</t>
        </is>
      </c>
      <c r="E8" t="inlineStr">
        <is>
          <t>본체만(케이블없음) / 선택안함</t>
        </is>
      </c>
      <c r="F8" s="22" t="n">
        <v>0</v>
      </c>
      <c r="G8" s="22">
        <f>C8+F8</f>
        <v/>
      </c>
      <c r="H8" s="22">
        <f>G8/110%</f>
        <v/>
      </c>
    </row>
    <row r="9">
      <c r="A9" t="n">
        <v>8</v>
      </c>
      <c r="B9" t="inlineStr">
        <is>
          <t>DS2208</t>
        </is>
      </c>
      <c r="C9" s="22">
        <f>'지브라-스캐너'!F4</f>
        <v/>
      </c>
      <c r="D9" t="inlineStr">
        <is>
          <t>인터페이스 / 악세사리</t>
        </is>
      </c>
      <c r="E9" t="inlineStr">
        <is>
          <t>본체만(케이블없음) / 스탠드거치대</t>
        </is>
      </c>
      <c r="F9" s="22" t="n">
        <v>55000</v>
      </c>
      <c r="G9" s="22">
        <f>C9+F9</f>
        <v/>
      </c>
      <c r="H9" s="22">
        <f>G9/110%</f>
        <v/>
      </c>
    </row>
    <row r="10">
      <c r="A10" t="n">
        <v>9</v>
      </c>
      <c r="B10" t="inlineStr">
        <is>
          <t>DS8108</t>
        </is>
      </c>
      <c r="C10" s="22">
        <f>'지브라-스캐너'!F5</f>
        <v/>
      </c>
      <c r="D10" t="inlineStr">
        <is>
          <t>인터페이스</t>
        </is>
      </c>
      <c r="E10" t="inlineStr">
        <is>
          <t>RS232C</t>
        </is>
      </c>
      <c r="F10" s="22" t="n">
        <v>24200</v>
      </c>
      <c r="G10" s="22">
        <f>C10+F10</f>
        <v/>
      </c>
      <c r="H10" s="22">
        <f>G10/110%</f>
        <v/>
      </c>
    </row>
    <row r="11">
      <c r="A11" t="n">
        <v>10</v>
      </c>
      <c r="B11" t="inlineStr">
        <is>
          <t>DS8108</t>
        </is>
      </c>
      <c r="C11" s="22">
        <f>'지브라-스캐너'!F5</f>
        <v/>
      </c>
      <c r="D11" t="inlineStr">
        <is>
          <t>인터페이스</t>
        </is>
      </c>
      <c r="E11" t="inlineStr">
        <is>
          <t>본체만</t>
        </is>
      </c>
      <c r="F11" s="22" t="n">
        <v>0</v>
      </c>
      <c r="G11" s="22">
        <f>C11+F11</f>
        <v/>
      </c>
      <c r="H11" s="22">
        <f>G11/110%</f>
        <v/>
      </c>
    </row>
    <row r="12">
      <c r="A12" t="n">
        <v>11</v>
      </c>
      <c r="B12" t="inlineStr">
        <is>
          <t>DS4608 SR</t>
        </is>
      </c>
      <c r="C12" s="22">
        <f>'지브라-스캐너'!F6</f>
        <v/>
      </c>
      <c r="D12" t="inlineStr">
        <is>
          <t>인터페이스 / 악세사리</t>
        </is>
      </c>
      <c r="E12" t="inlineStr">
        <is>
          <t>RS232C / 선택안함</t>
        </is>
      </c>
      <c r="F12" s="22" t="n">
        <v>24200</v>
      </c>
      <c r="G12" s="22">
        <f>C12+F12</f>
        <v/>
      </c>
      <c r="H12" s="22">
        <f>G12/110%</f>
        <v/>
      </c>
    </row>
    <row r="13">
      <c r="A13" t="n">
        <v>12</v>
      </c>
      <c r="B13" t="inlineStr">
        <is>
          <t>DS4608 SR</t>
        </is>
      </c>
      <c r="C13" s="22">
        <f>'지브라-스캐너'!F6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2" t="n">
        <v>79200</v>
      </c>
      <c r="G13" s="22">
        <f>C13+F13</f>
        <v/>
      </c>
      <c r="H13" s="22">
        <f>G13/110%</f>
        <v/>
      </c>
    </row>
    <row r="14">
      <c r="A14" t="n">
        <v>13</v>
      </c>
      <c r="B14" t="inlineStr">
        <is>
          <t>DS4608 SR</t>
        </is>
      </c>
      <c r="C14" s="22">
        <f>'지브라-스캐너'!F6</f>
        <v/>
      </c>
      <c r="D14" t="inlineStr">
        <is>
          <t>인터페이스 / 악세사리</t>
        </is>
      </c>
      <c r="E14" t="inlineStr">
        <is>
          <t>본체만(케이블없음) / 선택안함</t>
        </is>
      </c>
      <c r="F14" s="22" t="n">
        <v>0</v>
      </c>
      <c r="G14" s="22">
        <f>C14+F14</f>
        <v/>
      </c>
      <c r="H14" s="22">
        <f>G14/110%</f>
        <v/>
      </c>
    </row>
    <row r="15">
      <c r="A15" t="n">
        <v>14</v>
      </c>
      <c r="B15" t="inlineStr">
        <is>
          <t>DS4608 SR</t>
        </is>
      </c>
      <c r="C15" s="22">
        <f>'지브라-스캐너'!F6</f>
        <v/>
      </c>
      <c r="D15" t="inlineStr">
        <is>
          <t>인터페이스 / 악세사리</t>
        </is>
      </c>
      <c r="E15" t="inlineStr">
        <is>
          <t>본체만(케이블없음) / 스탠드거치대</t>
        </is>
      </c>
      <c r="F15" s="22" t="n">
        <v>55000</v>
      </c>
      <c r="G15" s="22">
        <f>C15+F15</f>
        <v/>
      </c>
      <c r="H15" s="22">
        <f>G15/110%</f>
        <v/>
      </c>
    </row>
    <row r="16">
      <c r="A16" t="n">
        <v>15</v>
      </c>
      <c r="B16" t="inlineStr">
        <is>
          <t>LI2208</t>
        </is>
      </c>
      <c r="C16" s="22">
        <f>'지브라-스캐너'!F7</f>
        <v/>
      </c>
      <c r="D16" t="inlineStr">
        <is>
          <t>인터페이스</t>
        </is>
      </c>
      <c r="E16" t="inlineStr">
        <is>
          <t>RS232C</t>
        </is>
      </c>
      <c r="F16" s="22" t="n">
        <v>24200</v>
      </c>
      <c r="G16" s="22">
        <f>C16+F16</f>
        <v/>
      </c>
      <c r="H16" s="22">
        <f>G16/110%</f>
        <v/>
      </c>
    </row>
    <row r="17">
      <c r="A17" t="n">
        <v>16</v>
      </c>
      <c r="B17" t="inlineStr">
        <is>
          <t>DS3608 SR</t>
        </is>
      </c>
      <c r="C17" s="22">
        <f>'지브라-스캐너'!F9</f>
        <v/>
      </c>
      <c r="D17" t="inlineStr">
        <is>
          <t>인터페이스</t>
        </is>
      </c>
      <c r="E17" t="inlineStr">
        <is>
          <t>RS232C</t>
        </is>
      </c>
      <c r="F17" s="22" t="n">
        <v>24200</v>
      </c>
      <c r="G17" s="22">
        <f>C17+F17</f>
        <v/>
      </c>
      <c r="H17" s="22">
        <f>G17/110%</f>
        <v/>
      </c>
    </row>
    <row r="18">
      <c r="A18" t="n">
        <v>17</v>
      </c>
      <c r="B18" t="inlineStr">
        <is>
          <t>LI3678</t>
        </is>
      </c>
      <c r="C18" s="22">
        <f>'지브라-스캐너'!F10</f>
        <v/>
      </c>
      <c r="D18" t="inlineStr">
        <is>
          <t>인터페이스</t>
        </is>
      </c>
      <c r="E18" t="inlineStr">
        <is>
          <t>RS232C</t>
        </is>
      </c>
      <c r="F18" s="22" t="n">
        <v>33000</v>
      </c>
      <c r="G18" s="22">
        <f>C18+F18</f>
        <v/>
      </c>
      <c r="H18" s="22">
        <f>G18/110%</f>
        <v/>
      </c>
    </row>
    <row r="19">
      <c r="A19" t="n">
        <v>18</v>
      </c>
      <c r="B19" t="inlineStr">
        <is>
          <t>DS9908</t>
        </is>
      </c>
      <c r="C19" s="22">
        <f>'지브라-스캐너'!F11</f>
        <v/>
      </c>
      <c r="D19" t="inlineStr">
        <is>
          <t>인터페이스</t>
        </is>
      </c>
      <c r="E19" t="inlineStr">
        <is>
          <t>RS232C</t>
        </is>
      </c>
      <c r="F19" s="22" t="n">
        <v>24200</v>
      </c>
      <c r="G19" s="22">
        <f>C19+F19</f>
        <v/>
      </c>
      <c r="H19" s="22">
        <f>G19/110%</f>
        <v/>
      </c>
    </row>
    <row r="20">
      <c r="A20" t="n">
        <v>19</v>
      </c>
      <c r="B20" t="inlineStr">
        <is>
          <t>CS6080</t>
        </is>
      </c>
      <c r="C20" s="22">
        <f>'지브라-스캐너'!F13</f>
        <v/>
      </c>
      <c r="D20" t="inlineStr">
        <is>
          <t>스캔엔진</t>
        </is>
      </c>
      <c r="E20" t="inlineStr">
        <is>
          <t>2D</t>
        </is>
      </c>
      <c r="F20" s="22" t="n">
        <v>0</v>
      </c>
      <c r="G20" s="22">
        <f>C20+F20</f>
        <v/>
      </c>
      <c r="H20" s="22">
        <f>G20/110%</f>
        <v/>
      </c>
    </row>
    <row r="21">
      <c r="A21" t="n">
        <v>20</v>
      </c>
      <c r="B21" t="inlineStr">
        <is>
          <t>DS3678 SR</t>
        </is>
      </c>
      <c r="C21" s="22">
        <f>'지브라-스캐너'!F14</f>
        <v/>
      </c>
      <c r="D21" t="inlineStr">
        <is>
          <t>인터페이스</t>
        </is>
      </c>
      <c r="E21" t="inlineStr">
        <is>
          <t>SR버전+USB케이블</t>
        </is>
      </c>
      <c r="F21" s="22" t="n">
        <v>0</v>
      </c>
      <c r="G21" s="22">
        <f>C21+F21</f>
        <v/>
      </c>
      <c r="H21" s="22">
        <f>G21/110%</f>
        <v/>
      </c>
    </row>
    <row r="22">
      <c r="A22" t="n">
        <v>21</v>
      </c>
      <c r="B22" t="inlineStr">
        <is>
          <t>DS3678 SR</t>
        </is>
      </c>
      <c r="C22" s="22">
        <f>'지브라-스캐너'!F14</f>
        <v/>
      </c>
      <c r="D22" t="inlineStr">
        <is>
          <t>인터페이스</t>
        </is>
      </c>
      <c r="E22" t="inlineStr">
        <is>
          <t>HD버전+USB케이블</t>
        </is>
      </c>
      <c r="F22" s="22" t="n">
        <v>220000</v>
      </c>
      <c r="G22" s="22">
        <f>C22+F22</f>
        <v/>
      </c>
      <c r="H22" s="22">
        <f>G22/110%</f>
        <v/>
      </c>
    </row>
    <row r="23">
      <c r="A23" t="n">
        <v>22</v>
      </c>
      <c r="B23" t="inlineStr">
        <is>
          <t>DS3678 SR</t>
        </is>
      </c>
      <c r="C23" s="22">
        <f>'지브라-스캐너'!F14</f>
        <v/>
      </c>
      <c r="D23" t="inlineStr">
        <is>
          <t>인터페이스</t>
        </is>
      </c>
      <c r="E23" t="inlineStr">
        <is>
          <t>SR버전+RS232C케이블</t>
        </is>
      </c>
      <c r="F23" s="22" t="n">
        <v>33000</v>
      </c>
      <c r="G23" s="22">
        <f>C23+F23</f>
        <v/>
      </c>
      <c r="H23" s="22">
        <f>G23/110%</f>
        <v/>
      </c>
    </row>
    <row r="24">
      <c r="A24" t="n">
        <v>23</v>
      </c>
      <c r="B24" t="inlineStr">
        <is>
          <t>DS3678 SR</t>
        </is>
      </c>
      <c r="C24" s="22">
        <f>'지브라-스캐너'!F14</f>
        <v/>
      </c>
      <c r="D24" t="inlineStr">
        <is>
          <t>인터페이스</t>
        </is>
      </c>
      <c r="E24" t="inlineStr">
        <is>
          <t>HD버전+RS232C케이블</t>
        </is>
      </c>
      <c r="F24" s="22" t="n">
        <v>275000</v>
      </c>
      <c r="G24" s="22">
        <f>C24+F24</f>
        <v/>
      </c>
      <c r="H24" s="22">
        <f>G24/110%</f>
        <v/>
      </c>
    </row>
    <row r="25">
      <c r="A25" t="n">
        <v>24</v>
      </c>
      <c r="B25" t="inlineStr">
        <is>
          <t>DS4608 XD</t>
        </is>
      </c>
      <c r="C25" s="22">
        <f>'지브라-스캐너'!F15</f>
        <v/>
      </c>
      <c r="D25" t="inlineStr">
        <is>
          <t>인터페이스 / 악세사리</t>
        </is>
      </c>
      <c r="E25" t="inlineStr">
        <is>
          <t>RS232C / 선택안함</t>
        </is>
      </c>
      <c r="F25" s="22" t="n">
        <v>24200</v>
      </c>
      <c r="G25" s="22">
        <f>C25+F25</f>
        <v/>
      </c>
      <c r="H25" s="22">
        <f>G25/110%</f>
        <v/>
      </c>
    </row>
    <row r="26">
      <c r="A26" t="n">
        <v>25</v>
      </c>
      <c r="B26" t="inlineStr">
        <is>
          <t>DS4608 XD</t>
        </is>
      </c>
      <c r="C26" s="22">
        <f>'지브라-스캐너'!F15</f>
        <v/>
      </c>
      <c r="D26" t="inlineStr">
        <is>
          <t>인터페이스 / 악세사리</t>
        </is>
      </c>
      <c r="E26" t="inlineStr">
        <is>
          <t>RS232C / 스탠드거치대</t>
        </is>
      </c>
      <c r="F26" s="22" t="n">
        <v>79200</v>
      </c>
      <c r="G26" s="22">
        <f>C26+F26</f>
        <v/>
      </c>
      <c r="H26" s="22">
        <f>G26/110%</f>
        <v/>
      </c>
    </row>
    <row r="27">
      <c r="A27" t="n">
        <v>26</v>
      </c>
      <c r="B27" t="inlineStr">
        <is>
          <t>DS4608 XD</t>
        </is>
      </c>
      <c r="C27" s="22">
        <f>'지브라-스캐너'!F15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2" t="n">
        <v>0</v>
      </c>
      <c r="G27" s="22">
        <f>C27+F27</f>
        <v/>
      </c>
      <c r="H27" s="22">
        <f>G27/110%</f>
        <v/>
      </c>
    </row>
    <row r="28">
      <c r="A28" t="n">
        <v>27</v>
      </c>
      <c r="B28" t="inlineStr">
        <is>
          <t>DS4608 XD</t>
        </is>
      </c>
      <c r="C28" s="22">
        <f>'지브라-스캐너'!F15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2" t="n">
        <v>55000</v>
      </c>
      <c r="G28" s="22">
        <f>C28+F28</f>
        <v/>
      </c>
      <c r="H28" s="22">
        <f>G28/110%</f>
        <v/>
      </c>
    </row>
    <row r="29">
      <c r="A29" t="n">
        <v>28</v>
      </c>
      <c r="B29" t="inlineStr">
        <is>
          <t>DS8288</t>
        </is>
      </c>
      <c r="C29" s="22">
        <f>'지브라-스캐너'!F16</f>
        <v/>
      </c>
      <c r="D29" t="inlineStr">
        <is>
          <t>인터페이스</t>
        </is>
      </c>
      <c r="E29" t="inlineStr">
        <is>
          <t>RS232C</t>
        </is>
      </c>
      <c r="F29" s="22" t="n">
        <v>24200</v>
      </c>
      <c r="G29" s="22">
        <f>C29+F29</f>
        <v/>
      </c>
      <c r="H29" s="22">
        <f>G29/110%</f>
        <v/>
      </c>
    </row>
    <row r="30">
      <c r="A30" t="n">
        <v>29</v>
      </c>
      <c r="B30" t="inlineStr">
        <is>
          <t>DS8208</t>
        </is>
      </c>
      <c r="C30" s="22">
        <f>'지브라-스캐너'!F17</f>
        <v/>
      </c>
      <c r="D30" t="inlineStr">
        <is>
          <t>인터페이스</t>
        </is>
      </c>
      <c r="E30" t="inlineStr">
        <is>
          <t>RS232C</t>
        </is>
      </c>
      <c r="F30" s="22" t="n">
        <v>24200</v>
      </c>
      <c r="G30" s="22">
        <f>C30+F30</f>
        <v/>
      </c>
      <c r="H30" s="22">
        <f>G30/110%</f>
        <v/>
      </c>
    </row>
    <row r="31">
      <c r="A31" t="n">
        <v>30</v>
      </c>
      <c r="B31" t="inlineStr">
        <is>
          <t>DS3678 XR</t>
        </is>
      </c>
      <c r="C31" s="22">
        <f>'지브라-스캐너'!F20</f>
        <v/>
      </c>
      <c r="D31" t="inlineStr">
        <is>
          <t>인터페이스</t>
        </is>
      </c>
      <c r="E31" t="inlineStr">
        <is>
          <t>RS232C</t>
        </is>
      </c>
      <c r="F31" s="22" t="n">
        <v>24200</v>
      </c>
      <c r="G31" s="22">
        <f>C31+F31</f>
        <v/>
      </c>
      <c r="H31" s="22">
        <f>G31/110%</f>
        <v/>
      </c>
    </row>
    <row r="32">
      <c r="A32" t="n">
        <v>31</v>
      </c>
      <c r="B32" t="inlineStr">
        <is>
          <t>DS5502</t>
        </is>
      </c>
      <c r="C32" s="22">
        <f>'지브라-스캐너'!F21</f>
        <v/>
      </c>
      <c r="D32" t="inlineStr">
        <is>
          <t>인터페이스</t>
        </is>
      </c>
      <c r="E32" t="inlineStr">
        <is>
          <t>RS232C</t>
        </is>
      </c>
      <c r="F32" s="22" t="n">
        <v>49500</v>
      </c>
      <c r="G32" s="22">
        <f>C32+F32</f>
        <v/>
      </c>
      <c r="H32" s="22">
        <f>G32/110%</f>
        <v/>
      </c>
    </row>
    <row r="33">
      <c r="A33" t="n">
        <v>32</v>
      </c>
      <c r="B33" t="inlineStr">
        <is>
          <t>DS4678</t>
        </is>
      </c>
      <c r="C33" s="22">
        <f>'지브라-스캐너'!F22</f>
        <v/>
      </c>
      <c r="D33" t="inlineStr">
        <is>
          <t>인터페이스</t>
        </is>
      </c>
      <c r="E33" t="inlineStr">
        <is>
          <t>본체+크래들만(케이블없음)</t>
        </is>
      </c>
      <c r="F33" s="22" t="n">
        <v>0</v>
      </c>
      <c r="G33" s="22">
        <f>C33+F33</f>
        <v/>
      </c>
      <c r="H33" s="22">
        <f>G33/110%</f>
        <v/>
      </c>
    </row>
    <row r="34">
      <c r="A34" t="n">
        <v>33</v>
      </c>
      <c r="B34" t="inlineStr">
        <is>
          <t>DS4678</t>
        </is>
      </c>
      <c r="C34" s="22">
        <f>'지브라-스캐너'!F22</f>
        <v/>
      </c>
      <c r="D34" t="inlineStr">
        <is>
          <t>인터페이스</t>
        </is>
      </c>
      <c r="E34" t="inlineStr">
        <is>
          <t>RS232C</t>
        </is>
      </c>
      <c r="F34" s="22" t="n">
        <v>24200</v>
      </c>
      <c r="G34" s="22">
        <f>C34+F34</f>
        <v/>
      </c>
      <c r="H34" s="22">
        <f>G34/110%</f>
        <v/>
      </c>
    </row>
    <row r="35">
      <c r="A35" t="n">
        <v>34</v>
      </c>
      <c r="B35" t="inlineStr">
        <is>
          <t>DS9308</t>
        </is>
      </c>
      <c r="C35" s="22">
        <f>'지브라-스캐너'!F24</f>
        <v/>
      </c>
      <c r="D35" t="inlineStr">
        <is>
          <t>인터페이스</t>
        </is>
      </c>
      <c r="E35" t="inlineStr">
        <is>
          <t>RS232C</t>
        </is>
      </c>
      <c r="F35" s="22" t="n">
        <v>24200</v>
      </c>
      <c r="G35" s="22">
        <f>C35+F35</f>
        <v/>
      </c>
      <c r="H35" s="22">
        <f>G35/110%</f>
        <v/>
      </c>
    </row>
    <row r="36">
      <c r="A36" t="n">
        <v>35</v>
      </c>
      <c r="B36" t="inlineStr">
        <is>
          <t>DS9308</t>
        </is>
      </c>
      <c r="C36" s="22">
        <f>'지브라-스캐너'!F24</f>
        <v/>
      </c>
      <c r="D36" t="inlineStr">
        <is>
          <t>인터페이스</t>
        </is>
      </c>
      <c r="E36" t="inlineStr">
        <is>
          <t>본체만(케이블없음)</t>
        </is>
      </c>
      <c r="F36" s="22" t="n">
        <v>0</v>
      </c>
      <c r="G36" s="22">
        <f>C36+F36</f>
        <v/>
      </c>
      <c r="H36" s="22">
        <f>G36/110%</f>
        <v/>
      </c>
    </row>
    <row r="37">
      <c r="A37" t="n">
        <v>36</v>
      </c>
      <c r="B37" t="inlineStr">
        <is>
          <t>DS8178</t>
        </is>
      </c>
      <c r="C37" s="22">
        <f>'지브라-스캐너'!F25</f>
        <v/>
      </c>
      <c r="D37" t="inlineStr">
        <is>
          <t>인터페이스</t>
        </is>
      </c>
      <c r="E37" t="inlineStr">
        <is>
          <t>RS232C</t>
        </is>
      </c>
      <c r="F37" s="22" t="n">
        <v>24200</v>
      </c>
      <c r="G37" s="22">
        <f>C37+F37</f>
        <v/>
      </c>
      <c r="H37" s="22">
        <f>G37/110%</f>
        <v/>
      </c>
    </row>
    <row r="38">
      <c r="A38" t="n">
        <v>37</v>
      </c>
      <c r="B38" t="inlineStr">
        <is>
          <t>DS8178</t>
        </is>
      </c>
      <c r="C38" s="22">
        <f>'지브라-스캐너'!F25</f>
        <v/>
      </c>
      <c r="D38" t="inlineStr">
        <is>
          <t>인터페이스</t>
        </is>
      </c>
      <c r="E38" t="inlineStr">
        <is>
          <t>본체+크래들만(케이블없음)</t>
        </is>
      </c>
      <c r="F38" s="22" t="n">
        <v>0</v>
      </c>
      <c r="G38" s="22">
        <f>C38+F38</f>
        <v/>
      </c>
      <c r="H38" s="22">
        <f>G38/110%</f>
        <v/>
      </c>
    </row>
    <row r="39">
      <c r="A39" t="n">
        <v>38</v>
      </c>
      <c r="B39" t="inlineStr">
        <is>
          <t>LI4278</t>
        </is>
      </c>
      <c r="C39" s="22">
        <f>'지브라-스캐너'!F26</f>
        <v/>
      </c>
      <c r="D39" t="inlineStr">
        <is>
          <t>인터페이스</t>
        </is>
      </c>
      <c r="E39" t="inlineStr">
        <is>
          <t>RS232C</t>
        </is>
      </c>
      <c r="F39" s="22" t="n">
        <v>24200</v>
      </c>
      <c r="G39" s="22">
        <f>C39+F39</f>
        <v/>
      </c>
      <c r="H39" s="22">
        <f>G39/110%</f>
        <v/>
      </c>
    </row>
    <row r="40">
      <c r="A40" t="n">
        <v>39</v>
      </c>
      <c r="B40" t="inlineStr">
        <is>
          <t>LI4278</t>
        </is>
      </c>
      <c r="C40" s="22">
        <f>'지브라-스캐너'!F26</f>
        <v/>
      </c>
      <c r="D40" t="inlineStr">
        <is>
          <t>인터페이스</t>
        </is>
      </c>
      <c r="E40" t="inlineStr">
        <is>
          <t>본체+크래들만(케이블없음)</t>
        </is>
      </c>
      <c r="F40" s="22" t="n">
        <v>0</v>
      </c>
      <c r="G40" s="22">
        <f>C40+F40</f>
        <v/>
      </c>
      <c r="H40" s="22">
        <f>G40/110%</f>
        <v/>
      </c>
    </row>
    <row r="41">
      <c r="A41" t="n">
        <v>40</v>
      </c>
      <c r="B41" t="inlineStr">
        <is>
          <t>RS6100</t>
        </is>
      </c>
      <c r="C41" s="22">
        <f>'지브라-스캐너'!F27</f>
        <v/>
      </c>
      <c r="D41" t="inlineStr">
        <is>
          <t>연결방식</t>
        </is>
      </c>
      <c r="E41" t="inlineStr">
        <is>
          <t>링트리거</t>
        </is>
      </c>
      <c r="F41" s="22" t="n">
        <v>0</v>
      </c>
      <c r="G41" s="22">
        <f>C41+F41</f>
        <v/>
      </c>
      <c r="H41" s="22">
        <f>G41/110%</f>
        <v/>
      </c>
    </row>
    <row r="42">
      <c r="A42" t="n">
        <v>41</v>
      </c>
      <c r="B42" t="inlineStr">
        <is>
          <t>FS10</t>
        </is>
      </c>
      <c r="C42" s="22">
        <f>'지브라-스캐너'!F28</f>
        <v/>
      </c>
      <c r="D42" t="inlineStr">
        <is>
          <t>본체</t>
        </is>
      </c>
      <c r="E42" t="inlineStr">
        <is>
          <t>본체</t>
        </is>
      </c>
      <c r="F42" s="22" t="n">
        <v>0</v>
      </c>
      <c r="G42" s="22">
        <f>C42+F42</f>
        <v/>
      </c>
      <c r="H42" s="22">
        <f>G42/110%</f>
        <v/>
      </c>
    </row>
    <row r="43">
      <c r="A43" t="n">
        <v>42</v>
      </c>
      <c r="B43" t="inlineStr">
        <is>
          <t>FS20</t>
        </is>
      </c>
      <c r="C43" s="22">
        <f>'지브라-스캐너'!F29</f>
        <v/>
      </c>
      <c r="D43" t="inlineStr">
        <is>
          <t>본체</t>
        </is>
      </c>
      <c r="E43" t="inlineStr">
        <is>
          <t>본체</t>
        </is>
      </c>
      <c r="F43" s="22" t="n">
        <v>0</v>
      </c>
      <c r="G43" s="22">
        <f>C43+F43</f>
        <v/>
      </c>
      <c r="H43" s="22">
        <f>G43/110%</f>
        <v/>
      </c>
    </row>
    <row r="44">
      <c r="A44" t="n">
        <v>43</v>
      </c>
      <c r="B44" t="inlineStr">
        <is>
          <t>FS40</t>
        </is>
      </c>
      <c r="C44" s="22">
        <f>'지브라-스캐너'!F30</f>
        <v/>
      </c>
      <c r="D44" t="inlineStr">
        <is>
          <t>본체</t>
        </is>
      </c>
      <c r="E44" t="inlineStr">
        <is>
          <t>본체</t>
        </is>
      </c>
      <c r="F44" s="22" t="n">
        <v>0</v>
      </c>
      <c r="G44" s="22">
        <f>C44+F44</f>
        <v/>
      </c>
      <c r="H44" s="22">
        <f>G44/110%</f>
        <v/>
      </c>
    </row>
    <row r="45">
      <c r="A45" t="n">
        <v>44</v>
      </c>
      <c r="B45" t="inlineStr">
        <is>
          <t>FS70</t>
        </is>
      </c>
      <c r="C45" s="22">
        <f>'지브라-스캐너'!F31</f>
        <v/>
      </c>
      <c r="D45" t="inlineStr">
        <is>
          <t>본체</t>
        </is>
      </c>
      <c r="E45" t="inlineStr">
        <is>
          <t>본체</t>
        </is>
      </c>
      <c r="F45" s="22" t="n">
        <v>0</v>
      </c>
      <c r="G45" s="22">
        <f>C45+F45</f>
        <v/>
      </c>
      <c r="H45" s="22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2026-10-20T01:54:34Z</dcterms:modified>
  <cp:lastModifiedBy>우영 박</cp:lastModifiedBy>
</cp:coreProperties>
</file>