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Arial"/>
      <charset val="129"/>
      <family val="2"/>
      <sz val="11"/>
    </font>
  </fonts>
  <fills count="3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44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23" fillId="33" borderId="10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23" fillId="33" borderId="11" applyAlignment="1" pivotButton="0" quotePrefix="0" xfId="0">
      <alignment horizontal="center" vertical="center" wrapText="1"/>
    </xf>
    <xf numFmtId="0" fontId="0" fillId="34" borderId="0" applyAlignment="1" pivotButton="0" quotePrefix="0" xfId="0">
      <alignment vertical="center"/>
    </xf>
    <xf numFmtId="164" fontId="0" fillId="34" borderId="0" applyAlignment="1" pivotButton="0" quotePrefix="0" xfId="1">
      <alignment vertical="center"/>
    </xf>
    <xf numFmtId="9" fontId="0" fillId="34" borderId="0" applyAlignment="1" pivotButton="0" quotePrefix="0" xfId="2">
      <alignment vertical="center"/>
    </xf>
    <xf numFmtId="164" fontId="14" fillId="34" borderId="0" applyAlignment="1" pivotButton="0" quotePrefix="0" xfId="1">
      <alignment vertical="center"/>
    </xf>
    <xf numFmtId="0" fontId="1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3" fillId="33" borderId="10" applyAlignment="1" pivotButton="0" quotePrefix="0" xfId="1">
      <alignment horizontal="center" vertical="center" wrapText="1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23" fillId="33" borderId="10" applyAlignment="1" pivotButton="0" quotePrefix="0" xfId="1">
      <alignment horizontal="center" vertical="center" wrapText="1"/>
    </xf>
    <xf numFmtId="164" fontId="24" fillId="0" borderId="0" applyAlignment="1" pivotButton="0" quotePrefix="0" xfId="1">
      <alignment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0" fillId="34" borderId="0" applyAlignment="1" pivotButton="0" quotePrefix="0" xfId="1">
      <alignment vertical="center"/>
    </xf>
    <xf numFmtId="164" fontId="14" fillId="34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64" fontId="0" fillId="0" borderId="0" pivotButton="0" quotePrefix="0" xfId="0"/>
  </cellXfs>
  <cellStyles count="44">
    <cellStyle name="표준" xfId="0" builtinId="0"/>
    <cellStyle name="쉼표 [0]" xfId="1" builtinId="6"/>
    <cellStyle name="백분율" xfId="2" builtinId="5"/>
    <cellStyle name="제목" xfId="3" builtinId="15"/>
    <cellStyle name="제목 1" xfId="4" builtinId="16"/>
    <cellStyle name="제목 2" xfId="5" builtinId="17"/>
    <cellStyle name="제목 3" xfId="6" builtinId="18"/>
    <cellStyle name="제목 4" xfId="7" builtinId="19"/>
    <cellStyle name="좋음" xfId="8" builtinId="26"/>
    <cellStyle name="나쁨" xfId="9" builtinId="27"/>
    <cellStyle name="보통" xfId="10" builtinId="28"/>
    <cellStyle name="입력" xfId="11" builtinId="20"/>
    <cellStyle name="출력" xfId="12" builtinId="21"/>
    <cellStyle name="계산" xfId="13" builtinId="22"/>
    <cellStyle name="연결된 셀" xfId="14" builtinId="24"/>
    <cellStyle name="셀 확인" xfId="15" builtinId="23"/>
    <cellStyle name="경고문" xfId="16" builtinId="11"/>
    <cellStyle name="메모" xfId="17" builtinId="10"/>
    <cellStyle name="설명 텍스트" xfId="18" builtinId="53"/>
    <cellStyle name="요약" xfId="19" builtinId="25"/>
    <cellStyle name="강조색1" xfId="20" builtinId="29"/>
    <cellStyle name="20% - 강조색1" xfId="21" builtinId="30"/>
    <cellStyle name="40% - 강조색1" xfId="22" builtinId="31"/>
    <cellStyle name="60% - 강조색1" xfId="23" builtinId="32"/>
    <cellStyle name="강조색2" xfId="24" builtinId="33"/>
    <cellStyle name="20% - 강조색2" xfId="25" builtinId="34"/>
    <cellStyle name="40% - 강조색2" xfId="26" builtinId="35"/>
    <cellStyle name="60% - 강조색2" xfId="27" builtinId="36"/>
    <cellStyle name="강조색3" xfId="28" builtinId="37"/>
    <cellStyle name="20% - 강조색3" xfId="29" builtinId="38"/>
    <cellStyle name="40% - 강조색3" xfId="30" builtinId="39"/>
    <cellStyle name="60% - 강조색3" xfId="31" builtinId="40"/>
    <cellStyle name="강조색4" xfId="32" builtinId="41"/>
    <cellStyle name="20% - 강조색4" xfId="33" builtinId="42"/>
    <cellStyle name="40% - 강조색4" xfId="34" builtinId="43"/>
    <cellStyle name="60% - 강조색4" xfId="35" builtinId="44"/>
    <cellStyle name="강조색5" xfId="36" builtinId="45"/>
    <cellStyle name="20% - 강조색5" xfId="37" builtinId="46"/>
    <cellStyle name="40% - 강조색5" xfId="38" builtinId="47"/>
    <cellStyle name="60% - 강조색5" xfId="39" builtinId="48"/>
    <cellStyle name="강조색6" xfId="40" builtinId="49"/>
    <cellStyle name="20% - 강조색6" xfId="41" builtinId="50"/>
    <cellStyle name="40% - 강조색6" xfId="42" builtinId="51"/>
    <cellStyle name="60% - 강조색6" xfId="43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6" min="2" max="2"/>
    <col width="18.5" customWidth="1" style="16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6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6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6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6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6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6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6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6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6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6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6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6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6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6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6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6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6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6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6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6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6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6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6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6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6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6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6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6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6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6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6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6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6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6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6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6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6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6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6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6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6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6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6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6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6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6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6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6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6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6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6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6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6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6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6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6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6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6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6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6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6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6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6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6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6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6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6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6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6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6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6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6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6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6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6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6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6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6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6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6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6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6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6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6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6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6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6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6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6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6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6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6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6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6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6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6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6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6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6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6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6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6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6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6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6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6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6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6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6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6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6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6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6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6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6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6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6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6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6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6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6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6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6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6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6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6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6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6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6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6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6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6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6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6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6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6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6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6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6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6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6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6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6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6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6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6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6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6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6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6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6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6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6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6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6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6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6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6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6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6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6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6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6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6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6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6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6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6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6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6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6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6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6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6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6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6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6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6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6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6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6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6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6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6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6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6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6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6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6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6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6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6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6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6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6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6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6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6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6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6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6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6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6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6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6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6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6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6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6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6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6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6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6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6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6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6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6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6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6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6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6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6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6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6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6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6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6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6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6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6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6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6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6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6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6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6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6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6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6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6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6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6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6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6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6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6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6">
      <c r="A290" s="0" t="inlineStr">
        <is>
          <t>'</t>
        </is>
      </c>
    </row>
    <row r="291" hidden="1" s="16">
      <c r="A291" s="0" t="inlineStr">
        <is>
          <t>'</t>
        </is>
      </c>
    </row>
    <row r="292" hidden="1" s="16">
      <c r="A292" s="0" t="inlineStr">
        <is>
          <t>'</t>
        </is>
      </c>
    </row>
    <row r="293" hidden="1" s="16">
      <c r="A293" s="0" t="inlineStr">
        <is>
          <t>'</t>
        </is>
      </c>
    </row>
    <row r="294" hidden="1" s="16">
      <c r="A294" s="0" t="inlineStr">
        <is>
          <t>'</t>
        </is>
      </c>
    </row>
    <row r="295" hidden="1" s="16">
      <c r="A295" s="0" t="inlineStr">
        <is>
          <t>'</t>
        </is>
      </c>
    </row>
    <row r="296" hidden="1" s="16">
      <c r="A296" s="0" t="inlineStr">
        <is>
          <t>'</t>
        </is>
      </c>
    </row>
    <row r="297" hidden="1" s="16">
      <c r="A297" s="0" t="inlineStr">
        <is>
          <t>'</t>
        </is>
      </c>
    </row>
    <row r="298" hidden="1" s="16">
      <c r="A298" s="0" t="inlineStr">
        <is>
          <t>'</t>
        </is>
      </c>
    </row>
    <row r="299" hidden="1" s="16">
      <c r="A299" s="0" t="inlineStr">
        <is>
          <t>'</t>
        </is>
      </c>
    </row>
    <row r="300" hidden="1" s="16">
      <c r="A300" s="0" t="inlineStr">
        <is>
          <t>'</t>
        </is>
      </c>
    </row>
    <row r="301" hidden="1" s="16">
      <c r="A301" s="0" t="inlineStr">
        <is>
          <t>'</t>
        </is>
      </c>
    </row>
    <row r="302" hidden="1" s="16">
      <c r="A302" s="0" t="inlineStr">
        <is>
          <t>'</t>
        </is>
      </c>
    </row>
    <row r="303" hidden="1" s="16">
      <c r="A303" s="0" t="inlineStr">
        <is>
          <t>'</t>
        </is>
      </c>
    </row>
    <row r="304" hidden="1" s="16">
      <c r="A304" s="0" t="inlineStr">
        <is>
          <t>'</t>
        </is>
      </c>
    </row>
    <row r="305" hidden="1" s="16">
      <c r="A305" s="0" t="inlineStr">
        <is>
          <t>'</t>
        </is>
      </c>
    </row>
    <row r="306" hidden="1" s="16">
      <c r="A306" s="0" t="inlineStr">
        <is>
          <t>'</t>
        </is>
      </c>
    </row>
    <row r="307" hidden="1" s="16">
      <c r="A307" s="0" t="inlineStr">
        <is>
          <t>'</t>
        </is>
      </c>
    </row>
    <row r="308" hidden="1" s="16">
      <c r="A308" s="0" t="inlineStr">
        <is>
          <t>'</t>
        </is>
      </c>
    </row>
    <row r="309" hidden="1" s="16">
      <c r="A309" s="0" t="inlineStr">
        <is>
          <t>'</t>
        </is>
      </c>
    </row>
    <row r="310" hidden="1" s="16">
      <c r="A310" s="0" t="inlineStr">
        <is>
          <t>'</t>
        </is>
      </c>
    </row>
    <row r="311" hidden="1" s="16">
      <c r="A311" s="0" t="inlineStr">
        <is>
          <t>'</t>
        </is>
      </c>
    </row>
    <row r="312" hidden="1" s="16">
      <c r="A312" s="0" t="inlineStr">
        <is>
          <t>'</t>
        </is>
      </c>
    </row>
    <row r="313" hidden="1" s="16">
      <c r="A313" s="0" t="inlineStr">
        <is>
          <t>'</t>
        </is>
      </c>
    </row>
    <row r="314" hidden="1" s="16">
      <c r="A314" s="0" t="inlineStr">
        <is>
          <t>'</t>
        </is>
      </c>
    </row>
    <row r="315" hidden="1" s="16">
      <c r="A315" s="0" t="inlineStr">
        <is>
          <t>'</t>
        </is>
      </c>
    </row>
    <row r="316" hidden="1" s="16">
      <c r="A316" s="0" t="inlineStr">
        <is>
          <t>'</t>
        </is>
      </c>
    </row>
    <row r="317" hidden="1" s="16">
      <c r="A317" s="0" t="inlineStr">
        <is>
          <t>'</t>
        </is>
      </c>
    </row>
    <row r="318" hidden="1" s="16">
      <c r="A318" s="0" t="inlineStr">
        <is>
          <t>'</t>
        </is>
      </c>
    </row>
    <row r="319" hidden="1" s="16">
      <c r="A319" s="0" t="inlineStr">
        <is>
          <t>'</t>
        </is>
      </c>
    </row>
    <row r="320" hidden="1" s="16">
      <c r="A320" s="0" t="inlineStr">
        <is>
          <t>'</t>
        </is>
      </c>
    </row>
    <row r="321" hidden="1" s="16">
      <c r="A321" s="0" t="inlineStr">
        <is>
          <t>'</t>
        </is>
      </c>
    </row>
    <row r="322" hidden="1" s="16">
      <c r="A322" s="0" t="inlineStr">
        <is>
          <t>'</t>
        </is>
      </c>
    </row>
    <row r="323" hidden="1" s="16">
      <c r="A323" s="0" t="inlineStr">
        <is>
          <t>'</t>
        </is>
      </c>
    </row>
    <row r="324" hidden="1" s="16">
      <c r="A324" s="0" t="inlineStr">
        <is>
          <t>'</t>
        </is>
      </c>
    </row>
    <row r="325" hidden="1" s="16">
      <c r="A325" s="0" t="inlineStr">
        <is>
          <t>'</t>
        </is>
      </c>
    </row>
    <row r="326" hidden="1" s="16">
      <c r="A326" s="0" t="inlineStr">
        <is>
          <t>'</t>
        </is>
      </c>
    </row>
    <row r="327" hidden="1" s="16">
      <c r="A327" s="0" t="inlineStr">
        <is>
          <t>'</t>
        </is>
      </c>
    </row>
    <row r="328" hidden="1" s="16">
      <c r="A328" s="0" t="inlineStr">
        <is>
          <t>'</t>
        </is>
      </c>
    </row>
    <row r="329" hidden="1" s="16">
      <c r="A329" s="0" t="inlineStr">
        <is>
          <t>'</t>
        </is>
      </c>
    </row>
    <row r="330" hidden="1" s="16">
      <c r="A330" s="0" t="inlineStr">
        <is>
          <t>'</t>
        </is>
      </c>
    </row>
    <row r="331" hidden="1" s="16">
      <c r="A331" s="0" t="inlineStr">
        <is>
          <t>'</t>
        </is>
      </c>
    </row>
    <row r="332" hidden="1" s="16">
      <c r="A332" s="0" t="inlineStr">
        <is>
          <t>'</t>
        </is>
      </c>
    </row>
    <row r="333" hidden="1" s="16">
      <c r="A333" s="0" t="inlineStr">
        <is>
          <t>'</t>
        </is>
      </c>
    </row>
    <row r="334" hidden="1" s="16">
      <c r="A334" s="0" t="inlineStr">
        <is>
          <t>'</t>
        </is>
      </c>
    </row>
    <row r="335" hidden="1" s="16">
      <c r="A335" s="0" t="inlineStr">
        <is>
          <t>'</t>
        </is>
      </c>
    </row>
    <row r="336" hidden="1" s="16">
      <c r="A336" s="0" t="inlineStr">
        <is>
          <t>'</t>
        </is>
      </c>
    </row>
    <row r="337" hidden="1" s="16">
      <c r="A337" s="0" t="inlineStr">
        <is>
          <t>'</t>
        </is>
      </c>
    </row>
    <row r="338" hidden="1" s="16">
      <c r="A338" s="0" t="inlineStr">
        <is>
          <t>'</t>
        </is>
      </c>
    </row>
    <row r="339" hidden="1" s="16">
      <c r="A339" s="0" t="inlineStr">
        <is>
          <t>'</t>
        </is>
      </c>
    </row>
    <row r="340" hidden="1" s="16">
      <c r="A340" s="0" t="inlineStr">
        <is>
          <t>'</t>
        </is>
      </c>
    </row>
    <row r="341" hidden="1" s="16">
      <c r="A341" s="0" t="inlineStr">
        <is>
          <t>'</t>
        </is>
      </c>
    </row>
    <row r="342" hidden="1" s="16">
      <c r="A342" s="0" t="inlineStr">
        <is>
          <t>'</t>
        </is>
      </c>
    </row>
    <row r="343" hidden="1" s="16">
      <c r="A343" s="0" t="inlineStr">
        <is>
          <t>'</t>
        </is>
      </c>
    </row>
    <row r="344" hidden="1" s="16">
      <c r="A344" s="0" t="inlineStr">
        <is>
          <t>'</t>
        </is>
      </c>
    </row>
    <row r="345" hidden="1" s="16">
      <c r="A345" s="0" t="inlineStr">
        <is>
          <t>'</t>
        </is>
      </c>
    </row>
    <row r="346" hidden="1" s="16">
      <c r="A346" s="0" t="inlineStr">
        <is>
          <t>'</t>
        </is>
      </c>
    </row>
    <row r="347" hidden="1" s="16">
      <c r="A347" s="0" t="inlineStr">
        <is>
          <t>'</t>
        </is>
      </c>
    </row>
    <row r="348" hidden="1" s="16">
      <c r="A348" s="0" t="inlineStr">
        <is>
          <t>'</t>
        </is>
      </c>
    </row>
    <row r="349" hidden="1" s="16">
      <c r="A349" s="0" t="inlineStr">
        <is>
          <t>'</t>
        </is>
      </c>
    </row>
    <row r="350" hidden="1" s="16">
      <c r="A350" s="0" t="inlineStr">
        <is>
          <t>'</t>
        </is>
      </c>
    </row>
    <row r="351" hidden="1" s="16">
      <c r="A351" s="0" t="inlineStr">
        <is>
          <t>'</t>
        </is>
      </c>
    </row>
    <row r="352" hidden="1" s="16">
      <c r="A352" s="0" t="inlineStr">
        <is>
          <t>'</t>
        </is>
      </c>
    </row>
    <row r="353" hidden="1" s="16">
      <c r="A353" s="0" t="inlineStr">
        <is>
          <t>'</t>
        </is>
      </c>
    </row>
    <row r="354" hidden="1" s="16">
      <c r="A354" s="0" t="inlineStr">
        <is>
          <t>'</t>
        </is>
      </c>
    </row>
    <row r="355" hidden="1" s="16">
      <c r="A355" s="0" t="inlineStr">
        <is>
          <t>'</t>
        </is>
      </c>
    </row>
    <row r="356" hidden="1" s="16">
      <c r="A356" s="0" t="inlineStr">
        <is>
          <t>'</t>
        </is>
      </c>
    </row>
    <row r="357" hidden="1" s="16">
      <c r="A357" s="0" t="inlineStr">
        <is>
          <t>'</t>
        </is>
      </c>
    </row>
    <row r="358" hidden="1" s="16">
      <c r="A358" s="0" t="inlineStr">
        <is>
          <t>'</t>
        </is>
      </c>
    </row>
    <row r="359" hidden="1" s="16">
      <c r="A359" s="0" t="inlineStr">
        <is>
          <t>'</t>
        </is>
      </c>
    </row>
    <row r="360" hidden="1" s="16">
      <c r="A360" s="0" t="inlineStr">
        <is>
          <t>'</t>
        </is>
      </c>
    </row>
    <row r="361" hidden="1" s="16">
      <c r="A361" s="0" t="inlineStr">
        <is>
          <t>'</t>
        </is>
      </c>
    </row>
    <row r="362" hidden="1" s="16">
      <c r="A362" s="0" t="inlineStr">
        <is>
          <t>'</t>
        </is>
      </c>
    </row>
    <row r="363" hidden="1" s="16">
      <c r="A363" s="0" t="inlineStr">
        <is>
          <t>'</t>
        </is>
      </c>
    </row>
    <row r="364" hidden="1" s="16">
      <c r="A364" s="0" t="inlineStr">
        <is>
          <t>'</t>
        </is>
      </c>
    </row>
    <row r="365" hidden="1" s="16">
      <c r="A365" s="0" t="inlineStr">
        <is>
          <t>'</t>
        </is>
      </c>
    </row>
    <row r="366" hidden="1" s="16">
      <c r="A366" s="0" t="inlineStr">
        <is>
          <t>'</t>
        </is>
      </c>
    </row>
    <row r="367" hidden="1" s="16">
      <c r="A367" s="0" t="inlineStr">
        <is>
          <t>'</t>
        </is>
      </c>
    </row>
    <row r="368" hidden="1" s="16">
      <c r="A368" s="0" t="inlineStr">
        <is>
          <t>'</t>
        </is>
      </c>
    </row>
    <row r="369" hidden="1" s="16">
      <c r="A369" s="0" t="inlineStr">
        <is>
          <t>'</t>
        </is>
      </c>
    </row>
    <row r="370" hidden="1" s="16">
      <c r="A370" s="0" t="inlineStr">
        <is>
          <t>'</t>
        </is>
      </c>
    </row>
    <row r="371" hidden="1" s="16">
      <c r="A371" s="0" t="inlineStr">
        <is>
          <t>'</t>
        </is>
      </c>
    </row>
    <row r="372" hidden="1" s="16">
      <c r="A372" s="0" t="inlineStr">
        <is>
          <t>'</t>
        </is>
      </c>
    </row>
    <row r="373" hidden="1" s="16">
      <c r="A373" s="0" t="inlineStr">
        <is>
          <t>'</t>
        </is>
      </c>
    </row>
    <row r="374" hidden="1" s="16">
      <c r="A374" s="0" t="inlineStr">
        <is>
          <t>'</t>
        </is>
      </c>
    </row>
    <row r="375" hidden="1" s="16">
      <c r="A375" s="0" t="inlineStr">
        <is>
          <t>'</t>
        </is>
      </c>
    </row>
    <row r="376" hidden="1" s="16">
      <c r="A376" s="0" t="inlineStr">
        <is>
          <t>'</t>
        </is>
      </c>
    </row>
    <row r="377" hidden="1" s="16">
      <c r="A377" s="0" t="inlineStr">
        <is>
          <t>'</t>
        </is>
      </c>
    </row>
    <row r="378" hidden="1" s="16">
      <c r="A378" s="0" t="inlineStr">
        <is>
          <t>'</t>
        </is>
      </c>
    </row>
    <row r="379" hidden="1" s="16">
      <c r="A379" s="0" t="inlineStr">
        <is>
          <t>'</t>
        </is>
      </c>
    </row>
    <row r="380" hidden="1" s="16">
      <c r="A380" s="0" t="inlineStr">
        <is>
          <t>'</t>
        </is>
      </c>
    </row>
    <row r="381" hidden="1" s="16">
      <c r="A381" s="0" t="inlineStr">
        <is>
          <t>'</t>
        </is>
      </c>
    </row>
    <row r="382" hidden="1" s="16">
      <c r="A382" s="0" t="inlineStr">
        <is>
          <t>'</t>
        </is>
      </c>
    </row>
    <row r="383" hidden="1" s="16">
      <c r="A383" s="0" t="inlineStr">
        <is>
          <t>'</t>
        </is>
      </c>
    </row>
    <row r="384" hidden="1" s="16">
      <c r="A384" s="0" t="inlineStr">
        <is>
          <t>'</t>
        </is>
      </c>
    </row>
    <row r="385" hidden="1" s="16">
      <c r="A385" s="0" t="inlineStr">
        <is>
          <t>'</t>
        </is>
      </c>
    </row>
    <row r="386" hidden="1" s="16">
      <c r="A386" s="0" t="inlineStr">
        <is>
          <t>'</t>
        </is>
      </c>
    </row>
    <row r="387" hidden="1" s="16">
      <c r="A387" s="0" t="inlineStr">
        <is>
          <t>'</t>
        </is>
      </c>
    </row>
    <row r="388" hidden="1" s="16">
      <c r="A388" s="0" t="inlineStr">
        <is>
          <t>'</t>
        </is>
      </c>
    </row>
    <row r="389" hidden="1" s="16">
      <c r="A389" s="0" t="inlineStr">
        <is>
          <t>'</t>
        </is>
      </c>
    </row>
    <row r="390" hidden="1" s="16">
      <c r="A390" s="0" t="inlineStr">
        <is>
          <t>'</t>
        </is>
      </c>
    </row>
    <row r="391" hidden="1" s="16">
      <c r="A391" s="0" t="inlineStr">
        <is>
          <t>'</t>
        </is>
      </c>
    </row>
    <row r="392" hidden="1" s="16">
      <c r="A392" s="0" t="inlineStr">
        <is>
          <t>'</t>
        </is>
      </c>
    </row>
    <row r="393" hidden="1" s="16">
      <c r="A393" s="0" t="inlineStr">
        <is>
          <t>'</t>
        </is>
      </c>
    </row>
    <row r="394" hidden="1" s="16">
      <c r="A394" s="0" t="inlineStr">
        <is>
          <t>'</t>
        </is>
      </c>
    </row>
    <row r="395" hidden="1" s="16">
      <c r="A395" s="0" t="inlineStr">
        <is>
          <t>'</t>
        </is>
      </c>
    </row>
    <row r="396" hidden="1" s="16">
      <c r="A396" s="0" t="inlineStr">
        <is>
          <t>'</t>
        </is>
      </c>
    </row>
    <row r="397" hidden="1" s="16">
      <c r="A397" s="0" t="inlineStr">
        <is>
          <t>'</t>
        </is>
      </c>
    </row>
    <row r="398" hidden="1" s="16">
      <c r="A398" s="0" t="inlineStr">
        <is>
          <t>'</t>
        </is>
      </c>
    </row>
    <row r="399" hidden="1" s="16">
      <c r="A399" s="0" t="inlineStr">
        <is>
          <t>'</t>
        </is>
      </c>
    </row>
    <row r="400" hidden="1" s="16">
      <c r="A400" s="0" t="inlineStr">
        <is>
          <t>'</t>
        </is>
      </c>
    </row>
    <row r="401" hidden="1" s="16">
      <c r="A401" s="0" t="inlineStr">
        <is>
          <t>'</t>
        </is>
      </c>
    </row>
    <row r="402" hidden="1" s="16">
      <c r="A402" s="0" t="inlineStr">
        <is>
          <t>'</t>
        </is>
      </c>
    </row>
    <row r="403" hidden="1" s="16">
      <c r="A403" s="0" t="inlineStr">
        <is>
          <t>'</t>
        </is>
      </c>
    </row>
    <row r="404" hidden="1" s="16">
      <c r="A404" s="0" t="inlineStr">
        <is>
          <t>'</t>
        </is>
      </c>
    </row>
    <row r="405" hidden="1" s="16">
      <c r="A405" s="0" t="inlineStr">
        <is>
          <t>'</t>
        </is>
      </c>
    </row>
    <row r="406" hidden="1" s="16">
      <c r="A406" s="0" t="inlineStr">
        <is>
          <t>'</t>
        </is>
      </c>
    </row>
    <row r="407" hidden="1" s="16">
      <c r="A407" s="0" t="inlineStr">
        <is>
          <t>'</t>
        </is>
      </c>
    </row>
    <row r="408" hidden="1" s="16">
      <c r="A408" s="0" t="inlineStr">
        <is>
          <t>'</t>
        </is>
      </c>
    </row>
    <row r="409" hidden="1" s="16">
      <c r="A409" s="0" t="inlineStr">
        <is>
          <t>'</t>
        </is>
      </c>
    </row>
    <row r="410" hidden="1" s="16">
      <c r="A410" s="0" t="inlineStr">
        <is>
          <t>'</t>
        </is>
      </c>
    </row>
    <row r="411" hidden="1" s="16">
      <c r="A411" s="0" t="inlineStr">
        <is>
          <t>'</t>
        </is>
      </c>
    </row>
    <row r="412" hidden="1" s="16">
      <c r="A412" s="0" t="inlineStr">
        <is>
          <t>'</t>
        </is>
      </c>
    </row>
    <row r="413" hidden="1" s="16">
      <c r="A413" s="0" t="inlineStr">
        <is>
          <t>'</t>
        </is>
      </c>
    </row>
    <row r="414" hidden="1" s="16">
      <c r="A414" s="0" t="inlineStr">
        <is>
          <t>'</t>
        </is>
      </c>
    </row>
    <row r="415" hidden="1" s="16">
      <c r="A415" s="0" t="inlineStr">
        <is>
          <t>'</t>
        </is>
      </c>
    </row>
    <row r="416" hidden="1" s="16">
      <c r="A416" s="0" t="inlineStr">
        <is>
          <t>'</t>
        </is>
      </c>
    </row>
    <row r="417" hidden="1" s="16">
      <c r="A417" s="0" t="inlineStr">
        <is>
          <t>'</t>
        </is>
      </c>
    </row>
    <row r="418" hidden="1" s="16">
      <c r="A418" s="0" t="inlineStr">
        <is>
          <t>'</t>
        </is>
      </c>
    </row>
    <row r="419" hidden="1" s="16">
      <c r="A419" s="0" t="inlineStr">
        <is>
          <t>'</t>
        </is>
      </c>
    </row>
    <row r="420" hidden="1" s="16">
      <c r="A420" s="0" t="inlineStr">
        <is>
          <t>'</t>
        </is>
      </c>
    </row>
    <row r="421" hidden="1" s="16">
      <c r="A421" s="0" t="inlineStr">
        <is>
          <t>'</t>
        </is>
      </c>
    </row>
    <row r="422" hidden="1" s="16">
      <c r="A422" s="0" t="inlineStr">
        <is>
          <t>'</t>
        </is>
      </c>
    </row>
    <row r="423" hidden="1" s="16">
      <c r="A423" s="0" t="inlineStr">
        <is>
          <t>'</t>
        </is>
      </c>
    </row>
    <row r="424" hidden="1" s="16">
      <c r="A424" s="0" t="inlineStr">
        <is>
          <t>'</t>
        </is>
      </c>
    </row>
    <row r="425" hidden="1" s="16">
      <c r="A425" s="0" t="inlineStr">
        <is>
          <t>'</t>
        </is>
      </c>
    </row>
    <row r="426" hidden="1" s="16">
      <c r="A426" s="0" t="inlineStr">
        <is>
          <t>'</t>
        </is>
      </c>
    </row>
    <row r="427" hidden="1" s="16">
      <c r="A427" s="0" t="inlineStr">
        <is>
          <t>'</t>
        </is>
      </c>
    </row>
    <row r="428" hidden="1" s="16">
      <c r="A428" s="0" t="inlineStr">
        <is>
          <t>'</t>
        </is>
      </c>
    </row>
    <row r="429" hidden="1" s="16">
      <c r="A429" s="0" t="inlineStr">
        <is>
          <t>'</t>
        </is>
      </c>
    </row>
    <row r="430" hidden="1" s="16">
      <c r="A430" s="0" t="inlineStr">
        <is>
          <t>'</t>
        </is>
      </c>
    </row>
    <row r="431" hidden="1" s="16">
      <c r="A431" s="0" t="inlineStr">
        <is>
          <t>'</t>
        </is>
      </c>
    </row>
    <row r="432" hidden="1" s="16">
      <c r="A432" s="0" t="inlineStr">
        <is>
          <t>'</t>
        </is>
      </c>
    </row>
    <row r="433" hidden="1" s="16">
      <c r="A433" s="0" t="inlineStr">
        <is>
          <t>'</t>
        </is>
      </c>
    </row>
    <row r="434" hidden="1" s="16">
      <c r="A434" s="0" t="inlineStr">
        <is>
          <t>'</t>
        </is>
      </c>
    </row>
    <row r="435" hidden="1" s="16">
      <c r="A435" s="0" t="inlineStr">
        <is>
          <t>'</t>
        </is>
      </c>
    </row>
    <row r="436" hidden="1" s="16">
      <c r="A436" s="0" t="inlineStr">
        <is>
          <t>'</t>
        </is>
      </c>
    </row>
    <row r="437" hidden="1" s="16">
      <c r="A437" s="0" t="inlineStr">
        <is>
          <t>'</t>
        </is>
      </c>
    </row>
    <row r="438" hidden="1" s="16">
      <c r="A438" s="0" t="inlineStr">
        <is>
          <t>'</t>
        </is>
      </c>
    </row>
    <row r="439" hidden="1" s="16">
      <c r="A439" s="0" t="inlineStr">
        <is>
          <t>'</t>
        </is>
      </c>
    </row>
    <row r="440" hidden="1" s="16">
      <c r="A440" s="0" t="inlineStr">
        <is>
          <t>'</t>
        </is>
      </c>
    </row>
    <row r="441" hidden="1" s="16">
      <c r="A441" s="0" t="inlineStr">
        <is>
          <t>'</t>
        </is>
      </c>
    </row>
    <row r="442" hidden="1" s="16">
      <c r="A442" s="0" t="inlineStr">
        <is>
          <t>'</t>
        </is>
      </c>
    </row>
    <row r="443" hidden="1" s="16">
      <c r="A443" s="0" t="inlineStr">
        <is>
          <t>'</t>
        </is>
      </c>
    </row>
    <row r="444" hidden="1" s="16">
      <c r="A444" s="0" t="inlineStr">
        <is>
          <t>'</t>
        </is>
      </c>
    </row>
    <row r="445" hidden="1" s="16">
      <c r="A445" s="0" t="inlineStr">
        <is>
          <t>'</t>
        </is>
      </c>
    </row>
    <row r="446" hidden="1" s="16">
      <c r="A446" s="0" t="inlineStr">
        <is>
          <t>'</t>
        </is>
      </c>
    </row>
    <row r="447" hidden="1" s="16">
      <c r="A447" s="0" t="inlineStr">
        <is>
          <t>'</t>
        </is>
      </c>
    </row>
    <row r="448" hidden="1" s="16">
      <c r="A448" s="0" t="inlineStr">
        <is>
          <t>'</t>
        </is>
      </c>
    </row>
    <row r="449" hidden="1" s="16">
      <c r="A449" s="0" t="inlineStr">
        <is>
          <t>'</t>
        </is>
      </c>
    </row>
    <row r="450" hidden="1" s="16">
      <c r="A450" s="0" t="inlineStr">
        <is>
          <t>'</t>
        </is>
      </c>
    </row>
    <row r="451" hidden="1" s="16">
      <c r="A451" s="0" t="inlineStr">
        <is>
          <t>'</t>
        </is>
      </c>
    </row>
    <row r="452" hidden="1" s="16">
      <c r="A452" s="0" t="inlineStr">
        <is>
          <t>'</t>
        </is>
      </c>
    </row>
    <row r="453" hidden="1" s="16">
      <c r="A453" s="0" t="inlineStr">
        <is>
          <t>'</t>
        </is>
      </c>
    </row>
    <row r="454" hidden="1" s="16">
      <c r="A454" s="0" t="inlineStr">
        <is>
          <t>'</t>
        </is>
      </c>
    </row>
    <row r="455" hidden="1" s="16">
      <c r="A455" s="0" t="inlineStr">
        <is>
          <t>'</t>
        </is>
      </c>
    </row>
    <row r="456" hidden="1" s="16">
      <c r="A456" s="0" t="inlineStr">
        <is>
          <t>'</t>
        </is>
      </c>
    </row>
    <row r="457" hidden="1" s="16">
      <c r="A457" s="0" t="inlineStr">
        <is>
          <t>'</t>
        </is>
      </c>
    </row>
    <row r="458" hidden="1" s="16">
      <c r="A458" s="0" t="inlineStr">
        <is>
          <t>'</t>
        </is>
      </c>
    </row>
    <row r="459" hidden="1" s="16">
      <c r="A459" s="0" t="inlineStr">
        <is>
          <t>'</t>
        </is>
      </c>
    </row>
    <row r="460" hidden="1" s="16">
      <c r="A460" s="0" t="inlineStr">
        <is>
          <t>'</t>
        </is>
      </c>
    </row>
    <row r="461" hidden="1" s="16">
      <c r="A461" s="0" t="inlineStr">
        <is>
          <t>'</t>
        </is>
      </c>
    </row>
    <row r="462" hidden="1" s="16">
      <c r="A462" s="0" t="inlineStr">
        <is>
          <t>'</t>
        </is>
      </c>
    </row>
    <row r="463" hidden="1" s="16">
      <c r="A463" s="0" t="inlineStr">
        <is>
          <t>'</t>
        </is>
      </c>
    </row>
    <row r="464" hidden="1" s="16">
      <c r="A464" s="0" t="inlineStr">
        <is>
          <t>'</t>
        </is>
      </c>
    </row>
    <row r="465" hidden="1" s="16">
      <c r="A465" s="0" t="inlineStr">
        <is>
          <t>'</t>
        </is>
      </c>
    </row>
    <row r="466" hidden="1" s="16">
      <c r="A466" s="0" t="inlineStr">
        <is>
          <t>'</t>
        </is>
      </c>
    </row>
    <row r="467" hidden="1" s="16">
      <c r="A467" s="0" t="inlineStr">
        <is>
          <t>'</t>
        </is>
      </c>
    </row>
    <row r="468" hidden="1" s="16">
      <c r="A468" s="0" t="inlineStr">
        <is>
          <t>'</t>
        </is>
      </c>
    </row>
    <row r="469" hidden="1" s="16">
      <c r="A469" s="0" t="inlineStr">
        <is>
          <t>'</t>
        </is>
      </c>
    </row>
    <row r="470" hidden="1" s="16">
      <c r="A470" s="0" t="inlineStr">
        <is>
          <t>'</t>
        </is>
      </c>
    </row>
    <row r="471" hidden="1" s="16">
      <c r="A471" s="0" t="inlineStr">
        <is>
          <t>'</t>
        </is>
      </c>
    </row>
    <row r="472" hidden="1" s="16">
      <c r="A472" s="0" t="inlineStr">
        <is>
          <t>'</t>
        </is>
      </c>
    </row>
    <row r="473" hidden="1" s="16">
      <c r="A473" s="0" t="inlineStr">
        <is>
          <t>'</t>
        </is>
      </c>
    </row>
    <row r="474" hidden="1" s="16">
      <c r="A474" s="0" t="inlineStr">
        <is>
          <t>'</t>
        </is>
      </c>
    </row>
    <row r="475" hidden="1" s="16">
      <c r="A475" s="0" t="inlineStr">
        <is>
          <t>'</t>
        </is>
      </c>
    </row>
    <row r="476" hidden="1" s="16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tabSelected="1" workbookViewId="0">
      <selection activeCell="B2" sqref="B2"/>
    </sheetView>
  </sheetViews>
  <sheetFormatPr baseColWidth="8" defaultRowHeight="16.5"/>
  <cols>
    <col width="16.375" customWidth="1" style="16" min="2" max="2"/>
    <col hidden="1" style="16" min="3" max="3"/>
    <col width="14.625" bestFit="1" customWidth="1" style="17" min="4" max="7"/>
    <col hidden="1" style="17" min="8" max="9"/>
    <col width="14.625" bestFit="1" customWidth="1" style="17" min="10" max="11"/>
    <col width="17.5" customWidth="1" style="16" min="12" max="12"/>
    <col width="18.125" customWidth="1" style="16" min="13" max="13"/>
    <col width="19.875" customWidth="1" style="16" min="14" max="14"/>
    <col width="48" customWidth="1" style="16" min="16" max="16"/>
    <col width="20" customWidth="1" style="16" min="17" max="17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8" t="inlineStr">
        <is>
          <t>매입가(VAT별도)</t>
        </is>
      </c>
      <c r="E1" s="18" t="inlineStr">
        <is>
          <t>매입가(VAT포함)</t>
        </is>
      </c>
      <c r="F1" s="18" t="inlineStr">
        <is>
          <t>판매가(VAT포함)</t>
        </is>
      </c>
      <c r="G1" s="18" t="inlineStr">
        <is>
          <t>판매가(VAT별도)</t>
        </is>
      </c>
      <c r="H1" s="18" t="n"/>
      <c r="I1" s="18" t="n"/>
      <c r="J1" s="18" t="inlineStr">
        <is>
          <t>최저가(VAT포함)</t>
        </is>
      </c>
      <c r="K1" s="18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옵션(추가금액)</t>
        </is>
      </c>
      <c r="Q1" s="4" t="inlineStr">
        <is>
          <t>USB케이블 포함(O/X)</t>
        </is>
      </c>
    </row>
    <row r="2">
      <c r="A2" s="0" t="n">
        <v>1</v>
      </c>
      <c r="B2" s="12" t="inlineStr">
        <is>
          <t xml:space="preserve">LS2208 SR </t>
        </is>
      </c>
      <c r="D2" s="17" t="n">
        <v>630000</v>
      </c>
      <c r="E2" s="17">
        <f>D2*110%</f>
        <v/>
      </c>
      <c r="F2" s="19" t="n">
        <v>99000</v>
      </c>
      <c r="G2" s="17">
        <f>F2/110%</f>
        <v/>
      </c>
      <c r="P2" s="20" t="inlineStr">
        <is>
          <t>정품직선형USB (+18,000원)
코일형USB (+18,000원)
RS232C (+24,200원)
본체만(케이블없음) (+0원)</t>
        </is>
      </c>
      <c r="Q2" s="21" t="inlineStr">
        <is>
          <t>X</t>
        </is>
      </c>
    </row>
    <row r="3">
      <c r="A3" s="0" t="n">
        <v>2</v>
      </c>
      <c r="B3" s="12" t="inlineStr">
        <is>
          <t>DS2278</t>
        </is>
      </c>
      <c r="D3" s="17" t="n">
        <v>305000</v>
      </c>
      <c r="E3" s="17">
        <f>D3*110%</f>
        <v/>
      </c>
      <c r="F3" s="19" t="n">
        <v>420000</v>
      </c>
      <c r="G3" s="17">
        <f>F3/110%</f>
        <v/>
      </c>
      <c r="J3" s="19" t="n">
        <v>210540</v>
      </c>
      <c r="K3" s="17">
        <f>J3/110%</f>
        <v/>
      </c>
      <c r="L3" s="22" t="inlineStr">
        <is>
          <t>제벡스코리아</t>
        </is>
      </c>
      <c r="M3" s="3">
        <f>1-(D3/G3)</f>
        <v/>
      </c>
      <c r="N3" s="3">
        <f>1-(D3/K3)</f>
        <v/>
      </c>
      <c r="P3" s="20" t="inlineStr">
        <is>
          <t>정품직선형USB (+18,000원)
코일형USB (+18,000원)
RS232C (+24,200원)
본체+크래들만(케이블없음) (+0원)</t>
        </is>
      </c>
      <c r="Q3" s="21" t="inlineStr">
        <is>
          <t>X</t>
        </is>
      </c>
    </row>
    <row r="4">
      <c r="A4" s="0" t="n">
        <v>3</v>
      </c>
      <c r="B4" s="12" t="inlineStr">
        <is>
          <t>DS2208</t>
        </is>
      </c>
      <c r="D4" s="17" t="n">
        <v>96000</v>
      </c>
      <c r="E4" s="17">
        <f>D4*110%</f>
        <v/>
      </c>
      <c r="F4" s="19" t="n">
        <v>125000</v>
      </c>
      <c r="G4" s="17">
        <f>F4/110%</f>
        <v/>
      </c>
      <c r="J4" s="19" t="n">
        <v>85900</v>
      </c>
      <c r="K4" s="17">
        <f>J4/110%</f>
        <v/>
      </c>
      <c r="L4" s="22" t="inlineStr">
        <is>
          <t>마켓굿초이스</t>
        </is>
      </c>
      <c r="M4" s="3">
        <f>1-(D4/G4)</f>
        <v/>
      </c>
      <c r="N4" s="3">
        <f>1-(D4/K4)</f>
        <v/>
      </c>
      <c r="P4" s="20" t="inlineStr">
        <is>
          <t>정품직선형USB / 선택안함 (+18,000원)
정품직선형USB / 스탠드거치대 (+73,000원)
RS232C / 선택안함 (+24,200원)
RS232C / 스탠드거치대 (+79,200원)
코일형USB / 선택안함 (+18,000원)
코일형USB / 스탠드거치대 (+73,000원)
본체만(케이블없음) / 선택안함 (+0원)
본체만(케이블없음) / 스탠드거치대 (+55,000원)</t>
        </is>
      </c>
      <c r="Q4" s="21" t="inlineStr">
        <is>
          <t>X</t>
        </is>
      </c>
    </row>
    <row r="5">
      <c r="A5" s="0" t="n">
        <v>4</v>
      </c>
      <c r="B5" s="12" t="inlineStr">
        <is>
          <t>DS8108</t>
        </is>
      </c>
      <c r="D5" s="17" t="n">
        <v>210000</v>
      </c>
      <c r="E5" s="17">
        <f>D5*110%</f>
        <v/>
      </c>
      <c r="F5" s="19" t="n">
        <v>300000</v>
      </c>
      <c r="G5" s="17">
        <f>F5/110%</f>
        <v/>
      </c>
      <c r="J5" s="19" t="n">
        <v>239000</v>
      </c>
      <c r="K5" s="17">
        <f>J5/110%</f>
        <v/>
      </c>
      <c r="L5" s="22" t="inlineStr">
        <is>
          <t>바코드다판다</t>
        </is>
      </c>
      <c r="M5" s="3">
        <f>1-(D5/G5)</f>
        <v/>
      </c>
      <c r="N5" s="3">
        <f>1-(D5/K5)</f>
        <v/>
      </c>
      <c r="P5" s="20" t="inlineStr">
        <is>
          <t>정품직선형USB (+16,500원)
RS232C (+24,200원)
본체만 (+0원)</t>
        </is>
      </c>
      <c r="Q5" s="21" t="inlineStr">
        <is>
          <t>X</t>
        </is>
      </c>
    </row>
    <row r="6">
      <c r="A6" s="0" t="n">
        <v>5</v>
      </c>
      <c r="B6" s="12" t="inlineStr">
        <is>
          <t>DS4608 SR</t>
        </is>
      </c>
      <c r="D6" s="17" t="n">
        <v>165000</v>
      </c>
      <c r="E6" s="17">
        <f>D6*110%</f>
        <v/>
      </c>
      <c r="F6" s="19" t="n">
        <v>207500</v>
      </c>
      <c r="G6" s="17">
        <f>F6/110%</f>
        <v/>
      </c>
      <c r="J6" s="19" t="n">
        <v>138700</v>
      </c>
      <c r="K6" s="17">
        <f>J6/110%</f>
        <v/>
      </c>
      <c r="L6" s="22" t="inlineStr">
        <is>
          <t>에이치에스스토어(usb제외)</t>
        </is>
      </c>
      <c r="M6" s="3">
        <f>1-(D6/G6)</f>
        <v/>
      </c>
      <c r="N6" s="3">
        <f>1-(D6/K6)</f>
        <v/>
      </c>
      <c r="P6" s="20" t="inlineStr">
        <is>
          <t>정품직선형USB / 선택안함 (+18,000원)
정품직선형USB / 스탠드거치대 (+73,000원)
RS232C / 선택안함 (+24,200원)
RS232C / 스탠드거치대 (+79,200원)
코일형USB / 선택안함 (+18,000원)
코일형USB / 스탠드거치대 (+73,000원)
본체만(케이블없음) / 선택안함 (+0원)
본체만(케이블없음) / 스탠드거치대 (+55,000원)</t>
        </is>
      </c>
      <c r="Q6" s="21" t="inlineStr">
        <is>
          <t>X</t>
        </is>
      </c>
    </row>
    <row r="7">
      <c r="A7" s="0" t="n">
        <v>6</v>
      </c>
      <c r="B7" s="12" t="inlineStr">
        <is>
          <t>LI2208</t>
        </is>
      </c>
      <c r="E7" s="17">
        <f>D7*110%</f>
        <v/>
      </c>
      <c r="F7" s="19" t="n">
        <v>220000</v>
      </c>
      <c r="G7" s="17">
        <f>F7/110%</f>
        <v/>
      </c>
      <c r="J7" s="19" t="n">
        <v>80000</v>
      </c>
      <c r="K7" s="17">
        <f>J7/110%</f>
        <v/>
      </c>
      <c r="L7" s="22" t="inlineStr">
        <is>
          <t>컴엔더</t>
        </is>
      </c>
      <c r="M7" s="3">
        <f>1-(D7/G7)</f>
        <v/>
      </c>
      <c r="N7" s="3">
        <f>1-(D7/K7)</f>
        <v/>
      </c>
      <c r="P7" s="20" t="inlineStr">
        <is>
          <t>정품직선형USB (+16,500원)
RS232C (+24,200원)</t>
        </is>
      </c>
      <c r="Q7" s="21" t="inlineStr">
        <is>
          <t>X</t>
        </is>
      </c>
    </row>
    <row r="8">
      <c r="A8" s="0" t="n">
        <v>7</v>
      </c>
      <c r="B8" s="12" t="inlineStr">
        <is>
          <t>LI3608 SR</t>
        </is>
      </c>
      <c r="D8" s="17" t="n">
        <v>70000</v>
      </c>
      <c r="E8" s="17">
        <f>D8*110%</f>
        <v/>
      </c>
      <c r="F8" s="19" t="n">
        <v>396000</v>
      </c>
      <c r="G8" s="17">
        <f>F8/110%</f>
        <v/>
      </c>
      <c r="J8" s="19" t="n">
        <v>359000</v>
      </c>
      <c r="K8" s="17">
        <f>J8/110%</f>
        <v/>
      </c>
      <c r="L8" s="22" t="inlineStr">
        <is>
          <t>유니정보</t>
        </is>
      </c>
      <c r="M8" s="3">
        <f>1-(D8/G8)</f>
        <v/>
      </c>
      <c r="N8" s="3">
        <f>1-(D8/K8)</f>
        <v/>
      </c>
      <c r="P8" s="20" t="inlineStr">
        <is>
          <t>USB (+0원)</t>
        </is>
      </c>
      <c r="Q8" s="21" t="inlineStr">
        <is>
          <t>O</t>
        </is>
      </c>
    </row>
    <row r="9">
      <c r="A9" s="0" t="n">
        <v>8</v>
      </c>
      <c r="B9" s="12" t="inlineStr">
        <is>
          <t>DS3608 SR</t>
        </is>
      </c>
      <c r="D9" s="17" t="n">
        <v>470000</v>
      </c>
      <c r="E9" s="17">
        <f>D9*110%</f>
        <v/>
      </c>
      <c r="F9" s="19" t="n">
        <v>825000</v>
      </c>
      <c r="G9" s="17">
        <f>F9/110%</f>
        <v/>
      </c>
      <c r="J9" s="19" t="n">
        <v>516000</v>
      </c>
      <c r="K9" s="17">
        <f>J9/110%</f>
        <v/>
      </c>
      <c r="L9" s="22" t="inlineStr">
        <is>
          <t>더원시스</t>
        </is>
      </c>
      <c r="M9" s="3">
        <f>1-(D9/G9)</f>
        <v/>
      </c>
      <c r="N9" s="3">
        <f>1-(D9/K9)</f>
        <v/>
      </c>
      <c r="P9" s="20" t="inlineStr">
        <is>
          <t>USB (+0원)
RS232C (+24,200원)</t>
        </is>
      </c>
      <c r="Q9" s="21" t="inlineStr">
        <is>
          <t>O</t>
        </is>
      </c>
    </row>
    <row r="10">
      <c r="A10" s="0" t="n">
        <v>9</v>
      </c>
      <c r="B10" s="12" t="inlineStr">
        <is>
          <t>LI3678</t>
        </is>
      </c>
      <c r="E10" s="17">
        <f>D10*110%</f>
        <v/>
      </c>
      <c r="F10" s="19" t="n">
        <v>1210000</v>
      </c>
      <c r="G10" s="17">
        <f>F10/110%</f>
        <v/>
      </c>
      <c r="J10" s="19" t="n">
        <v>680000</v>
      </c>
      <c r="K10" s="17">
        <f>J10/110%</f>
        <v/>
      </c>
      <c r="L10" s="22" t="inlineStr">
        <is>
          <t>착한라벨</t>
        </is>
      </c>
      <c r="M10" s="3">
        <f>1-(D10/G10)</f>
        <v/>
      </c>
      <c r="N10" s="3">
        <f>1-(D10/K10)</f>
        <v/>
      </c>
      <c r="P10" s="20" t="inlineStr">
        <is>
          <t>USB (+0원)
RS232C (+33,000원)</t>
        </is>
      </c>
      <c r="Q10" s="21" t="inlineStr">
        <is>
          <t>O</t>
        </is>
      </c>
    </row>
    <row r="11">
      <c r="A11" s="0" t="n">
        <v>10</v>
      </c>
      <c r="B11" s="12" t="inlineStr">
        <is>
          <t>DS9908</t>
        </is>
      </c>
      <c r="D11" s="17" t="n">
        <v>290000</v>
      </c>
      <c r="E11" s="17">
        <f>D11*110%</f>
        <v/>
      </c>
      <c r="F11" s="19" t="n">
        <v>385000</v>
      </c>
      <c r="G11" s="17">
        <f>F11/110%</f>
        <v/>
      </c>
      <c r="J11" s="19" t="n">
        <v>295000</v>
      </c>
      <c r="K11" s="17">
        <f>J11/110%</f>
        <v/>
      </c>
      <c r="L11" s="23" t="inlineStr">
        <is>
          <t>디앤에스테크(USB미포함)</t>
        </is>
      </c>
      <c r="M11" s="3">
        <f>1-(D11/G11)</f>
        <v/>
      </c>
      <c r="N11" s="3">
        <f>1-(D11/K11)</f>
        <v/>
      </c>
      <c r="P11" s="20" t="inlineStr">
        <is>
          <t>코일형USB (+18,000원)
직선형USB케이블 (+18,000원)
RS232C (+24,200원)</t>
        </is>
      </c>
      <c r="Q11" s="21" t="inlineStr">
        <is>
          <t>X</t>
        </is>
      </c>
    </row>
    <row r="12">
      <c r="A12" s="0" t="n">
        <v>11</v>
      </c>
      <c r="B12" s="12" t="inlineStr">
        <is>
          <t>DS457 HD</t>
        </is>
      </c>
      <c r="D12" s="17" t="n">
        <v>250000</v>
      </c>
      <c r="E12" s="17">
        <f>D12*110%</f>
        <v/>
      </c>
      <c r="F12" s="19" t="n">
        <v>418000</v>
      </c>
      <c r="G12" s="17">
        <f>F12/110%</f>
        <v/>
      </c>
      <c r="J12" s="19" t="n">
        <v>362700</v>
      </c>
      <c r="K12" s="17">
        <f>J12/110%</f>
        <v/>
      </c>
      <c r="L12" s="22" t="inlineStr">
        <is>
          <t>유니정보</t>
        </is>
      </c>
      <c r="M12" s="3">
        <f>1-(D12/G12)</f>
        <v/>
      </c>
      <c r="N12" s="3">
        <f>1-(D12/K12)</f>
        <v/>
      </c>
      <c r="P12" t="inlineStr">
        <is>
          <t>옵션 정보 없음(상품 엑셀에 미포함)</t>
        </is>
      </c>
      <c r="Q12" t="inlineStr">
        <is>
          <t>확인필요</t>
        </is>
      </c>
    </row>
    <row r="13">
      <c r="A13" s="0" t="n">
        <v>12</v>
      </c>
      <c r="B13" s="12" t="inlineStr">
        <is>
          <t>CS6080</t>
        </is>
      </c>
      <c r="D13" s="17" t="n">
        <v>380000</v>
      </c>
      <c r="E13" s="17">
        <f>D13*110%</f>
        <v/>
      </c>
      <c r="F13" s="19" t="n">
        <v>820000</v>
      </c>
      <c r="G13" s="17">
        <f>F13/110%</f>
        <v/>
      </c>
      <c r="J13" s="19" t="n">
        <v>820000</v>
      </c>
      <c r="K13" s="17">
        <f>J13/110%</f>
        <v/>
      </c>
      <c r="L13" s="22" t="inlineStr">
        <is>
          <t>코스모스몰</t>
        </is>
      </c>
      <c r="M13" s="3">
        <f>1-(D13/G13)</f>
        <v/>
      </c>
      <c r="N13" s="3">
        <f>1-(D13/K13)</f>
        <v/>
      </c>
      <c r="P13" s="20" t="inlineStr">
        <is>
          <t>2D (+0원)</t>
        </is>
      </c>
      <c r="Q13" s="21" t="inlineStr">
        <is>
          <t>-</t>
        </is>
      </c>
    </row>
    <row r="14">
      <c r="A14" s="0" t="n">
        <v>13</v>
      </c>
      <c r="B14" s="12" t="inlineStr">
        <is>
          <t>DS3678 SR</t>
        </is>
      </c>
      <c r="D14" s="17" t="n">
        <v>750000</v>
      </c>
      <c r="E14" s="17">
        <f>D14*110%</f>
        <v/>
      </c>
      <c r="F14" s="19" t="n">
        <v>980000</v>
      </c>
      <c r="G14" s="17">
        <f>F14/110%</f>
        <v/>
      </c>
      <c r="J14" s="19" t="n">
        <v>729190</v>
      </c>
      <c r="K14" s="17">
        <f>J14/110%</f>
        <v/>
      </c>
      <c r="L14" s="22" t="inlineStr">
        <is>
          <t>더원시스</t>
        </is>
      </c>
      <c r="M14" s="3">
        <f>1-(D14/G14)</f>
        <v/>
      </c>
      <c r="N14" s="3">
        <f>1-(D14/K14)</f>
        <v/>
      </c>
      <c r="P14" s="20" t="inlineStr">
        <is>
          <t>SR버전+USB케이블 (+0원)
HD버전+USB케이블 (+220,000원)
SR버전+RS232C케이블 (+33,000원)
HD버전+RS232C케이블 (+275,000원)</t>
        </is>
      </c>
      <c r="Q14" s="21" t="inlineStr">
        <is>
          <t>O</t>
        </is>
      </c>
    </row>
    <row r="15">
      <c r="A15" s="0" t="n">
        <v>14</v>
      </c>
      <c r="B15" s="12" t="inlineStr">
        <is>
          <t>DS4608 XD</t>
        </is>
      </c>
      <c r="D15" s="17" t="n">
        <v>280000</v>
      </c>
      <c r="E15" s="17">
        <f>D15*110%</f>
        <v/>
      </c>
      <c r="F15" s="19" t="n">
        <v>495000</v>
      </c>
      <c r="G15" s="17">
        <f>F15/110%</f>
        <v/>
      </c>
      <c r="J15" s="19" t="n">
        <v>181900</v>
      </c>
      <c r="K15" s="17">
        <f>J15/110%</f>
        <v/>
      </c>
      <c r="L15" s="22" t="inlineStr">
        <is>
          <t>더원시스</t>
        </is>
      </c>
      <c r="M15" s="3">
        <f>1-(D15/G15)</f>
        <v/>
      </c>
      <c r="N15" s="3">
        <f>1-(D15/K15)</f>
        <v/>
      </c>
      <c r="P15" s="20" t="inlineStr">
        <is>
          <t>정품직선형USB / 선택안함 (+18,000원)
정품직선형USB / 스탠드거치대 (+73,000원)
RS232C / 선택안함 (+24,200원)
RS232C / 스탠드거치대 (+79,200원)
코일형USB / 선택안함 (+18,000원)
코일형USB / 스탠드거치대 (+73,000원)
본체만(케이블없음) / 선택안함 (+0원)
본체만(케이블없음) / 스탠드거치대 (+55,000원)</t>
        </is>
      </c>
      <c r="Q15" s="21" t="inlineStr">
        <is>
          <t>X</t>
        </is>
      </c>
    </row>
    <row r="16">
      <c r="A16" s="0" t="n">
        <v>15</v>
      </c>
      <c r="B16" s="12" t="inlineStr">
        <is>
          <t>DS8288</t>
        </is>
      </c>
      <c r="D16" s="17" t="n">
        <v>700000</v>
      </c>
      <c r="E16" s="17">
        <f>D16*110%</f>
        <v/>
      </c>
      <c r="F16" s="19" t="n">
        <v>1058200</v>
      </c>
      <c r="G16" s="17">
        <f>F16/110%</f>
        <v/>
      </c>
      <c r="J16" s="19" t="n">
        <v>1058200</v>
      </c>
      <c r="K16" s="17">
        <f>J16/110%</f>
        <v/>
      </c>
      <c r="L16" s="22" t="inlineStr">
        <is>
          <t>코스모스몰</t>
        </is>
      </c>
      <c r="M16" s="3">
        <f>1-(D16/G16)</f>
        <v/>
      </c>
      <c r="N16" s="3">
        <f>1-(D16/K16)</f>
        <v/>
      </c>
      <c r="P16" s="20" t="inlineStr">
        <is>
          <t>RS232C (+24,200원)
USB (+0원)</t>
        </is>
      </c>
      <c r="Q16" s="21" t="inlineStr">
        <is>
          <t>O</t>
        </is>
      </c>
    </row>
    <row r="17">
      <c r="A17" s="0" t="n">
        <v>16</v>
      </c>
      <c r="B17" s="12" t="inlineStr">
        <is>
          <t>DS8208</t>
        </is>
      </c>
      <c r="E17" s="17">
        <f>D17*110%</f>
        <v/>
      </c>
      <c r="F17" s="19" t="n">
        <v>577500</v>
      </c>
      <c r="G17" s="17">
        <f>F17/110%</f>
        <v/>
      </c>
      <c r="J17" s="19" t="n">
        <v>577500</v>
      </c>
      <c r="K17" s="17">
        <f>J17/110%</f>
        <v/>
      </c>
      <c r="L17" s="22" t="inlineStr">
        <is>
          <t>코스모스몰</t>
        </is>
      </c>
      <c r="M17" s="3">
        <f>1-(D17/G17)</f>
        <v/>
      </c>
      <c r="N17" s="3">
        <f>1-(D17/K17)</f>
        <v/>
      </c>
      <c r="P17" s="20" t="inlineStr">
        <is>
          <t>RS232C (+24,200원)
USB (+0원)</t>
        </is>
      </c>
      <c r="Q17" s="21" t="inlineStr">
        <is>
          <t>O</t>
        </is>
      </c>
    </row>
    <row r="18">
      <c r="A18" s="0" t="n">
        <v>17</v>
      </c>
      <c r="B18" s="12" t="inlineStr">
        <is>
          <t>DS3608 ER</t>
        </is>
      </c>
      <c r="D18" s="17" t="n">
        <v>65000</v>
      </c>
      <c r="E18" s="17">
        <f>D18*110%</f>
        <v/>
      </c>
      <c r="F18" s="19" t="n">
        <v>660000</v>
      </c>
      <c r="G18" s="17">
        <f>F18/110%</f>
        <v/>
      </c>
      <c r="J18" s="19" t="n">
        <v>200000</v>
      </c>
      <c r="K18" s="17">
        <f>J18/110%</f>
        <v/>
      </c>
      <c r="L18" s="22" t="inlineStr">
        <is>
          <t>바코드랩</t>
        </is>
      </c>
      <c r="M18" s="3">
        <f>1-(D18/G18)</f>
        <v/>
      </c>
      <c r="N18" s="3">
        <f>1-(D18/K18)</f>
        <v/>
      </c>
      <c r="P18" s="20" t="inlineStr">
        <is>
          <t>USB (+0원)</t>
        </is>
      </c>
      <c r="Q18" s="21" t="inlineStr">
        <is>
          <t>O</t>
        </is>
      </c>
    </row>
    <row r="19">
      <c r="A19" s="0" t="n">
        <v>18</v>
      </c>
      <c r="B19" s="12" t="inlineStr">
        <is>
          <t>LI3608 ER</t>
        </is>
      </c>
      <c r="D19" s="17" t="n">
        <v>70000</v>
      </c>
      <c r="E19" s="17">
        <f>D19*110%</f>
        <v/>
      </c>
      <c r="F19" s="19" t="n">
        <v>572000</v>
      </c>
      <c r="G19" s="17">
        <f>F19/110%</f>
        <v/>
      </c>
      <c r="J19" s="19" t="n">
        <v>495000</v>
      </c>
      <c r="K19" s="17">
        <f>J19/110%</f>
        <v/>
      </c>
      <c r="L19" s="22" t="inlineStr">
        <is>
          <t>바코드랩</t>
        </is>
      </c>
      <c r="M19" s="3">
        <f>1-(D19/G19)</f>
        <v/>
      </c>
      <c r="N19" s="3">
        <f>1-(D19/K19)</f>
        <v/>
      </c>
      <c r="P19" s="20" t="inlineStr">
        <is>
          <t>USB (+0원)</t>
        </is>
      </c>
      <c r="Q19" s="21" t="inlineStr">
        <is>
          <t>O</t>
        </is>
      </c>
    </row>
    <row r="20">
      <c r="A20" s="0" t="n">
        <v>19</v>
      </c>
      <c r="B20" s="12" t="inlineStr">
        <is>
          <t>DS3678 XR</t>
        </is>
      </c>
      <c r="E20" s="17">
        <f>D20*110%</f>
        <v/>
      </c>
      <c r="F20" s="19" t="n">
        <v>1628000</v>
      </c>
      <c r="G20" s="17">
        <f>F20/110%</f>
        <v/>
      </c>
      <c r="J20" s="19" t="n">
        <v>1628000</v>
      </c>
      <c r="K20" s="17">
        <f>J20/110%</f>
        <v/>
      </c>
      <c r="L20" s="22" t="inlineStr">
        <is>
          <t>코스모스몰</t>
        </is>
      </c>
      <c r="M20" s="3">
        <f>1-(D20/G20)</f>
        <v/>
      </c>
      <c r="N20" s="3">
        <f>1-(D20/K20)</f>
        <v/>
      </c>
      <c r="P20" s="20" t="inlineStr">
        <is>
          <t>USB (+0원)
RS232C (+24,200원)</t>
        </is>
      </c>
      <c r="Q20" s="21" t="inlineStr">
        <is>
          <t>O</t>
        </is>
      </c>
    </row>
    <row r="21">
      <c r="A21" s="0" t="n">
        <v>20</v>
      </c>
      <c r="B21" s="12" t="inlineStr">
        <is>
          <t>DS5502</t>
        </is>
      </c>
      <c r="E21" s="17">
        <f>D21*110%</f>
        <v/>
      </c>
      <c r="F21" s="19" t="n">
        <v>418000</v>
      </c>
      <c r="G21" s="17">
        <f>F21/110%</f>
        <v/>
      </c>
      <c r="J21" s="19" t="n">
        <v>390000</v>
      </c>
      <c r="K21" s="17">
        <f>J21/110%</f>
        <v/>
      </c>
      <c r="L21" s="22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20" t="inlineStr">
        <is>
          <t>RS232C (+49,500원)
USB (+0원)</t>
        </is>
      </c>
      <c r="Q21" s="21" t="inlineStr">
        <is>
          <t>O</t>
        </is>
      </c>
    </row>
    <row r="22">
      <c r="A22" s="0" t="n">
        <v>21</v>
      </c>
      <c r="B22" s="12" t="inlineStr">
        <is>
          <t>DS4678</t>
        </is>
      </c>
      <c r="D22" s="17" t="n">
        <v>440000</v>
      </c>
      <c r="E22" s="17">
        <f>D22*110%</f>
        <v/>
      </c>
      <c r="F22" s="19" t="n">
        <v>566500</v>
      </c>
      <c r="G22" s="17">
        <f>F22/110%</f>
        <v/>
      </c>
      <c r="J22" s="19" t="n">
        <v>524990</v>
      </c>
      <c r="K22" s="17">
        <f>J22/110%</f>
        <v/>
      </c>
      <c r="L22" s="22" t="inlineStr">
        <is>
          <t>코스모스전문몰</t>
        </is>
      </c>
      <c r="M22" s="3">
        <f>1-(D22/G22)</f>
        <v/>
      </c>
      <c r="N22" s="3">
        <f>1-(D22/K22)</f>
        <v/>
      </c>
      <c r="P22" s="20" t="inlineStr">
        <is>
          <t>본체+크래들만(케이블없음) (+0원)
정품직선형USB (+18,000원)
코일형USB (+18,000원)
RS232C (+24,200원)</t>
        </is>
      </c>
      <c r="Q22" s="21" t="inlineStr">
        <is>
          <t>X</t>
        </is>
      </c>
    </row>
    <row r="23">
      <c r="A23" s="0" t="n">
        <v>22</v>
      </c>
      <c r="B23" s="12" t="inlineStr">
        <is>
          <t>SP72</t>
        </is>
      </c>
      <c r="D23" s="17" t="n">
        <v>448000</v>
      </c>
      <c r="E23" s="17">
        <f>D23*110%</f>
        <v/>
      </c>
      <c r="F23" s="19" t="n">
        <v>980000</v>
      </c>
      <c r="G23" s="17">
        <f>F23/110%</f>
        <v/>
      </c>
      <c r="J23" s="19" t="n">
        <v>980000</v>
      </c>
      <c r="K23" s="17">
        <f>J23/110%</f>
        <v/>
      </c>
      <c r="L23" s="22" t="inlineStr">
        <is>
          <t>코스모스몰,더원시스</t>
        </is>
      </c>
      <c r="M23" s="3">
        <f>1-(D23/G23)</f>
        <v/>
      </c>
      <c r="N23" s="3">
        <f>1-(D23/K23)</f>
        <v/>
      </c>
      <c r="P23" s="20" t="inlineStr">
        <is>
          <t>USB (+0원)</t>
        </is>
      </c>
      <c r="Q23" s="21" t="inlineStr">
        <is>
          <t>O</t>
        </is>
      </c>
    </row>
    <row r="24">
      <c r="A24" s="0" t="n">
        <v>23</v>
      </c>
      <c r="B24" s="12" t="inlineStr">
        <is>
          <t>DS9308</t>
        </is>
      </c>
      <c r="D24" s="17" t="n"/>
      <c r="E24" s="17">
        <f>D24*110%</f>
        <v/>
      </c>
      <c r="F24" s="19" t="n">
        <v>246000</v>
      </c>
      <c r="G24" s="17">
        <f>F24/110%</f>
        <v/>
      </c>
      <c r="J24" s="19" t="n"/>
      <c r="K24" s="17" t="n"/>
      <c r="L24" s="22" t="n"/>
      <c r="M24" s="3" t="n"/>
      <c r="N24" s="3" t="n"/>
      <c r="O24" t="inlineStr">
        <is>
          <t>엑셀 누락분 추가</t>
        </is>
      </c>
      <c r="P24" s="20" t="inlineStr">
        <is>
          <t>직선형USB케이블 (+18,000원)
RS232C (+24,200원)
코일형USB (+18,000원)
본체만(케이블없음) (+0원)</t>
        </is>
      </c>
      <c r="Q24" s="21" t="inlineStr">
        <is>
          <t>X</t>
        </is>
      </c>
    </row>
    <row r="25">
      <c r="A25" s="0" t="n">
        <v>24</v>
      </c>
      <c r="B25" s="12" t="inlineStr">
        <is>
          <t>DS8178</t>
        </is>
      </c>
      <c r="D25" s="17" t="n"/>
      <c r="E25" s="17">
        <f>D25*110%</f>
        <v/>
      </c>
      <c r="F25" s="19" t="n">
        <v>660000</v>
      </c>
      <c r="G25" s="17">
        <f>F25/110%</f>
        <v/>
      </c>
      <c r="J25" s="19" t="n"/>
      <c r="K25" s="17" t="n"/>
      <c r="L25" s="22" t="n"/>
      <c r="M25" s="3" t="n"/>
      <c r="N25" s="3" t="n"/>
      <c r="O25" t="inlineStr">
        <is>
          <t>엑셀 누락분 추가</t>
        </is>
      </c>
      <c r="P25" s="20" t="inlineStr">
        <is>
          <t>정품직선형USB (+18,000원)
RS232C (+24,200원)
코일형USB (+18,000원)
본체+크래들만(케이블없음) (+0원)</t>
        </is>
      </c>
      <c r="Q25" s="21" t="inlineStr">
        <is>
          <t>X</t>
        </is>
      </c>
    </row>
    <row r="26">
      <c r="A26" s="0" t="n">
        <v>25</v>
      </c>
      <c r="B26" s="12" t="inlineStr">
        <is>
          <t>LI4278</t>
        </is>
      </c>
      <c r="D26" s="17" t="n"/>
      <c r="E26" s="17">
        <f>D26*110%</f>
        <v/>
      </c>
      <c r="F26" s="19" t="n">
        <v>380000</v>
      </c>
      <c r="G26" s="17">
        <f>F26/110%</f>
        <v/>
      </c>
      <c r="J26" s="19" t="n"/>
      <c r="K26" s="17" t="n"/>
      <c r="L26" s="22" t="n"/>
      <c r="M26" s="3" t="n"/>
      <c r="N26" s="3" t="n"/>
      <c r="O26" t="inlineStr">
        <is>
          <t>엑셀 누락분 추가</t>
        </is>
      </c>
      <c r="P26" s="20" t="inlineStr">
        <is>
          <t>정품직선형USB (+18,000원)
RS232C (+24,200원)
코일형USB (+18,000원)
본체+크래들만(케이블없음) (+0원)</t>
        </is>
      </c>
      <c r="Q26" s="21" t="inlineStr">
        <is>
          <t>X</t>
        </is>
      </c>
    </row>
    <row r="27">
      <c r="A27" s="0" t="n">
        <v>26</v>
      </c>
      <c r="B27" s="12" t="inlineStr">
        <is>
          <t>RS6100</t>
        </is>
      </c>
      <c r="D27" s="17" t="n"/>
      <c r="E27" s="17">
        <f>D27*110%</f>
        <v/>
      </c>
      <c r="F27" s="19" t="n">
        <v>0</v>
      </c>
      <c r="G27" s="17">
        <f>F27/110%</f>
        <v/>
      </c>
      <c r="J27" s="19" t="n"/>
      <c r="K27" s="17" t="n"/>
      <c r="L27" s="22" t="n"/>
      <c r="M27" s="3" t="n"/>
      <c r="N27" s="3" t="n"/>
      <c r="O27" t="inlineStr">
        <is>
          <t>엑셀 누락분 추가 / 견적요청 상품(판매가 0원)</t>
        </is>
      </c>
      <c r="P27" s="20" t="inlineStr">
        <is>
          <t>링트리거 (+0원)</t>
        </is>
      </c>
      <c r="Q27" s="21" t="inlineStr">
        <is>
          <t>-</t>
        </is>
      </c>
    </row>
    <row r="28">
      <c r="A28" s="0" t="n">
        <v>27</v>
      </c>
      <c r="B28" s="12" t="inlineStr">
        <is>
          <t>FS10</t>
        </is>
      </c>
      <c r="D28" s="17" t="n"/>
      <c r="E28" s="17">
        <f>D28*110%</f>
        <v/>
      </c>
      <c r="F28" s="19" t="n">
        <v>0</v>
      </c>
      <c r="G28" s="17">
        <f>F28/110%</f>
        <v/>
      </c>
      <c r="J28" s="19" t="n"/>
      <c r="K28" s="17" t="n"/>
      <c r="L28" s="22" t="n"/>
      <c r="M28" s="3" t="n"/>
      <c r="N28" s="3" t="n"/>
      <c r="O28" t="inlineStr">
        <is>
          <t>엑셀 누락분 추가 / 견적요청 상품(판매가 0원)</t>
        </is>
      </c>
      <c r="P28" s="20" t="inlineStr">
        <is>
          <t>본체 (+0원)</t>
        </is>
      </c>
      <c r="Q28" s="21" t="inlineStr">
        <is>
          <t>-</t>
        </is>
      </c>
    </row>
    <row r="29">
      <c r="A29" s="0" t="n">
        <v>28</v>
      </c>
      <c r="B29" s="12" t="inlineStr">
        <is>
          <t>FS20</t>
        </is>
      </c>
      <c r="D29" s="17" t="n"/>
      <c r="E29" s="17">
        <f>D29*110%</f>
        <v/>
      </c>
      <c r="F29" s="19" t="n">
        <v>0</v>
      </c>
      <c r="G29" s="17">
        <f>F29/110%</f>
        <v/>
      </c>
      <c r="J29" s="19" t="n"/>
      <c r="K29" s="17" t="n"/>
      <c r="L29" s="22" t="n"/>
      <c r="M29" s="3" t="n"/>
      <c r="N29" s="3" t="n"/>
      <c r="O29" t="inlineStr">
        <is>
          <t>엑셀 누락분 추가 / 견적요청 상품(판매가 0원)</t>
        </is>
      </c>
      <c r="P29" s="20" t="inlineStr">
        <is>
          <t>본체 (+0원)</t>
        </is>
      </c>
      <c r="Q29" s="21" t="inlineStr">
        <is>
          <t>-</t>
        </is>
      </c>
    </row>
    <row r="30">
      <c r="A30" s="0" t="n">
        <v>29</v>
      </c>
      <c r="B30" s="12" t="inlineStr">
        <is>
          <t>FS40</t>
        </is>
      </c>
      <c r="D30" s="17" t="n"/>
      <c r="E30" s="17">
        <f>D30*110%</f>
        <v/>
      </c>
      <c r="F30" s="19" t="n">
        <v>0</v>
      </c>
      <c r="G30" s="17">
        <f>F30/110%</f>
        <v/>
      </c>
      <c r="J30" s="19" t="n"/>
      <c r="K30" s="17" t="n"/>
      <c r="L30" s="22" t="n"/>
      <c r="M30" s="3" t="n"/>
      <c r="N30" s="3" t="n"/>
      <c r="O30" t="inlineStr">
        <is>
          <t>엑셀 누락분 추가 / 견적요청 상품(판매가 0원)</t>
        </is>
      </c>
      <c r="P30" s="20" t="inlineStr">
        <is>
          <t>본체 (+0원)</t>
        </is>
      </c>
      <c r="Q30" s="21" t="inlineStr">
        <is>
          <t>-</t>
        </is>
      </c>
    </row>
    <row r="31">
      <c r="A31" s="0" t="n">
        <v>30</v>
      </c>
      <c r="B31" s="12" t="inlineStr">
        <is>
          <t>FS70</t>
        </is>
      </c>
      <c r="D31" s="17" t="n"/>
      <c r="E31" s="17">
        <f>D31*110%</f>
        <v/>
      </c>
      <c r="F31" s="19" t="n">
        <v>0</v>
      </c>
      <c r="G31" s="17">
        <f>F31/110%</f>
        <v/>
      </c>
      <c r="J31" s="19" t="n"/>
      <c r="K31" s="17" t="n"/>
      <c r="L31" s="22" t="n"/>
      <c r="M31" s="3" t="n"/>
      <c r="N31" s="3" t="n"/>
      <c r="O31" t="inlineStr">
        <is>
          <t>엑셀 누락분 추가 / 견적요청 상품(판매가 0원)</t>
        </is>
      </c>
      <c r="P31" s="20" t="inlineStr">
        <is>
          <t>본체 (+0원)</t>
        </is>
      </c>
      <c r="Q31" s="21" t="inlineStr">
        <is>
          <t>-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6" min="1" max="1"/>
    <col width="16.125" customWidth="1" style="16" min="2" max="2"/>
    <col hidden="1" width="16.75" customWidth="1" style="16" min="3" max="3"/>
    <col width="13.625" customWidth="1" style="16" min="4" max="4"/>
    <col width="13.5" customWidth="1" style="16" min="5" max="5"/>
    <col width="14.375" customWidth="1" style="16" min="6" max="6"/>
    <col width="13.875" customWidth="1" style="16" min="7" max="9"/>
    <col width="14.875" customWidth="1" style="16" min="10" max="10"/>
    <col width="14.75" customWidth="1" style="16" min="11" max="11"/>
    <col width="19.875" customWidth="1" style="16" min="12" max="12"/>
    <col width="18.125" customWidth="1" style="16" min="13" max="13"/>
    <col width="19.625" customWidth="1" style="16" min="14" max="1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17" t="n">
        <v>470000</v>
      </c>
      <c r="E2" s="17">
        <f>D2*1.1</f>
        <v/>
      </c>
      <c r="F2" s="17" t="n">
        <v>800000</v>
      </c>
      <c r="G2" s="17">
        <f>F2/110%</f>
        <v/>
      </c>
      <c r="H2" s="17" t="n"/>
      <c r="I2" s="17" t="n"/>
      <c r="J2" s="17" t="n">
        <v>746630</v>
      </c>
      <c r="K2" s="17">
        <f>J2/1.1</f>
        <v/>
      </c>
      <c r="L2" s="17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17" t="n">
        <v>2266000</v>
      </c>
      <c r="E3" s="17">
        <f>D3*1.1</f>
        <v/>
      </c>
      <c r="F3" s="17" t="n">
        <v>2600000</v>
      </c>
      <c r="G3" s="17">
        <f>F3/110%</f>
        <v/>
      </c>
      <c r="H3" s="17" t="n"/>
      <c r="I3" s="17" t="n"/>
      <c r="J3" s="17" t="n">
        <v>2600000</v>
      </c>
      <c r="K3" s="17">
        <f>J3/1.1</f>
        <v/>
      </c>
      <c r="L3" s="17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4" t="n">
        <v>1840000</v>
      </c>
      <c r="E4" s="24">
        <f>D4*1.1</f>
        <v/>
      </c>
      <c r="F4" s="24" t="n">
        <v>2640000</v>
      </c>
      <c r="G4" s="24">
        <f>F4/110%</f>
        <v/>
      </c>
      <c r="H4" s="25" t="n">
        <v>2500000</v>
      </c>
      <c r="I4" s="25">
        <f>ROUND(H4*1.1/0.95,-1)</f>
        <v/>
      </c>
      <c r="J4" s="24" t="n">
        <v>2640000</v>
      </c>
      <c r="K4" s="24">
        <f>J4/1.1</f>
        <v/>
      </c>
      <c r="L4" s="24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17" t="n"/>
      <c r="E5" s="17">
        <f>D5*1.1</f>
        <v/>
      </c>
      <c r="F5" s="17" t="n">
        <v>3300000</v>
      </c>
      <c r="G5" s="17">
        <f>F5/110%</f>
        <v/>
      </c>
      <c r="H5" s="17" t="n"/>
      <c r="I5" s="17" t="n"/>
      <c r="J5" s="17" t="n">
        <v>3250450</v>
      </c>
      <c r="K5" s="17">
        <f>J5/1.1</f>
        <v/>
      </c>
      <c r="L5" s="17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17" t="n">
        <v>1030000</v>
      </c>
      <c r="E6" s="17">
        <f>D6*1.1</f>
        <v/>
      </c>
      <c r="F6" s="17" t="n">
        <v>1210000</v>
      </c>
      <c r="G6" s="17">
        <f>F6/110%</f>
        <v/>
      </c>
      <c r="H6" s="17" t="n"/>
      <c r="I6" s="17" t="n"/>
      <c r="J6" s="17" t="n">
        <v>1180000</v>
      </c>
      <c r="K6" s="17">
        <f>J6/1.1</f>
        <v/>
      </c>
      <c r="L6" s="17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17" t="n"/>
      <c r="E7" s="17">
        <f>D7*1.1</f>
        <v/>
      </c>
      <c r="F7" s="17" t="n">
        <v>3300000</v>
      </c>
      <c r="G7" s="17">
        <f>F7/110%</f>
        <v/>
      </c>
      <c r="H7" s="17" t="n"/>
      <c r="I7" s="17" t="n"/>
      <c r="J7" s="17" t="n">
        <v>3249900</v>
      </c>
      <c r="K7" s="17">
        <f>J7/1.1</f>
        <v/>
      </c>
      <c r="L7" s="17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4" t="n">
        <v>2500000</v>
      </c>
      <c r="E8" s="24">
        <f>D8*1.1</f>
        <v/>
      </c>
      <c r="F8" s="24" t="n">
        <v>2640000</v>
      </c>
      <c r="G8" s="25" t="n"/>
      <c r="H8" s="25" t="n">
        <v>3000000</v>
      </c>
      <c r="I8" s="25">
        <f>ROUND(H8*1.1/0.95,-1)</f>
        <v/>
      </c>
      <c r="J8" s="24" t="n">
        <v>2577960</v>
      </c>
      <c r="K8" s="24">
        <f>J8/1.1</f>
        <v/>
      </c>
      <c r="L8" s="24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17" t="n">
        <v>2470000</v>
      </c>
      <c r="E9" s="17">
        <f>D9*1.1</f>
        <v/>
      </c>
      <c r="F9" s="17" t="n">
        <v>3190000</v>
      </c>
      <c r="G9" s="17">
        <f>F9/110%</f>
        <v/>
      </c>
      <c r="H9" s="17" t="n"/>
      <c r="I9" s="17" t="n"/>
      <c r="J9" s="17" t="n">
        <v>3115040</v>
      </c>
      <c r="K9" s="17">
        <f>J9/1.1</f>
        <v/>
      </c>
      <c r="L9" s="17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4" t="n">
        <v>1490000</v>
      </c>
      <c r="E10" s="24">
        <f>D10*1.1</f>
        <v/>
      </c>
      <c r="F10" s="24" t="n">
        <v>2750000</v>
      </c>
      <c r="G10" s="24">
        <f>F10/110%</f>
        <v/>
      </c>
      <c r="H10" s="24" t="n"/>
      <c r="I10" s="24" t="n"/>
      <c r="J10" s="24" t="n">
        <v>2750000</v>
      </c>
      <c r="K10" s="24">
        <f>J10/1.1</f>
        <v/>
      </c>
      <c r="L10" s="24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17" t="n">
        <v>560000</v>
      </c>
      <c r="E11" s="17">
        <f>D11*1.1</f>
        <v/>
      </c>
      <c r="F11" s="17" t="n">
        <v>979000</v>
      </c>
      <c r="G11" s="17">
        <f>F11/110%</f>
        <v/>
      </c>
      <c r="H11" s="17" t="n"/>
      <c r="I11" s="17" t="n"/>
      <c r="J11" s="17" t="n">
        <v>929930</v>
      </c>
      <c r="K11" s="17">
        <f>J11/1.1</f>
        <v/>
      </c>
      <c r="L11" s="17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17" t="n"/>
      <c r="E12" s="17">
        <f>D12*1.1</f>
        <v/>
      </c>
      <c r="F12" s="17" t="n">
        <v>3850000</v>
      </c>
      <c r="G12" s="17">
        <f>F12/110%</f>
        <v/>
      </c>
      <c r="H12" s="17" t="n"/>
      <c r="I12" s="17" t="n"/>
      <c r="J12" s="17" t="n">
        <v>3850000</v>
      </c>
      <c r="K12" s="17">
        <f>J12/1.1</f>
        <v/>
      </c>
      <c r="L12" s="17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17" t="n">
        <v>1150000</v>
      </c>
      <c r="E13" s="17">
        <f>D13*1.1</f>
        <v/>
      </c>
      <c r="F13" s="17" t="n">
        <v>1650000</v>
      </c>
      <c r="G13" s="17">
        <f>F13/110%</f>
        <v/>
      </c>
      <c r="H13" s="17" t="n"/>
      <c r="I13" s="17" t="n"/>
      <c r="J13" s="17" t="n">
        <v>1650000</v>
      </c>
      <c r="K13" s="17">
        <f>J13/1.1</f>
        <v/>
      </c>
      <c r="L13" s="17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26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16" min="1" max="1"/>
    <col width="14" customWidth="1" style="16" min="2" max="2"/>
    <col width="18" customWidth="1" style="16" min="3" max="3"/>
    <col width="22" customWidth="1" style="16" min="4" max="4"/>
    <col width="32" customWidth="1" style="16" min="5" max="5"/>
    <col width="14" customWidth="1" style="16" min="6" max="6"/>
    <col width="18" customWidth="1" style="16" min="7" max="7"/>
    <col width="18" customWidth="1" style="16" min="8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t="n">
        <v>1</v>
      </c>
      <c r="B2" t="inlineStr">
        <is>
          <t>LS2208 SR</t>
        </is>
      </c>
      <c r="C2" s="27">
        <f>'지브라-스캐너'!F2</f>
        <v/>
      </c>
      <c r="D2" t="inlineStr">
        <is>
          <t>인터페이스</t>
        </is>
      </c>
      <c r="E2" t="inlineStr">
        <is>
          <t>정품직선형USB</t>
        </is>
      </c>
      <c r="F2" s="27" t="n">
        <v>18000</v>
      </c>
      <c r="G2" s="27">
        <f>C2+F2</f>
        <v/>
      </c>
      <c r="H2" s="27">
        <f>G2/110%</f>
        <v/>
      </c>
    </row>
    <row r="3">
      <c r="A3" t="n">
        <v>2</v>
      </c>
      <c r="B3" t="inlineStr">
        <is>
          <t>LS2208 SR</t>
        </is>
      </c>
      <c r="C3" s="27">
        <f>'지브라-스캐너'!F2</f>
        <v/>
      </c>
      <c r="D3" t="inlineStr">
        <is>
          <t>인터페이스</t>
        </is>
      </c>
      <c r="E3" t="inlineStr">
        <is>
          <t>코일형USB</t>
        </is>
      </c>
      <c r="F3" s="27" t="n">
        <v>18000</v>
      </c>
      <c r="G3" s="27">
        <f>C3+F3</f>
        <v/>
      </c>
      <c r="H3" s="27">
        <f>G3/110%</f>
        <v/>
      </c>
    </row>
    <row r="4">
      <c r="A4" t="n">
        <v>3</v>
      </c>
      <c r="B4" t="inlineStr">
        <is>
          <t>LS2208 SR</t>
        </is>
      </c>
      <c r="C4" s="27">
        <f>'지브라-스캐너'!F2</f>
        <v/>
      </c>
      <c r="D4" t="inlineStr">
        <is>
          <t>인터페이스</t>
        </is>
      </c>
      <c r="E4" t="inlineStr">
        <is>
          <t>RS232C</t>
        </is>
      </c>
      <c r="F4" s="27" t="n">
        <v>24200</v>
      </c>
      <c r="G4" s="27">
        <f>C4+F4</f>
        <v/>
      </c>
      <c r="H4" s="27">
        <f>G4/110%</f>
        <v/>
      </c>
    </row>
    <row r="5">
      <c r="A5" t="n">
        <v>4</v>
      </c>
      <c r="B5" t="inlineStr">
        <is>
          <t>LS2208 SR</t>
        </is>
      </c>
      <c r="C5" s="27">
        <f>'지브라-스캐너'!F2</f>
        <v/>
      </c>
      <c r="D5" t="inlineStr">
        <is>
          <t>인터페이스</t>
        </is>
      </c>
      <c r="E5" t="inlineStr">
        <is>
          <t>본체만(케이블없음)</t>
        </is>
      </c>
      <c r="F5" s="27" t="n">
        <v>0</v>
      </c>
      <c r="G5" s="27">
        <f>C5+F5</f>
        <v/>
      </c>
      <c r="H5" s="27">
        <f>G5/110%</f>
        <v/>
      </c>
    </row>
    <row r="6">
      <c r="A6" t="n">
        <v>5</v>
      </c>
      <c r="B6" t="inlineStr">
        <is>
          <t>DS2278</t>
        </is>
      </c>
      <c r="C6" s="27">
        <f>'지브라-스캐너'!F3</f>
        <v/>
      </c>
      <c r="D6" t="inlineStr">
        <is>
          <t>인터페이스</t>
        </is>
      </c>
      <c r="E6" t="inlineStr">
        <is>
          <t>정품직선형USB</t>
        </is>
      </c>
      <c r="F6" s="27" t="n">
        <v>18000</v>
      </c>
      <c r="G6" s="27">
        <f>C6+F6</f>
        <v/>
      </c>
      <c r="H6" s="27">
        <f>G6/110%</f>
        <v/>
      </c>
    </row>
    <row r="7">
      <c r="A7" t="n">
        <v>6</v>
      </c>
      <c r="B7" t="inlineStr">
        <is>
          <t>DS2278</t>
        </is>
      </c>
      <c r="C7" s="27">
        <f>'지브라-스캐너'!F3</f>
        <v/>
      </c>
      <c r="D7" t="inlineStr">
        <is>
          <t>인터페이스</t>
        </is>
      </c>
      <c r="E7" t="inlineStr">
        <is>
          <t>코일형USB</t>
        </is>
      </c>
      <c r="F7" s="27" t="n">
        <v>18000</v>
      </c>
      <c r="G7" s="27">
        <f>C7+F7</f>
        <v/>
      </c>
      <c r="H7" s="27">
        <f>G7/110%</f>
        <v/>
      </c>
    </row>
    <row r="8">
      <c r="A8" t="n">
        <v>7</v>
      </c>
      <c r="B8" t="inlineStr">
        <is>
          <t>DS2278</t>
        </is>
      </c>
      <c r="C8" s="27">
        <f>'지브라-스캐너'!F3</f>
        <v/>
      </c>
      <c r="D8" t="inlineStr">
        <is>
          <t>인터페이스</t>
        </is>
      </c>
      <c r="E8" t="inlineStr">
        <is>
          <t>RS232C</t>
        </is>
      </c>
      <c r="F8" s="27" t="n">
        <v>24200</v>
      </c>
      <c r="G8" s="27">
        <f>C8+F8</f>
        <v/>
      </c>
      <c r="H8" s="27">
        <f>G8/110%</f>
        <v/>
      </c>
    </row>
    <row r="9">
      <c r="A9" t="n">
        <v>8</v>
      </c>
      <c r="B9" t="inlineStr">
        <is>
          <t>DS2278</t>
        </is>
      </c>
      <c r="C9" s="27">
        <f>'지브라-스캐너'!F3</f>
        <v/>
      </c>
      <c r="D9" t="inlineStr">
        <is>
          <t>인터페이스</t>
        </is>
      </c>
      <c r="E9" t="inlineStr">
        <is>
          <t>본체+크래들만(케이블없음)</t>
        </is>
      </c>
      <c r="F9" s="27" t="n">
        <v>0</v>
      </c>
      <c r="G9" s="27">
        <f>C9+F9</f>
        <v/>
      </c>
      <c r="H9" s="27">
        <f>G9/110%</f>
        <v/>
      </c>
    </row>
    <row r="10">
      <c r="A10" t="n">
        <v>9</v>
      </c>
      <c r="B10" t="inlineStr">
        <is>
          <t>DS2208</t>
        </is>
      </c>
      <c r="C10" s="27">
        <f>'지브라-스캐너'!F4</f>
        <v/>
      </c>
      <c r="D10" t="inlineStr">
        <is>
          <t>인터페이스 / 악세사리</t>
        </is>
      </c>
      <c r="E10" t="inlineStr">
        <is>
          <t>정품직선형USB / 선택안함</t>
        </is>
      </c>
      <c r="F10" s="27" t="n">
        <v>18000</v>
      </c>
      <c r="G10" s="27">
        <f>C10+F10</f>
        <v/>
      </c>
      <c r="H10" s="27">
        <f>G10/110%</f>
        <v/>
      </c>
    </row>
    <row r="11">
      <c r="A11" t="n">
        <v>10</v>
      </c>
      <c r="B11" t="inlineStr">
        <is>
          <t>DS2208</t>
        </is>
      </c>
      <c r="C11" s="27">
        <f>'지브라-스캐너'!F4</f>
        <v/>
      </c>
      <c r="D11" t="inlineStr">
        <is>
          <t>인터페이스 / 악세사리</t>
        </is>
      </c>
      <c r="E11" t="inlineStr">
        <is>
          <t>정품직선형USB / 스탠드거치대</t>
        </is>
      </c>
      <c r="F11" s="27" t="n">
        <v>73000</v>
      </c>
      <c r="G11" s="27">
        <f>C11+F11</f>
        <v/>
      </c>
      <c r="H11" s="27">
        <f>G11/110%</f>
        <v/>
      </c>
    </row>
    <row r="12">
      <c r="A12" t="n">
        <v>11</v>
      </c>
      <c r="B12" t="inlineStr">
        <is>
          <t>DS2208</t>
        </is>
      </c>
      <c r="C12" s="27">
        <f>'지브라-스캐너'!F4</f>
        <v/>
      </c>
      <c r="D12" t="inlineStr">
        <is>
          <t>인터페이스 / 악세사리</t>
        </is>
      </c>
      <c r="E12" t="inlineStr">
        <is>
          <t>RS232C / 선택안함</t>
        </is>
      </c>
      <c r="F12" s="27" t="n">
        <v>24200</v>
      </c>
      <c r="G12" s="27">
        <f>C12+F12</f>
        <v/>
      </c>
      <c r="H12" s="27">
        <f>G12/110%</f>
        <v/>
      </c>
    </row>
    <row r="13">
      <c r="A13" t="n">
        <v>12</v>
      </c>
      <c r="B13" t="inlineStr">
        <is>
          <t>DS2208</t>
        </is>
      </c>
      <c r="C13" s="27">
        <f>'지브라-스캐너'!F4</f>
        <v/>
      </c>
      <c r="D13" t="inlineStr">
        <is>
          <t>인터페이스 / 악세사리</t>
        </is>
      </c>
      <c r="E13" t="inlineStr">
        <is>
          <t>RS232C / 스탠드거치대</t>
        </is>
      </c>
      <c r="F13" s="27" t="n">
        <v>79200</v>
      </c>
      <c r="G13" s="27">
        <f>C13+F13</f>
        <v/>
      </c>
      <c r="H13" s="27">
        <f>G13/110%</f>
        <v/>
      </c>
    </row>
    <row r="14">
      <c r="A14" t="n">
        <v>13</v>
      </c>
      <c r="B14" t="inlineStr">
        <is>
          <t>DS2208</t>
        </is>
      </c>
      <c r="C14" s="27">
        <f>'지브라-스캐너'!F4</f>
        <v/>
      </c>
      <c r="D14" t="inlineStr">
        <is>
          <t>인터페이스 / 악세사리</t>
        </is>
      </c>
      <c r="E14" t="inlineStr">
        <is>
          <t>코일형USB / 선택안함</t>
        </is>
      </c>
      <c r="F14" s="27" t="n">
        <v>18000</v>
      </c>
      <c r="G14" s="27">
        <f>C14+F14</f>
        <v/>
      </c>
      <c r="H14" s="27">
        <f>G14/110%</f>
        <v/>
      </c>
    </row>
    <row r="15">
      <c r="A15" t="n">
        <v>14</v>
      </c>
      <c r="B15" t="inlineStr">
        <is>
          <t>DS2208</t>
        </is>
      </c>
      <c r="C15" s="27">
        <f>'지브라-스캐너'!F4</f>
        <v/>
      </c>
      <c r="D15" t="inlineStr">
        <is>
          <t>인터페이스 / 악세사리</t>
        </is>
      </c>
      <c r="E15" t="inlineStr">
        <is>
          <t>코일형USB / 스탠드거치대</t>
        </is>
      </c>
      <c r="F15" s="27" t="n">
        <v>73000</v>
      </c>
      <c r="G15" s="27">
        <f>C15+F15</f>
        <v/>
      </c>
      <c r="H15" s="27">
        <f>G15/110%</f>
        <v/>
      </c>
    </row>
    <row r="16">
      <c r="A16" t="n">
        <v>15</v>
      </c>
      <c r="B16" t="inlineStr">
        <is>
          <t>DS2208</t>
        </is>
      </c>
      <c r="C16" s="27">
        <f>'지브라-스캐너'!F4</f>
        <v/>
      </c>
      <c r="D16" t="inlineStr">
        <is>
          <t>인터페이스 / 악세사리</t>
        </is>
      </c>
      <c r="E16" t="inlineStr">
        <is>
          <t>본체만(케이블없음) / 선택안함</t>
        </is>
      </c>
      <c r="F16" s="27" t="n">
        <v>0</v>
      </c>
      <c r="G16" s="27">
        <f>C16+F16</f>
        <v/>
      </c>
      <c r="H16" s="27">
        <f>G16/110%</f>
        <v/>
      </c>
    </row>
    <row r="17">
      <c r="A17" t="n">
        <v>16</v>
      </c>
      <c r="B17" t="inlineStr">
        <is>
          <t>DS2208</t>
        </is>
      </c>
      <c r="C17" s="27">
        <f>'지브라-스캐너'!F4</f>
        <v/>
      </c>
      <c r="D17" t="inlineStr">
        <is>
          <t>인터페이스 / 악세사리</t>
        </is>
      </c>
      <c r="E17" t="inlineStr">
        <is>
          <t>본체만(케이블없음) / 스탠드거치대</t>
        </is>
      </c>
      <c r="F17" s="27" t="n">
        <v>55000</v>
      </c>
      <c r="G17" s="27">
        <f>C17+F17</f>
        <v/>
      </c>
      <c r="H17" s="27">
        <f>G17/110%</f>
        <v/>
      </c>
    </row>
    <row r="18">
      <c r="A18" t="n">
        <v>17</v>
      </c>
      <c r="B18" t="inlineStr">
        <is>
          <t>DS8108</t>
        </is>
      </c>
      <c r="C18" s="27">
        <f>'지브라-스캐너'!F5</f>
        <v/>
      </c>
      <c r="D18" t="inlineStr">
        <is>
          <t>인터페이스</t>
        </is>
      </c>
      <c r="E18" t="inlineStr">
        <is>
          <t>정품직선형USB</t>
        </is>
      </c>
      <c r="F18" s="27" t="n">
        <v>16500</v>
      </c>
      <c r="G18" s="27">
        <f>C18+F18</f>
        <v/>
      </c>
      <c r="H18" s="27">
        <f>G18/110%</f>
        <v/>
      </c>
    </row>
    <row r="19">
      <c r="A19" t="n">
        <v>18</v>
      </c>
      <c r="B19" t="inlineStr">
        <is>
          <t>DS8108</t>
        </is>
      </c>
      <c r="C19" s="27">
        <f>'지브라-스캐너'!F5</f>
        <v/>
      </c>
      <c r="D19" t="inlineStr">
        <is>
          <t>인터페이스</t>
        </is>
      </c>
      <c r="E19" t="inlineStr">
        <is>
          <t>RS232C</t>
        </is>
      </c>
      <c r="F19" s="27" t="n">
        <v>24200</v>
      </c>
      <c r="G19" s="27">
        <f>C19+F19</f>
        <v/>
      </c>
      <c r="H19" s="27">
        <f>G19/110%</f>
        <v/>
      </c>
    </row>
    <row r="20">
      <c r="A20" t="n">
        <v>19</v>
      </c>
      <c r="B20" t="inlineStr">
        <is>
          <t>DS8108</t>
        </is>
      </c>
      <c r="C20" s="27">
        <f>'지브라-스캐너'!F5</f>
        <v/>
      </c>
      <c r="D20" t="inlineStr">
        <is>
          <t>인터페이스</t>
        </is>
      </c>
      <c r="E20" t="inlineStr">
        <is>
          <t>본체만</t>
        </is>
      </c>
      <c r="F20" s="27" t="n">
        <v>0</v>
      </c>
      <c r="G20" s="27">
        <f>C20+F20</f>
        <v/>
      </c>
      <c r="H20" s="27">
        <f>G20/110%</f>
        <v/>
      </c>
    </row>
    <row r="21">
      <c r="A21" t="n">
        <v>20</v>
      </c>
      <c r="B21" t="inlineStr">
        <is>
          <t>DS4608 SR</t>
        </is>
      </c>
      <c r="C21" s="27">
        <f>'지브라-스캐너'!F6</f>
        <v/>
      </c>
      <c r="D21" t="inlineStr">
        <is>
          <t>인터페이스 / 악세사리</t>
        </is>
      </c>
      <c r="E21" t="inlineStr">
        <is>
          <t>정품직선형USB / 선택안함</t>
        </is>
      </c>
      <c r="F21" s="27" t="n">
        <v>18000</v>
      </c>
      <c r="G21" s="27">
        <f>C21+F21</f>
        <v/>
      </c>
      <c r="H21" s="27">
        <f>G21/110%</f>
        <v/>
      </c>
    </row>
    <row r="22">
      <c r="A22" t="n">
        <v>21</v>
      </c>
      <c r="B22" t="inlineStr">
        <is>
          <t>DS4608 SR</t>
        </is>
      </c>
      <c r="C22" s="27">
        <f>'지브라-스캐너'!F6</f>
        <v/>
      </c>
      <c r="D22" t="inlineStr">
        <is>
          <t>인터페이스 / 악세사리</t>
        </is>
      </c>
      <c r="E22" t="inlineStr">
        <is>
          <t>정품직선형USB / 스탠드거치대</t>
        </is>
      </c>
      <c r="F22" s="27" t="n">
        <v>73000</v>
      </c>
      <c r="G22" s="27">
        <f>C22+F22</f>
        <v/>
      </c>
      <c r="H22" s="27">
        <f>G22/110%</f>
        <v/>
      </c>
    </row>
    <row r="23">
      <c r="A23" t="n">
        <v>22</v>
      </c>
      <c r="B23" t="inlineStr">
        <is>
          <t>DS4608 SR</t>
        </is>
      </c>
      <c r="C23" s="27">
        <f>'지브라-스캐너'!F6</f>
        <v/>
      </c>
      <c r="D23" t="inlineStr">
        <is>
          <t>인터페이스 / 악세사리</t>
        </is>
      </c>
      <c r="E23" t="inlineStr">
        <is>
          <t>RS232C / 선택안함</t>
        </is>
      </c>
      <c r="F23" s="27" t="n">
        <v>24200</v>
      </c>
      <c r="G23" s="27">
        <f>C23+F23</f>
        <v/>
      </c>
      <c r="H23" s="27">
        <f>G23/110%</f>
        <v/>
      </c>
    </row>
    <row r="24">
      <c r="A24" t="n">
        <v>23</v>
      </c>
      <c r="B24" t="inlineStr">
        <is>
          <t>DS4608 SR</t>
        </is>
      </c>
      <c r="C24" s="27">
        <f>'지브라-스캐너'!F6</f>
        <v/>
      </c>
      <c r="D24" t="inlineStr">
        <is>
          <t>인터페이스 / 악세사리</t>
        </is>
      </c>
      <c r="E24" t="inlineStr">
        <is>
          <t>RS232C / 스탠드거치대</t>
        </is>
      </c>
      <c r="F24" s="27" t="n">
        <v>79200</v>
      </c>
      <c r="G24" s="27">
        <f>C24+F24</f>
        <v/>
      </c>
      <c r="H24" s="27">
        <f>G24/110%</f>
        <v/>
      </c>
    </row>
    <row r="25">
      <c r="A25" t="n">
        <v>24</v>
      </c>
      <c r="B25" t="inlineStr">
        <is>
          <t>DS4608 SR</t>
        </is>
      </c>
      <c r="C25" s="27">
        <f>'지브라-스캐너'!F6</f>
        <v/>
      </c>
      <c r="D25" t="inlineStr">
        <is>
          <t>인터페이스 / 악세사리</t>
        </is>
      </c>
      <c r="E25" t="inlineStr">
        <is>
          <t>코일형USB / 선택안함</t>
        </is>
      </c>
      <c r="F25" s="27" t="n">
        <v>18000</v>
      </c>
      <c r="G25" s="27">
        <f>C25+F25</f>
        <v/>
      </c>
      <c r="H25" s="27">
        <f>G25/110%</f>
        <v/>
      </c>
    </row>
    <row r="26">
      <c r="A26" t="n">
        <v>25</v>
      </c>
      <c r="B26" t="inlineStr">
        <is>
          <t>DS4608 SR</t>
        </is>
      </c>
      <c r="C26" s="27">
        <f>'지브라-스캐너'!F6</f>
        <v/>
      </c>
      <c r="D26" t="inlineStr">
        <is>
          <t>인터페이스 / 악세사리</t>
        </is>
      </c>
      <c r="E26" t="inlineStr">
        <is>
          <t>코일형USB / 스탠드거치대</t>
        </is>
      </c>
      <c r="F26" s="27" t="n">
        <v>73000</v>
      </c>
      <c r="G26" s="27">
        <f>C26+F26</f>
        <v/>
      </c>
      <c r="H26" s="27">
        <f>G26/110%</f>
        <v/>
      </c>
    </row>
    <row r="27">
      <c r="A27" t="n">
        <v>26</v>
      </c>
      <c r="B27" t="inlineStr">
        <is>
          <t>DS4608 SR</t>
        </is>
      </c>
      <c r="C27" s="27">
        <f>'지브라-스캐너'!F6</f>
        <v/>
      </c>
      <c r="D27" t="inlineStr">
        <is>
          <t>인터페이스 / 악세사리</t>
        </is>
      </c>
      <c r="E27" t="inlineStr">
        <is>
          <t>본체만(케이블없음) / 선택안함</t>
        </is>
      </c>
      <c r="F27" s="27" t="n">
        <v>0</v>
      </c>
      <c r="G27" s="27">
        <f>C27+F27</f>
        <v/>
      </c>
      <c r="H27" s="27">
        <f>G27/110%</f>
        <v/>
      </c>
    </row>
    <row r="28">
      <c r="A28" t="n">
        <v>27</v>
      </c>
      <c r="B28" t="inlineStr">
        <is>
          <t>DS4608 SR</t>
        </is>
      </c>
      <c r="C28" s="27">
        <f>'지브라-스캐너'!F6</f>
        <v/>
      </c>
      <c r="D28" t="inlineStr">
        <is>
          <t>인터페이스 / 악세사리</t>
        </is>
      </c>
      <c r="E28" t="inlineStr">
        <is>
          <t>본체만(케이블없음) / 스탠드거치대</t>
        </is>
      </c>
      <c r="F28" s="27" t="n">
        <v>55000</v>
      </c>
      <c r="G28" s="27">
        <f>C28+F28</f>
        <v/>
      </c>
      <c r="H28" s="27">
        <f>G28/110%</f>
        <v/>
      </c>
    </row>
    <row r="29">
      <c r="A29" t="n">
        <v>28</v>
      </c>
      <c r="B29" t="inlineStr">
        <is>
          <t>LI2208</t>
        </is>
      </c>
      <c r="C29" s="27">
        <f>'지브라-스캐너'!F7</f>
        <v/>
      </c>
      <c r="D29" t="inlineStr">
        <is>
          <t>인터페이스</t>
        </is>
      </c>
      <c r="E29" t="inlineStr">
        <is>
          <t>정품직선형USB</t>
        </is>
      </c>
      <c r="F29" s="27" t="n">
        <v>16500</v>
      </c>
      <c r="G29" s="27">
        <f>C29+F29</f>
        <v/>
      </c>
      <c r="H29" s="27">
        <f>G29/110%</f>
        <v/>
      </c>
    </row>
    <row r="30">
      <c r="A30" t="n">
        <v>29</v>
      </c>
      <c r="B30" t="inlineStr">
        <is>
          <t>LI2208</t>
        </is>
      </c>
      <c r="C30" s="27">
        <f>'지브라-스캐너'!F7</f>
        <v/>
      </c>
      <c r="D30" t="inlineStr">
        <is>
          <t>인터페이스</t>
        </is>
      </c>
      <c r="E30" t="inlineStr">
        <is>
          <t>RS232C</t>
        </is>
      </c>
      <c r="F30" s="27" t="n">
        <v>24200</v>
      </c>
      <c r="G30" s="27">
        <f>C30+F30</f>
        <v/>
      </c>
      <c r="H30" s="27">
        <f>G30/110%</f>
        <v/>
      </c>
    </row>
    <row r="31">
      <c r="A31" t="n">
        <v>30</v>
      </c>
      <c r="B31" t="inlineStr">
        <is>
          <t>LI3608 SR</t>
        </is>
      </c>
      <c r="C31" s="27">
        <f>'지브라-스캐너'!F8</f>
        <v/>
      </c>
      <c r="D31" t="inlineStr">
        <is>
          <t>인터페이스</t>
        </is>
      </c>
      <c r="E31" t="inlineStr">
        <is>
          <t>USB</t>
        </is>
      </c>
      <c r="F31" s="27" t="n">
        <v>0</v>
      </c>
      <c r="G31" s="27">
        <f>C31+F31</f>
        <v/>
      </c>
      <c r="H31" s="27">
        <f>G31/110%</f>
        <v/>
      </c>
    </row>
    <row r="32">
      <c r="A32" t="n">
        <v>31</v>
      </c>
      <c r="B32" t="inlineStr">
        <is>
          <t>DS3608 SR</t>
        </is>
      </c>
      <c r="C32" s="27">
        <f>'지브라-스캐너'!F9</f>
        <v/>
      </c>
      <c r="D32" t="inlineStr">
        <is>
          <t>인터페이스</t>
        </is>
      </c>
      <c r="E32" t="inlineStr">
        <is>
          <t>USB</t>
        </is>
      </c>
      <c r="F32" s="27" t="n">
        <v>0</v>
      </c>
      <c r="G32" s="27">
        <f>C32+F32</f>
        <v/>
      </c>
      <c r="H32" s="27">
        <f>G32/110%</f>
        <v/>
      </c>
    </row>
    <row r="33">
      <c r="A33" t="n">
        <v>32</v>
      </c>
      <c r="B33" t="inlineStr">
        <is>
          <t>DS3608 SR</t>
        </is>
      </c>
      <c r="C33" s="27">
        <f>'지브라-스캐너'!F9</f>
        <v/>
      </c>
      <c r="D33" t="inlineStr">
        <is>
          <t>인터페이스</t>
        </is>
      </c>
      <c r="E33" t="inlineStr">
        <is>
          <t>RS232C</t>
        </is>
      </c>
      <c r="F33" s="27" t="n">
        <v>24200</v>
      </c>
      <c r="G33" s="27">
        <f>C33+F33</f>
        <v/>
      </c>
      <c r="H33" s="27">
        <f>G33/110%</f>
        <v/>
      </c>
    </row>
    <row r="34">
      <c r="A34" t="n">
        <v>33</v>
      </c>
      <c r="B34" t="inlineStr">
        <is>
          <t>LI3678</t>
        </is>
      </c>
      <c r="C34" s="27">
        <f>'지브라-스캐너'!F10</f>
        <v/>
      </c>
      <c r="D34" t="inlineStr">
        <is>
          <t>인터페이스</t>
        </is>
      </c>
      <c r="E34" t="inlineStr">
        <is>
          <t>USB</t>
        </is>
      </c>
      <c r="F34" s="27" t="n">
        <v>0</v>
      </c>
      <c r="G34" s="27">
        <f>C34+F34</f>
        <v/>
      </c>
      <c r="H34" s="27">
        <f>G34/110%</f>
        <v/>
      </c>
    </row>
    <row r="35">
      <c r="A35" t="n">
        <v>34</v>
      </c>
      <c r="B35" t="inlineStr">
        <is>
          <t>LI3678</t>
        </is>
      </c>
      <c r="C35" s="27">
        <f>'지브라-스캐너'!F10</f>
        <v/>
      </c>
      <c r="D35" t="inlineStr">
        <is>
          <t>인터페이스</t>
        </is>
      </c>
      <c r="E35" t="inlineStr">
        <is>
          <t>RS232C</t>
        </is>
      </c>
      <c r="F35" s="27" t="n">
        <v>33000</v>
      </c>
      <c r="G35" s="27">
        <f>C35+F35</f>
        <v/>
      </c>
      <c r="H35" s="27">
        <f>G35/110%</f>
        <v/>
      </c>
    </row>
    <row r="36">
      <c r="A36" t="n">
        <v>35</v>
      </c>
      <c r="B36" t="inlineStr">
        <is>
          <t>DS9908</t>
        </is>
      </c>
      <c r="C36" s="27">
        <f>'지브라-스캐너'!F11</f>
        <v/>
      </c>
      <c r="D36" t="inlineStr">
        <is>
          <t>인터페이스</t>
        </is>
      </c>
      <c r="E36" t="inlineStr">
        <is>
          <t>코일형USB</t>
        </is>
      </c>
      <c r="F36" s="27" t="n">
        <v>18000</v>
      </c>
      <c r="G36" s="27">
        <f>C36+F36</f>
        <v/>
      </c>
      <c r="H36" s="27">
        <f>G36/110%</f>
        <v/>
      </c>
    </row>
    <row r="37">
      <c r="A37" t="n">
        <v>36</v>
      </c>
      <c r="B37" t="inlineStr">
        <is>
          <t>DS9908</t>
        </is>
      </c>
      <c r="C37" s="27">
        <f>'지브라-스캐너'!F11</f>
        <v/>
      </c>
      <c r="D37" t="inlineStr">
        <is>
          <t>인터페이스</t>
        </is>
      </c>
      <c r="E37" t="inlineStr">
        <is>
          <t>직선형USB케이블</t>
        </is>
      </c>
      <c r="F37" s="27" t="n">
        <v>18000</v>
      </c>
      <c r="G37" s="27">
        <f>C37+F37</f>
        <v/>
      </c>
      <c r="H37" s="27">
        <f>G37/110%</f>
        <v/>
      </c>
    </row>
    <row r="38">
      <c r="A38" t="n">
        <v>37</v>
      </c>
      <c r="B38" t="inlineStr">
        <is>
          <t>DS9908</t>
        </is>
      </c>
      <c r="C38" s="27">
        <f>'지브라-스캐너'!F11</f>
        <v/>
      </c>
      <c r="D38" t="inlineStr">
        <is>
          <t>인터페이스</t>
        </is>
      </c>
      <c r="E38" t="inlineStr">
        <is>
          <t>RS232C</t>
        </is>
      </c>
      <c r="F38" s="27" t="n">
        <v>24200</v>
      </c>
      <c r="G38" s="27">
        <f>C38+F38</f>
        <v/>
      </c>
      <c r="H38" s="27">
        <f>G38/110%</f>
        <v/>
      </c>
    </row>
    <row r="39">
      <c r="A39" t="n">
        <v>38</v>
      </c>
      <c r="B39" t="inlineStr">
        <is>
          <t>CS6080</t>
        </is>
      </c>
      <c r="C39" s="27">
        <f>'지브라-스캐너'!F13</f>
        <v/>
      </c>
      <c r="D39" t="inlineStr">
        <is>
          <t>스캔엔진</t>
        </is>
      </c>
      <c r="E39" t="inlineStr">
        <is>
          <t>2D</t>
        </is>
      </c>
      <c r="F39" s="27" t="n">
        <v>0</v>
      </c>
      <c r="G39" s="27">
        <f>C39+F39</f>
        <v/>
      </c>
      <c r="H39" s="27">
        <f>G39/110%</f>
        <v/>
      </c>
    </row>
    <row r="40">
      <c r="A40" t="n">
        <v>39</v>
      </c>
      <c r="B40" t="inlineStr">
        <is>
          <t>DS3678 SR</t>
        </is>
      </c>
      <c r="C40" s="27">
        <f>'지브라-스캐너'!F14</f>
        <v/>
      </c>
      <c r="D40" t="inlineStr">
        <is>
          <t>인터페이스</t>
        </is>
      </c>
      <c r="E40" t="inlineStr">
        <is>
          <t>SR버전+USB케이블</t>
        </is>
      </c>
      <c r="F40" s="27" t="n">
        <v>0</v>
      </c>
      <c r="G40" s="27">
        <f>C40+F40</f>
        <v/>
      </c>
      <c r="H40" s="27">
        <f>G40/110%</f>
        <v/>
      </c>
    </row>
    <row r="41">
      <c r="A41" t="n">
        <v>40</v>
      </c>
      <c r="B41" t="inlineStr">
        <is>
          <t>DS3678 SR</t>
        </is>
      </c>
      <c r="C41" s="27">
        <f>'지브라-스캐너'!F14</f>
        <v/>
      </c>
      <c r="D41" t="inlineStr">
        <is>
          <t>인터페이스</t>
        </is>
      </c>
      <c r="E41" t="inlineStr">
        <is>
          <t>HD버전+USB케이블</t>
        </is>
      </c>
      <c r="F41" s="27" t="n">
        <v>220000</v>
      </c>
      <c r="G41" s="27">
        <f>C41+F41</f>
        <v/>
      </c>
      <c r="H41" s="27">
        <f>G41/110%</f>
        <v/>
      </c>
    </row>
    <row r="42">
      <c r="A42" t="n">
        <v>41</v>
      </c>
      <c r="B42" t="inlineStr">
        <is>
          <t>DS3678 SR</t>
        </is>
      </c>
      <c r="C42" s="27">
        <f>'지브라-스캐너'!F14</f>
        <v/>
      </c>
      <c r="D42" t="inlineStr">
        <is>
          <t>인터페이스</t>
        </is>
      </c>
      <c r="E42" t="inlineStr">
        <is>
          <t>SR버전+RS232C케이블</t>
        </is>
      </c>
      <c r="F42" s="27" t="n">
        <v>33000</v>
      </c>
      <c r="G42" s="27">
        <f>C42+F42</f>
        <v/>
      </c>
      <c r="H42" s="27">
        <f>G42/110%</f>
        <v/>
      </c>
    </row>
    <row r="43">
      <c r="A43" t="n">
        <v>42</v>
      </c>
      <c r="B43" t="inlineStr">
        <is>
          <t>DS3678 SR</t>
        </is>
      </c>
      <c r="C43" s="27">
        <f>'지브라-스캐너'!F14</f>
        <v/>
      </c>
      <c r="D43" t="inlineStr">
        <is>
          <t>인터페이스</t>
        </is>
      </c>
      <c r="E43" t="inlineStr">
        <is>
          <t>HD버전+RS232C케이블</t>
        </is>
      </c>
      <c r="F43" s="27" t="n">
        <v>275000</v>
      </c>
      <c r="G43" s="27">
        <f>C43+F43</f>
        <v/>
      </c>
      <c r="H43" s="27">
        <f>G43/110%</f>
        <v/>
      </c>
    </row>
    <row r="44">
      <c r="A44" t="n">
        <v>43</v>
      </c>
      <c r="B44" t="inlineStr">
        <is>
          <t>DS4608 XD</t>
        </is>
      </c>
      <c r="C44" s="27">
        <f>'지브라-스캐너'!F15</f>
        <v/>
      </c>
      <c r="D44" t="inlineStr">
        <is>
          <t>인터페이스 / 악세사리</t>
        </is>
      </c>
      <c r="E44" t="inlineStr">
        <is>
          <t>정품직선형USB / 선택안함</t>
        </is>
      </c>
      <c r="F44" s="27" t="n">
        <v>18000</v>
      </c>
      <c r="G44" s="27">
        <f>C44+F44</f>
        <v/>
      </c>
      <c r="H44" s="27">
        <f>G44/110%</f>
        <v/>
      </c>
    </row>
    <row r="45">
      <c r="A45" t="n">
        <v>44</v>
      </c>
      <c r="B45" t="inlineStr">
        <is>
          <t>DS4608 XD</t>
        </is>
      </c>
      <c r="C45" s="27">
        <f>'지브라-스캐너'!F15</f>
        <v/>
      </c>
      <c r="D45" t="inlineStr">
        <is>
          <t>인터페이스 / 악세사리</t>
        </is>
      </c>
      <c r="E45" t="inlineStr">
        <is>
          <t>정품직선형USB / 스탠드거치대</t>
        </is>
      </c>
      <c r="F45" s="27" t="n">
        <v>73000</v>
      </c>
      <c r="G45" s="27">
        <f>C45+F45</f>
        <v/>
      </c>
      <c r="H45" s="27">
        <f>G45/110%</f>
        <v/>
      </c>
    </row>
    <row r="46">
      <c r="A46" t="n">
        <v>45</v>
      </c>
      <c r="B46" t="inlineStr">
        <is>
          <t>DS4608 XD</t>
        </is>
      </c>
      <c r="C46" s="27">
        <f>'지브라-스캐너'!F15</f>
        <v/>
      </c>
      <c r="D46" t="inlineStr">
        <is>
          <t>인터페이스 / 악세사리</t>
        </is>
      </c>
      <c r="E46" t="inlineStr">
        <is>
          <t>RS232C / 선택안함</t>
        </is>
      </c>
      <c r="F46" s="27" t="n">
        <v>24200</v>
      </c>
      <c r="G46" s="27">
        <f>C46+F46</f>
        <v/>
      </c>
      <c r="H46" s="27">
        <f>G46/110%</f>
        <v/>
      </c>
    </row>
    <row r="47">
      <c r="A47" t="n">
        <v>46</v>
      </c>
      <c r="B47" t="inlineStr">
        <is>
          <t>DS4608 XD</t>
        </is>
      </c>
      <c r="C47" s="27">
        <f>'지브라-스캐너'!F15</f>
        <v/>
      </c>
      <c r="D47" t="inlineStr">
        <is>
          <t>인터페이스 / 악세사리</t>
        </is>
      </c>
      <c r="E47" t="inlineStr">
        <is>
          <t>RS232C / 스탠드거치대</t>
        </is>
      </c>
      <c r="F47" s="27" t="n">
        <v>79200</v>
      </c>
      <c r="G47" s="27">
        <f>C47+F47</f>
        <v/>
      </c>
      <c r="H47" s="27">
        <f>G47/110%</f>
        <v/>
      </c>
    </row>
    <row r="48">
      <c r="A48" t="n">
        <v>47</v>
      </c>
      <c r="B48" t="inlineStr">
        <is>
          <t>DS4608 XD</t>
        </is>
      </c>
      <c r="C48" s="27">
        <f>'지브라-스캐너'!F15</f>
        <v/>
      </c>
      <c r="D48" t="inlineStr">
        <is>
          <t>인터페이스 / 악세사리</t>
        </is>
      </c>
      <c r="E48" t="inlineStr">
        <is>
          <t>코일형USB / 선택안함</t>
        </is>
      </c>
      <c r="F48" s="27" t="n">
        <v>18000</v>
      </c>
      <c r="G48" s="27">
        <f>C48+F48</f>
        <v/>
      </c>
      <c r="H48" s="27">
        <f>G48/110%</f>
        <v/>
      </c>
    </row>
    <row r="49">
      <c r="A49" t="n">
        <v>48</v>
      </c>
      <c r="B49" t="inlineStr">
        <is>
          <t>DS4608 XD</t>
        </is>
      </c>
      <c r="C49" s="27">
        <f>'지브라-스캐너'!F15</f>
        <v/>
      </c>
      <c r="D49" t="inlineStr">
        <is>
          <t>인터페이스 / 악세사리</t>
        </is>
      </c>
      <c r="E49" t="inlineStr">
        <is>
          <t>코일형USB / 스탠드거치대</t>
        </is>
      </c>
      <c r="F49" s="27" t="n">
        <v>73000</v>
      </c>
      <c r="G49" s="27">
        <f>C49+F49</f>
        <v/>
      </c>
      <c r="H49" s="27">
        <f>G49/110%</f>
        <v/>
      </c>
    </row>
    <row r="50">
      <c r="A50" t="n">
        <v>49</v>
      </c>
      <c r="B50" t="inlineStr">
        <is>
          <t>DS4608 XD</t>
        </is>
      </c>
      <c r="C50" s="27">
        <f>'지브라-스캐너'!F15</f>
        <v/>
      </c>
      <c r="D50" t="inlineStr">
        <is>
          <t>인터페이스 / 악세사리</t>
        </is>
      </c>
      <c r="E50" t="inlineStr">
        <is>
          <t>본체만(케이블없음) / 선택안함</t>
        </is>
      </c>
      <c r="F50" s="27" t="n">
        <v>0</v>
      </c>
      <c r="G50" s="27">
        <f>C50+F50</f>
        <v/>
      </c>
      <c r="H50" s="27">
        <f>G50/110%</f>
        <v/>
      </c>
    </row>
    <row r="51">
      <c r="A51" t="n">
        <v>50</v>
      </c>
      <c r="B51" t="inlineStr">
        <is>
          <t>DS4608 XD</t>
        </is>
      </c>
      <c r="C51" s="27">
        <f>'지브라-스캐너'!F15</f>
        <v/>
      </c>
      <c r="D51" t="inlineStr">
        <is>
          <t>인터페이스 / 악세사리</t>
        </is>
      </c>
      <c r="E51" t="inlineStr">
        <is>
          <t>본체만(케이블없음) / 스탠드거치대</t>
        </is>
      </c>
      <c r="F51" s="27" t="n">
        <v>55000</v>
      </c>
      <c r="G51" s="27">
        <f>C51+F51</f>
        <v/>
      </c>
      <c r="H51" s="27">
        <f>G51/110%</f>
        <v/>
      </c>
    </row>
    <row r="52">
      <c r="A52" t="n">
        <v>51</v>
      </c>
      <c r="B52" t="inlineStr">
        <is>
          <t>DS8288</t>
        </is>
      </c>
      <c r="C52" s="27">
        <f>'지브라-스캐너'!F16</f>
        <v/>
      </c>
      <c r="D52" t="inlineStr">
        <is>
          <t>인터페이스</t>
        </is>
      </c>
      <c r="E52" t="inlineStr">
        <is>
          <t>RS232C</t>
        </is>
      </c>
      <c r="F52" s="27" t="n">
        <v>24200</v>
      </c>
      <c r="G52" s="27">
        <f>C52+F52</f>
        <v/>
      </c>
      <c r="H52" s="27">
        <f>G52/110%</f>
        <v/>
      </c>
    </row>
    <row r="53">
      <c r="A53" t="n">
        <v>52</v>
      </c>
      <c r="B53" t="inlineStr">
        <is>
          <t>DS8288</t>
        </is>
      </c>
      <c r="C53" s="27">
        <f>'지브라-스캐너'!F16</f>
        <v/>
      </c>
      <c r="D53" t="inlineStr">
        <is>
          <t>인터페이스</t>
        </is>
      </c>
      <c r="E53" t="inlineStr">
        <is>
          <t>USB</t>
        </is>
      </c>
      <c r="F53" s="27" t="n">
        <v>0</v>
      </c>
      <c r="G53" s="27">
        <f>C53+F53</f>
        <v/>
      </c>
      <c r="H53" s="27">
        <f>G53/110%</f>
        <v/>
      </c>
    </row>
    <row r="54">
      <c r="A54" t="n">
        <v>53</v>
      </c>
      <c r="B54" t="inlineStr">
        <is>
          <t>DS8208</t>
        </is>
      </c>
      <c r="C54" s="27">
        <f>'지브라-스캐너'!F17</f>
        <v/>
      </c>
      <c r="D54" t="inlineStr">
        <is>
          <t>인터페이스</t>
        </is>
      </c>
      <c r="E54" t="inlineStr">
        <is>
          <t>RS232C</t>
        </is>
      </c>
      <c r="F54" s="27" t="n">
        <v>24200</v>
      </c>
      <c r="G54" s="27">
        <f>C54+F54</f>
        <v/>
      </c>
      <c r="H54" s="27">
        <f>G54/110%</f>
        <v/>
      </c>
    </row>
    <row r="55">
      <c r="A55" t="n">
        <v>54</v>
      </c>
      <c r="B55" t="inlineStr">
        <is>
          <t>DS8208</t>
        </is>
      </c>
      <c r="C55" s="27">
        <f>'지브라-스캐너'!F17</f>
        <v/>
      </c>
      <c r="D55" t="inlineStr">
        <is>
          <t>인터페이스</t>
        </is>
      </c>
      <c r="E55" t="inlineStr">
        <is>
          <t>USB</t>
        </is>
      </c>
      <c r="F55" s="27" t="n">
        <v>0</v>
      </c>
      <c r="G55" s="27">
        <f>C55+F55</f>
        <v/>
      </c>
      <c r="H55" s="27">
        <f>G55/110%</f>
        <v/>
      </c>
    </row>
    <row r="56">
      <c r="A56" t="n">
        <v>55</v>
      </c>
      <c r="B56" t="inlineStr">
        <is>
          <t>DS3608 ER</t>
        </is>
      </c>
      <c r="C56" s="27">
        <f>'지브라-스캐너'!F18</f>
        <v/>
      </c>
      <c r="D56" t="inlineStr">
        <is>
          <t>인터페이스</t>
        </is>
      </c>
      <c r="E56" t="inlineStr">
        <is>
          <t>USB</t>
        </is>
      </c>
      <c r="F56" s="27" t="n">
        <v>0</v>
      </c>
      <c r="G56" s="27">
        <f>C56+F56</f>
        <v/>
      </c>
      <c r="H56" s="27">
        <f>G56/110%</f>
        <v/>
      </c>
    </row>
    <row r="57">
      <c r="A57" t="n">
        <v>56</v>
      </c>
      <c r="B57" t="inlineStr">
        <is>
          <t>LI3608 ER</t>
        </is>
      </c>
      <c r="C57" s="27">
        <f>'지브라-스캐너'!F19</f>
        <v/>
      </c>
      <c r="D57" t="inlineStr">
        <is>
          <t>인터페이스</t>
        </is>
      </c>
      <c r="E57" t="inlineStr">
        <is>
          <t>USB</t>
        </is>
      </c>
      <c r="F57" s="27" t="n">
        <v>0</v>
      </c>
      <c r="G57" s="27">
        <f>C57+F57</f>
        <v/>
      </c>
      <c r="H57" s="27">
        <f>G57/110%</f>
        <v/>
      </c>
    </row>
    <row r="58">
      <c r="A58" t="n">
        <v>57</v>
      </c>
      <c r="B58" t="inlineStr">
        <is>
          <t>DS3678 XR</t>
        </is>
      </c>
      <c r="C58" s="27">
        <f>'지브라-스캐너'!F20</f>
        <v/>
      </c>
      <c r="D58" t="inlineStr">
        <is>
          <t>인터페이스</t>
        </is>
      </c>
      <c r="E58" t="inlineStr">
        <is>
          <t>USB</t>
        </is>
      </c>
      <c r="F58" s="27" t="n">
        <v>0</v>
      </c>
      <c r="G58" s="27">
        <f>C58+F58</f>
        <v/>
      </c>
      <c r="H58" s="27">
        <f>G58/110%</f>
        <v/>
      </c>
    </row>
    <row r="59">
      <c r="A59" t="n">
        <v>58</v>
      </c>
      <c r="B59" t="inlineStr">
        <is>
          <t>DS3678 XR</t>
        </is>
      </c>
      <c r="C59" s="27">
        <f>'지브라-스캐너'!F20</f>
        <v/>
      </c>
      <c r="D59" t="inlineStr">
        <is>
          <t>인터페이스</t>
        </is>
      </c>
      <c r="E59" t="inlineStr">
        <is>
          <t>RS232C</t>
        </is>
      </c>
      <c r="F59" s="27" t="n">
        <v>24200</v>
      </c>
      <c r="G59" s="27">
        <f>C59+F59</f>
        <v/>
      </c>
      <c r="H59" s="27">
        <f>G59/110%</f>
        <v/>
      </c>
    </row>
    <row r="60">
      <c r="A60" t="n">
        <v>59</v>
      </c>
      <c r="B60" t="inlineStr">
        <is>
          <t>DS5502</t>
        </is>
      </c>
      <c r="C60" s="27">
        <f>'지브라-스캐너'!F21</f>
        <v/>
      </c>
      <c r="D60" t="inlineStr">
        <is>
          <t>인터페이스</t>
        </is>
      </c>
      <c r="E60" t="inlineStr">
        <is>
          <t>RS232C</t>
        </is>
      </c>
      <c r="F60" s="27" t="n">
        <v>49500</v>
      </c>
      <c r="G60" s="27">
        <f>C60+F60</f>
        <v/>
      </c>
      <c r="H60" s="27">
        <f>G60/110%</f>
        <v/>
      </c>
    </row>
    <row r="61">
      <c r="A61" t="n">
        <v>60</v>
      </c>
      <c r="B61" t="inlineStr">
        <is>
          <t>DS5502</t>
        </is>
      </c>
      <c r="C61" s="27">
        <f>'지브라-스캐너'!F21</f>
        <v/>
      </c>
      <c r="D61" t="inlineStr">
        <is>
          <t>인터페이스</t>
        </is>
      </c>
      <c r="E61" t="inlineStr">
        <is>
          <t>USB</t>
        </is>
      </c>
      <c r="F61" s="27" t="n">
        <v>0</v>
      </c>
      <c r="G61" s="27">
        <f>C61+F61</f>
        <v/>
      </c>
      <c r="H61" s="27">
        <f>G61/110%</f>
        <v/>
      </c>
    </row>
    <row r="62">
      <c r="A62" t="n">
        <v>61</v>
      </c>
      <c r="B62" t="inlineStr">
        <is>
          <t>DS4678</t>
        </is>
      </c>
      <c r="C62" s="27">
        <f>'지브라-스캐너'!F22</f>
        <v/>
      </c>
      <c r="D62" t="inlineStr">
        <is>
          <t>인터페이스</t>
        </is>
      </c>
      <c r="E62" t="inlineStr">
        <is>
          <t>본체+크래들만(케이블없음)</t>
        </is>
      </c>
      <c r="F62" s="27" t="n">
        <v>0</v>
      </c>
      <c r="G62" s="27">
        <f>C62+F62</f>
        <v/>
      </c>
      <c r="H62" s="27">
        <f>G62/110%</f>
        <v/>
      </c>
    </row>
    <row r="63">
      <c r="A63" t="n">
        <v>62</v>
      </c>
      <c r="B63" t="inlineStr">
        <is>
          <t>DS4678</t>
        </is>
      </c>
      <c r="C63" s="27">
        <f>'지브라-스캐너'!F22</f>
        <v/>
      </c>
      <c r="D63" t="inlineStr">
        <is>
          <t>인터페이스</t>
        </is>
      </c>
      <c r="E63" t="inlineStr">
        <is>
          <t>정품직선형USB</t>
        </is>
      </c>
      <c r="F63" s="27" t="n">
        <v>18000</v>
      </c>
      <c r="G63" s="27">
        <f>C63+F63</f>
        <v/>
      </c>
      <c r="H63" s="27">
        <f>G63/110%</f>
        <v/>
      </c>
    </row>
    <row r="64">
      <c r="A64" t="n">
        <v>63</v>
      </c>
      <c r="B64" t="inlineStr">
        <is>
          <t>DS4678</t>
        </is>
      </c>
      <c r="C64" s="27">
        <f>'지브라-스캐너'!F22</f>
        <v/>
      </c>
      <c r="D64" t="inlineStr">
        <is>
          <t>인터페이스</t>
        </is>
      </c>
      <c r="E64" t="inlineStr">
        <is>
          <t>코일형USB</t>
        </is>
      </c>
      <c r="F64" s="27" t="n">
        <v>18000</v>
      </c>
      <c r="G64" s="27">
        <f>C64+F64</f>
        <v/>
      </c>
      <c r="H64" s="27">
        <f>G64/110%</f>
        <v/>
      </c>
    </row>
    <row r="65">
      <c r="A65" t="n">
        <v>64</v>
      </c>
      <c r="B65" t="inlineStr">
        <is>
          <t>DS4678</t>
        </is>
      </c>
      <c r="C65" s="27">
        <f>'지브라-스캐너'!F22</f>
        <v/>
      </c>
      <c r="D65" t="inlineStr">
        <is>
          <t>인터페이스</t>
        </is>
      </c>
      <c r="E65" t="inlineStr">
        <is>
          <t>RS232C</t>
        </is>
      </c>
      <c r="F65" s="27" t="n">
        <v>24200</v>
      </c>
      <c r="G65" s="27">
        <f>C65+F65</f>
        <v/>
      </c>
      <c r="H65" s="27">
        <f>G65/110%</f>
        <v/>
      </c>
    </row>
    <row r="66">
      <c r="A66" t="n">
        <v>65</v>
      </c>
      <c r="B66" t="inlineStr">
        <is>
          <t>SP72</t>
        </is>
      </c>
      <c r="C66" s="27">
        <f>'지브라-스캐너'!F23</f>
        <v/>
      </c>
      <c r="D66" t="inlineStr">
        <is>
          <t>인터페이스</t>
        </is>
      </c>
      <c r="E66" t="inlineStr">
        <is>
          <t>USB</t>
        </is>
      </c>
      <c r="F66" s="27" t="n">
        <v>0</v>
      </c>
      <c r="G66" s="27">
        <f>C66+F66</f>
        <v/>
      </c>
      <c r="H66" s="27">
        <f>G66/110%</f>
        <v/>
      </c>
    </row>
    <row r="67">
      <c r="A67" t="n">
        <v>66</v>
      </c>
      <c r="B67" t="inlineStr">
        <is>
          <t>DS9308</t>
        </is>
      </c>
      <c r="C67" s="27">
        <f>'지브라-스캐너'!F24</f>
        <v/>
      </c>
      <c r="D67" t="inlineStr">
        <is>
          <t>인터페이스</t>
        </is>
      </c>
      <c r="E67" t="inlineStr">
        <is>
          <t>직선형USB케이블</t>
        </is>
      </c>
      <c r="F67" s="27" t="n">
        <v>18000</v>
      </c>
      <c r="G67" s="27">
        <f>C67+F67</f>
        <v/>
      </c>
      <c r="H67" s="27">
        <f>G67/110%</f>
        <v/>
      </c>
    </row>
    <row r="68">
      <c r="A68" t="n">
        <v>67</v>
      </c>
      <c r="B68" t="inlineStr">
        <is>
          <t>DS9308</t>
        </is>
      </c>
      <c r="C68" s="27">
        <f>'지브라-스캐너'!F24</f>
        <v/>
      </c>
      <c r="D68" t="inlineStr">
        <is>
          <t>인터페이스</t>
        </is>
      </c>
      <c r="E68" t="inlineStr">
        <is>
          <t>RS232C</t>
        </is>
      </c>
      <c r="F68" s="27" t="n">
        <v>24200</v>
      </c>
      <c r="G68" s="27">
        <f>C68+F68</f>
        <v/>
      </c>
      <c r="H68" s="27">
        <f>G68/110%</f>
        <v/>
      </c>
    </row>
    <row r="69">
      <c r="A69" t="n">
        <v>68</v>
      </c>
      <c r="B69" t="inlineStr">
        <is>
          <t>DS9308</t>
        </is>
      </c>
      <c r="C69" s="27">
        <f>'지브라-스캐너'!F24</f>
        <v/>
      </c>
      <c r="D69" t="inlineStr">
        <is>
          <t>인터페이스</t>
        </is>
      </c>
      <c r="E69" t="inlineStr">
        <is>
          <t>코일형USB</t>
        </is>
      </c>
      <c r="F69" s="27" t="n">
        <v>18000</v>
      </c>
      <c r="G69" s="27">
        <f>C69+F69</f>
        <v/>
      </c>
      <c r="H69" s="27">
        <f>G69/110%</f>
        <v/>
      </c>
    </row>
    <row r="70">
      <c r="A70" t="n">
        <v>69</v>
      </c>
      <c r="B70" t="inlineStr">
        <is>
          <t>DS9308</t>
        </is>
      </c>
      <c r="C70" s="27">
        <f>'지브라-스캐너'!F24</f>
        <v/>
      </c>
      <c r="D70" t="inlineStr">
        <is>
          <t>인터페이스</t>
        </is>
      </c>
      <c r="E70" t="inlineStr">
        <is>
          <t>본체만(케이블없음)</t>
        </is>
      </c>
      <c r="F70" s="27" t="n">
        <v>0</v>
      </c>
      <c r="G70" s="27">
        <f>C70+F70</f>
        <v/>
      </c>
      <c r="H70" s="27">
        <f>G70/110%</f>
        <v/>
      </c>
    </row>
    <row r="71">
      <c r="A71" t="n">
        <v>70</v>
      </c>
      <c r="B71" t="inlineStr">
        <is>
          <t>DS8178</t>
        </is>
      </c>
      <c r="C71" s="27">
        <f>'지브라-스캐너'!F25</f>
        <v/>
      </c>
      <c r="D71" t="inlineStr">
        <is>
          <t>인터페이스</t>
        </is>
      </c>
      <c r="E71" t="inlineStr">
        <is>
          <t>정품직선형USB</t>
        </is>
      </c>
      <c r="F71" s="27" t="n">
        <v>18000</v>
      </c>
      <c r="G71" s="27">
        <f>C71+F71</f>
        <v/>
      </c>
      <c r="H71" s="27">
        <f>G71/110%</f>
        <v/>
      </c>
    </row>
    <row r="72">
      <c r="A72" t="n">
        <v>71</v>
      </c>
      <c r="B72" t="inlineStr">
        <is>
          <t>DS8178</t>
        </is>
      </c>
      <c r="C72" s="27">
        <f>'지브라-스캐너'!F25</f>
        <v/>
      </c>
      <c r="D72" t="inlineStr">
        <is>
          <t>인터페이스</t>
        </is>
      </c>
      <c r="E72" t="inlineStr">
        <is>
          <t>RS232C</t>
        </is>
      </c>
      <c r="F72" s="27" t="n">
        <v>24200</v>
      </c>
      <c r="G72" s="27">
        <f>C72+F72</f>
        <v/>
      </c>
      <c r="H72" s="27">
        <f>G72/110%</f>
        <v/>
      </c>
    </row>
    <row r="73">
      <c r="A73" t="n">
        <v>72</v>
      </c>
      <c r="B73" t="inlineStr">
        <is>
          <t>DS8178</t>
        </is>
      </c>
      <c r="C73" s="27">
        <f>'지브라-스캐너'!F25</f>
        <v/>
      </c>
      <c r="D73" t="inlineStr">
        <is>
          <t>인터페이스</t>
        </is>
      </c>
      <c r="E73" t="inlineStr">
        <is>
          <t>코일형USB</t>
        </is>
      </c>
      <c r="F73" s="27" t="n">
        <v>18000</v>
      </c>
      <c r="G73" s="27">
        <f>C73+F73</f>
        <v/>
      </c>
      <c r="H73" s="27">
        <f>G73/110%</f>
        <v/>
      </c>
    </row>
    <row r="74">
      <c r="A74" t="n">
        <v>73</v>
      </c>
      <c r="B74" t="inlineStr">
        <is>
          <t>DS8178</t>
        </is>
      </c>
      <c r="C74" s="27">
        <f>'지브라-스캐너'!F25</f>
        <v/>
      </c>
      <c r="D74" t="inlineStr">
        <is>
          <t>인터페이스</t>
        </is>
      </c>
      <c r="E74" t="inlineStr">
        <is>
          <t>본체+크래들만(케이블없음)</t>
        </is>
      </c>
      <c r="F74" s="27" t="n">
        <v>0</v>
      </c>
      <c r="G74" s="27">
        <f>C74+F74</f>
        <v/>
      </c>
      <c r="H74" s="27">
        <f>G74/110%</f>
        <v/>
      </c>
    </row>
    <row r="75">
      <c r="A75" t="n">
        <v>74</v>
      </c>
      <c r="B75" t="inlineStr">
        <is>
          <t>LI4278</t>
        </is>
      </c>
      <c r="C75" s="27">
        <f>'지브라-스캐너'!F26</f>
        <v/>
      </c>
      <c r="D75" t="inlineStr">
        <is>
          <t>인터페이스</t>
        </is>
      </c>
      <c r="E75" t="inlineStr">
        <is>
          <t>정품직선형USB</t>
        </is>
      </c>
      <c r="F75" s="27" t="n">
        <v>18000</v>
      </c>
      <c r="G75" s="27">
        <f>C75+F75</f>
        <v/>
      </c>
      <c r="H75" s="27">
        <f>G75/110%</f>
        <v/>
      </c>
    </row>
    <row r="76">
      <c r="A76" t="n">
        <v>75</v>
      </c>
      <c r="B76" t="inlineStr">
        <is>
          <t>LI4278</t>
        </is>
      </c>
      <c r="C76" s="27">
        <f>'지브라-스캐너'!F26</f>
        <v/>
      </c>
      <c r="D76" t="inlineStr">
        <is>
          <t>인터페이스</t>
        </is>
      </c>
      <c r="E76" t="inlineStr">
        <is>
          <t>RS232C</t>
        </is>
      </c>
      <c r="F76" s="27" t="n">
        <v>24200</v>
      </c>
      <c r="G76" s="27">
        <f>C76+F76</f>
        <v/>
      </c>
      <c r="H76" s="27">
        <f>G76/110%</f>
        <v/>
      </c>
    </row>
    <row r="77">
      <c r="A77" t="n">
        <v>76</v>
      </c>
      <c r="B77" t="inlineStr">
        <is>
          <t>LI4278</t>
        </is>
      </c>
      <c r="C77" s="27">
        <f>'지브라-스캐너'!F26</f>
        <v/>
      </c>
      <c r="D77" t="inlineStr">
        <is>
          <t>인터페이스</t>
        </is>
      </c>
      <c r="E77" t="inlineStr">
        <is>
          <t>코일형USB</t>
        </is>
      </c>
      <c r="F77" s="27" t="n">
        <v>18000</v>
      </c>
      <c r="G77" s="27">
        <f>C77+F77</f>
        <v/>
      </c>
      <c r="H77" s="27">
        <f>G77/110%</f>
        <v/>
      </c>
    </row>
    <row r="78">
      <c r="A78" t="n">
        <v>77</v>
      </c>
      <c r="B78" t="inlineStr">
        <is>
          <t>LI4278</t>
        </is>
      </c>
      <c r="C78" s="27">
        <f>'지브라-스캐너'!F26</f>
        <v/>
      </c>
      <c r="D78" t="inlineStr">
        <is>
          <t>인터페이스</t>
        </is>
      </c>
      <c r="E78" t="inlineStr">
        <is>
          <t>본체+크래들만(케이블없음)</t>
        </is>
      </c>
      <c r="F78" s="27" t="n">
        <v>0</v>
      </c>
      <c r="G78" s="27">
        <f>C78+F78</f>
        <v/>
      </c>
      <c r="H78" s="27">
        <f>G78/110%</f>
        <v/>
      </c>
    </row>
    <row r="79">
      <c r="A79" t="n">
        <v>78</v>
      </c>
      <c r="B79" t="inlineStr">
        <is>
          <t>RS6100</t>
        </is>
      </c>
      <c r="C79" s="27">
        <f>'지브라-스캐너'!F27</f>
        <v/>
      </c>
      <c r="D79" t="inlineStr">
        <is>
          <t>연결방식</t>
        </is>
      </c>
      <c r="E79" t="inlineStr">
        <is>
          <t>링트리거</t>
        </is>
      </c>
      <c r="F79" s="27" t="n">
        <v>0</v>
      </c>
      <c r="G79" s="27">
        <f>C79+F79</f>
        <v/>
      </c>
      <c r="H79" s="27">
        <f>G79/110%</f>
        <v/>
      </c>
    </row>
    <row r="80">
      <c r="A80" t="n">
        <v>79</v>
      </c>
      <c r="B80" t="inlineStr">
        <is>
          <t>FS10</t>
        </is>
      </c>
      <c r="C80" s="27">
        <f>'지브라-스캐너'!F28</f>
        <v/>
      </c>
      <c r="D80" t="inlineStr">
        <is>
          <t>본체</t>
        </is>
      </c>
      <c r="E80" t="inlineStr">
        <is>
          <t>본체</t>
        </is>
      </c>
      <c r="F80" s="27" t="n">
        <v>0</v>
      </c>
      <c r="G80" s="27">
        <f>C80+F80</f>
        <v/>
      </c>
      <c r="H80" s="27">
        <f>G80/110%</f>
        <v/>
      </c>
    </row>
    <row r="81">
      <c r="A81" t="n">
        <v>80</v>
      </c>
      <c r="B81" t="inlineStr">
        <is>
          <t>FS20</t>
        </is>
      </c>
      <c r="C81" s="27">
        <f>'지브라-스캐너'!F29</f>
        <v/>
      </c>
      <c r="D81" t="inlineStr">
        <is>
          <t>본체</t>
        </is>
      </c>
      <c r="E81" t="inlineStr">
        <is>
          <t>본체</t>
        </is>
      </c>
      <c r="F81" s="27" t="n">
        <v>0</v>
      </c>
      <c r="G81" s="27">
        <f>C81+F81</f>
        <v/>
      </c>
      <c r="H81" s="27">
        <f>G81/110%</f>
        <v/>
      </c>
    </row>
    <row r="82">
      <c r="A82" t="n">
        <v>81</v>
      </c>
      <c r="B82" t="inlineStr">
        <is>
          <t>FS40</t>
        </is>
      </c>
      <c r="C82" s="27">
        <f>'지브라-스캐너'!F30</f>
        <v/>
      </c>
      <c r="D82" t="inlineStr">
        <is>
          <t>본체</t>
        </is>
      </c>
      <c r="E82" t="inlineStr">
        <is>
          <t>본체</t>
        </is>
      </c>
      <c r="F82" s="27" t="n">
        <v>0</v>
      </c>
      <c r="G82" s="27">
        <f>C82+F82</f>
        <v/>
      </c>
      <c r="H82" s="27">
        <f>G82/110%</f>
        <v/>
      </c>
    </row>
    <row r="83">
      <c r="A83" t="n">
        <v>82</v>
      </c>
      <c r="B83" t="inlineStr">
        <is>
          <t>FS70</t>
        </is>
      </c>
      <c r="C83" s="27">
        <f>'지브라-스캐너'!F31</f>
        <v/>
      </c>
      <c r="D83" t="inlineStr">
        <is>
          <t>본체</t>
        </is>
      </c>
      <c r="E83" t="inlineStr">
        <is>
          <t>본체</t>
        </is>
      </c>
      <c r="F83" s="27" t="n">
        <v>0</v>
      </c>
      <c r="G83" s="27">
        <f>C83+F83</f>
        <v/>
      </c>
      <c r="H83" s="27">
        <f>G83/110%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2026-10-20T01:42:06Z</dcterms:modified>
  <cp:lastModifiedBy>우영 박</cp:lastModifiedBy>
</cp:coreProperties>
</file>