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2" autoFilterDateGrouping="1"/>
  </bookViews>
  <sheets>
    <sheet xmlns:r="http://schemas.openxmlformats.org/officeDocument/2006/relationships" name="지브라PDA목록" sheetId="1" state="hidden" r:id="rId1"/>
    <sheet xmlns:r="http://schemas.openxmlformats.org/officeDocument/2006/relationships" name="지브라-스캐너" sheetId="2" state="visible" r:id="rId2"/>
    <sheet xmlns:r="http://schemas.openxmlformats.org/officeDocument/2006/relationships" name="지브라-PDA" sheetId="3" state="visible" r:id="rId3"/>
    <sheet xmlns:r="http://schemas.openxmlformats.org/officeDocument/2006/relationships" name="지브라-스캐너-옵션" sheetId="4" state="visible" r:id="rId4"/>
  </sheets>
  <definedNames>
    <definedName name="_xlnm._FilterDatabase" localSheetId="0" hidden="1">'지브라PDA목록'!$A$1:$K$476</definedName>
    <definedName name="_xlnm._FilterDatabase" localSheetId="1" hidden="1">'지브라-스캐너'!$A$2:$AC$32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FFFF"/>
      <sz val="10"/>
    </font>
    <font>
      <name val="Arial"/>
      <family val="2"/>
      <sz val="11"/>
    </font>
    <font>
      <name val="맑은 고딕"/>
      <charset val="129"/>
      <family val="2"/>
      <sz val="11"/>
    </font>
    <font>
      <name val="Arial"/>
      <family val="2"/>
      <color rgb="FFFF0000"/>
      <sz val="11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2"/>
      <sz val="11"/>
      <scheme val="minor"/>
    </font>
    <font>
      <name val="맑은 고딕"/>
      <charset val="129"/>
      <family val="2"/>
      <color theme="0" tint="-0.499984740745262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7F7F7F"/>
      </patternFill>
    </fill>
    <fill>
      <patternFill patternType="solid">
        <fgColor theme="0"/>
        <bgColor indexed="6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0404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0040404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8" fillId="0" borderId="0" applyAlignment="1">
      <alignment vertical="center"/>
    </xf>
  </cellStyleXfs>
  <cellXfs count="108">
    <xf numFmtId="0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1">
      <alignment vertical="center"/>
    </xf>
    <xf numFmtId="9" fontId="0" fillId="0" borderId="0" applyAlignment="1" pivotButton="0" quotePrefix="0" xfId="2">
      <alignment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1">
      <alignment vertical="center"/>
    </xf>
    <xf numFmtId="9" fontId="0" fillId="3" borderId="0" applyAlignment="1" pivotButton="0" quotePrefix="0" xfId="2">
      <alignment vertical="center"/>
    </xf>
    <xf numFmtId="164" fontId="2" fillId="3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0" fontId="10" fillId="5" borderId="3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164" fontId="10" fillId="6" borderId="3" applyAlignment="1" pivotButton="0" quotePrefix="0" xfId="1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164" fontId="10" fillId="7" borderId="3" applyAlignment="1" pivotButton="0" quotePrefix="0" xfId="1">
      <alignment horizontal="center" vertical="center" wrapText="1"/>
    </xf>
    <xf numFmtId="9" fontId="10" fillId="7" borderId="3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vertical="center"/>
    </xf>
    <xf numFmtId="9" fontId="0" fillId="0" borderId="4" applyAlignment="1" pivotButton="0" quotePrefix="0" xfId="2">
      <alignment horizontal="center" vertical="center"/>
    </xf>
    <xf numFmtId="9" fontId="0" fillId="0" borderId="3" applyAlignment="1" pivotButton="0" quotePrefix="0" xfId="2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vertical="center"/>
    </xf>
    <xf numFmtId="0" fontId="0" fillId="4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vertical="center"/>
    </xf>
    <xf numFmtId="0" fontId="0" fillId="10" borderId="4" applyAlignment="1" pivotButton="0" quotePrefix="0" xfId="0">
      <alignment horizontal="center" vertical="center" wrapText="1"/>
    </xf>
    <xf numFmtId="3" fontId="0" fillId="10" borderId="3" applyAlignment="1" pivotButton="0" quotePrefix="0" xfId="1">
      <alignment horizontal="right" vertical="center"/>
    </xf>
    <xf numFmtId="3" fontId="0" fillId="10" borderId="3" applyAlignment="1" pivotButton="0" quotePrefix="0" xfId="0">
      <alignment horizontal="right" vertical="center"/>
    </xf>
    <xf numFmtId="9" fontId="0" fillId="10" borderId="3" applyAlignment="1" pivotButton="0" quotePrefix="0" xfId="0">
      <alignment horizontal="center" vertical="center"/>
    </xf>
    <xf numFmtId="0" fontId="8" fillId="10" borderId="4" applyAlignment="1" pivotButton="0" quotePrefix="0" xfId="3">
      <alignment vertical="center"/>
    </xf>
    <xf numFmtId="0" fontId="0" fillId="10" borderId="3" applyAlignment="1" pivotButton="0" quotePrefix="0" xfId="0">
      <alignment horizontal="center" vertical="center" wrapText="1"/>
    </xf>
    <xf numFmtId="0" fontId="0" fillId="10" borderId="4" applyAlignment="1" pivotButton="0" quotePrefix="0" xfId="0">
      <alignment vertical="center"/>
    </xf>
    <xf numFmtId="164" fontId="8" fillId="10" borderId="4" applyAlignment="1" pivotButton="0" quotePrefix="0" xfId="3">
      <alignment vertical="center"/>
    </xf>
    <xf numFmtId="164" fontId="6" fillId="10" borderId="4" applyAlignment="1" pivotButton="0" quotePrefix="0" xfId="1">
      <alignment vertical="center"/>
    </xf>
    <xf numFmtId="164" fontId="1" fillId="10" borderId="3" applyAlignment="1" pivotButton="0" quotePrefix="0" xfId="1">
      <alignment horizontal="center" vertical="center" wrapText="1"/>
    </xf>
    <xf numFmtId="3" fontId="5" fillId="3" borderId="3" applyAlignment="1" pivotButton="0" quotePrefix="0" xfId="1">
      <alignment horizontal="right" vertical="center"/>
    </xf>
    <xf numFmtId="3" fontId="0" fillId="3" borderId="3" applyAlignment="1" pivotButton="0" quotePrefix="0" xfId="1">
      <alignment horizontal="right" vertical="center"/>
    </xf>
    <xf numFmtId="3" fontId="0" fillId="3" borderId="3" applyAlignment="1" pivotButton="0" quotePrefix="0" xfId="0">
      <alignment horizontal="right" vertical="center"/>
    </xf>
    <xf numFmtId="3" fontId="1" fillId="3" borderId="3" applyAlignment="1" pivotButton="0" quotePrefix="0" xfId="1">
      <alignment horizontal="right" vertical="center"/>
    </xf>
    <xf numFmtId="9" fontId="0" fillId="3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3" fontId="0" fillId="4" borderId="3" applyAlignment="1" pivotButton="0" quotePrefix="0" xfId="1">
      <alignment horizontal="right" vertical="center"/>
    </xf>
    <xf numFmtId="3" fontId="5" fillId="4" borderId="3" applyAlignment="1" pivotButton="0" quotePrefix="0" xfId="1">
      <alignment horizontal="right" vertical="center"/>
    </xf>
    <xf numFmtId="3" fontId="0" fillId="4" borderId="3" applyAlignment="1" pivotButton="0" quotePrefix="0" xfId="0">
      <alignment horizontal="right" vertical="center"/>
    </xf>
    <xf numFmtId="9" fontId="0" fillId="4" borderId="3" applyAlignment="1" pivotButton="0" quotePrefix="0" xfId="0">
      <alignment horizontal="center" vertical="center"/>
    </xf>
    <xf numFmtId="164" fontId="6" fillId="4" borderId="4" applyAlignment="1" pivotButton="0" quotePrefix="0" xfId="1">
      <alignment vertical="center"/>
    </xf>
    <xf numFmtId="0" fontId="0" fillId="4" borderId="4" applyAlignment="1" pivotButton="0" quotePrefix="0" xfId="0">
      <alignment vertical="center"/>
    </xf>
    <xf numFmtId="164" fontId="1" fillId="4" borderId="3" applyAlignment="1" pivotButton="0" quotePrefix="0" xfId="1">
      <alignment horizontal="center" vertical="center" wrapText="1"/>
    </xf>
    <xf numFmtId="3" fontId="11" fillId="4" borderId="3" applyAlignment="1" pivotButton="0" quotePrefix="0" xfId="0">
      <alignment horizontal="right" vertical="center"/>
    </xf>
    <xf numFmtId="164" fontId="4" fillId="8" borderId="3" applyAlignment="1" pivotButton="0" quotePrefix="0" xfId="1">
      <alignment horizontal="center" vertical="center" wrapText="1"/>
    </xf>
    <xf numFmtId="164" fontId="12" fillId="4" borderId="0" applyAlignment="1" pivotButton="0" quotePrefix="0" xfId="1">
      <alignment vertical="center"/>
    </xf>
    <xf numFmtId="164" fontId="1" fillId="10" borderId="0" applyAlignment="1" pivotButton="0" quotePrefix="0" xfId="1">
      <alignment vertical="center"/>
    </xf>
    <xf numFmtId="0" fontId="9" fillId="5" borderId="3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center" vertical="center" wrapText="1"/>
    </xf>
    <xf numFmtId="0" fontId="9" fillId="9" borderId="4" applyAlignment="1" pivotButton="0" quotePrefix="0" xfId="0">
      <alignment horizontal="center" vertical="center" wrapText="1"/>
    </xf>
    <xf numFmtId="0" fontId="9" fillId="9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11" borderId="9" pivotButton="0" quotePrefix="0" xfId="0"/>
    <xf numFmtId="0" fontId="0" fillId="11" borderId="10" pivotButton="0" quotePrefix="0" xfId="0"/>
    <xf numFmtId="164" fontId="10" fillId="6" borderId="3" applyAlignment="1" pivotButton="0" quotePrefix="0" xfId="1">
      <alignment horizontal="center" vertical="center" wrapText="1"/>
    </xf>
    <xf numFmtId="164" fontId="10" fillId="7" borderId="3" applyAlignment="1" pivotButton="0" quotePrefix="0" xfId="1">
      <alignment horizontal="center" vertical="center" wrapText="1"/>
    </xf>
    <xf numFmtId="164" fontId="4" fillId="8" borderId="3" applyAlignment="1" pivotButton="0" quotePrefix="0" xfId="1">
      <alignment horizontal="center" vertical="center" wrapText="1"/>
    </xf>
    <xf numFmtId="164" fontId="4" fillId="11" borderId="9" applyAlignment="1" pivotButton="0" quotePrefix="0" xfId="1">
      <alignment horizontal="center" vertical="center" wrapText="1"/>
    </xf>
    <xf numFmtId="164" fontId="4" fillId="11" borderId="10" applyAlignment="1" pivotButton="0" quotePrefix="0" xfId="1">
      <alignment horizontal="center" vertical="center" wrapText="1"/>
    </xf>
    <xf numFmtId="164" fontId="1" fillId="10" borderId="0" applyAlignment="1" pivotButton="0" quotePrefix="0" xfId="1">
      <alignment vertical="center"/>
    </xf>
    <xf numFmtId="0" fontId="1" fillId="12" borderId="9" applyAlignment="1" pivotButton="0" quotePrefix="0" xfId="1">
      <alignment vertical="center" wrapText="1"/>
    </xf>
    <xf numFmtId="0" fontId="1" fillId="12" borderId="10" applyAlignment="1" pivotButton="0" quotePrefix="0" xfId="1">
      <alignment horizontal="center" vertical="center" wrapText="1"/>
    </xf>
    <xf numFmtId="3" fontId="1" fillId="12" borderId="10" applyAlignment="1" pivotButton="0" quotePrefix="0" xfId="1">
      <alignment horizontal="right" vertical="center"/>
    </xf>
    <xf numFmtId="0" fontId="1" fillId="12" borderId="10" applyAlignment="1" pivotButton="0" quotePrefix="0" xfId="1">
      <alignment vertical="center" wrapText="1"/>
    </xf>
    <xf numFmtId="9" fontId="1" fillId="12" borderId="10" applyAlignment="1" pivotButton="0" quotePrefix="0" xfId="1">
      <alignment horizontal="center" vertical="center"/>
    </xf>
    <xf numFmtId="164" fontId="8" fillId="10" borderId="4" applyAlignment="1" pivotButton="0" quotePrefix="0" xfId="3">
      <alignment vertical="center"/>
    </xf>
    <xf numFmtId="164" fontId="6" fillId="10" borderId="4" applyAlignment="1" pivotButton="0" quotePrefix="0" xfId="1">
      <alignment vertical="center"/>
    </xf>
    <xf numFmtId="0" fontId="0" fillId="12" borderId="9" applyAlignment="1" pivotButton="0" quotePrefix="0" xfId="0">
      <alignment vertical="center" wrapText="1"/>
    </xf>
    <xf numFmtId="0" fontId="0" fillId="12" borderId="10" applyAlignment="1" pivotButton="0" quotePrefix="0" xfId="0">
      <alignment horizontal="center" vertical="center" wrapText="1"/>
    </xf>
    <xf numFmtId="3" fontId="0" fillId="12" borderId="10" applyAlignment="1" pivotButton="0" quotePrefix="0" xfId="0">
      <alignment horizontal="right" vertical="center"/>
    </xf>
    <xf numFmtId="0" fontId="0" fillId="12" borderId="10" applyAlignment="1" pivotButton="0" quotePrefix="0" xfId="0">
      <alignment vertical="center" wrapText="1"/>
    </xf>
    <xf numFmtId="9" fontId="0" fillId="12" borderId="10" applyAlignment="1" pivotButton="0" quotePrefix="0" xfId="0">
      <alignment horizontal="center" vertical="center"/>
    </xf>
    <xf numFmtId="164" fontId="1" fillId="10" borderId="3" applyAlignment="1" pivotButton="0" quotePrefix="0" xfId="1">
      <alignment horizontal="center" vertical="center" wrapText="1"/>
    </xf>
    <xf numFmtId="164" fontId="6" fillId="4" borderId="4" applyAlignment="1" pivotButton="0" quotePrefix="0" xfId="1">
      <alignment vertical="center"/>
    </xf>
    <xf numFmtId="164" fontId="1" fillId="4" borderId="3" applyAlignment="1" pivotButton="0" quotePrefix="0" xfId="1">
      <alignment horizontal="center" vertical="center" wrapText="1"/>
    </xf>
    <xf numFmtId="164" fontId="12" fillId="4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4" fontId="0" fillId="3" borderId="0" applyAlignment="1" pivotButton="0" quotePrefix="0" xfId="1">
      <alignment vertical="center"/>
    </xf>
    <xf numFmtId="164" fontId="2" fillId="3" borderId="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0" fontId="9" fillId="11" borderId="9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0" fillId="11" borderId="9" applyAlignment="1" pivotButton="0" quotePrefix="0" xfId="1">
      <alignment horizontal="center" vertical="center" wrapText="1"/>
    </xf>
    <xf numFmtId="164" fontId="10" fillId="11" borderId="10" applyAlignment="1" pivotButton="0" quotePrefix="0" xfId="1">
      <alignment horizontal="center" vertical="center" wrapText="1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soln</author>
  </authors>
  <commentList>
    <comment ref="AE2" authorId="0" shapeId="0">
      <text>
        <t xml:space="preserve">전문몰-최저가로 경쟁
</t>
      </text>
    </comment>
  </commentList>
</comments>
</file>

<file path=xl/comments/comment2.xml><?xml version="1.0" encoding="utf-8"?>
<comments xmlns="http://schemas.openxmlformats.org/spreadsheetml/2006/main">
  <authors>
    <author>soln</author>
  </authors>
  <commentList>
    <comment ref="N1" authorId="0" shapeId="0">
      <text>
        <t xml:space="preserve">전문몰-최저가로 경쟁
</t>
      </text>
    </comment>
    <comment ref="D6" authorId="0" shapeId="0">
      <text>
        <t>본체+건+크래들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11st.co.kr/products/2807681387?NaPm=ct%3Dmvhi8yu0%7Cci%3D8da440d7f074c61e1e92ac39066de2fd15622623%7Ctr%3Dslct%7Csn%3D17703%7Chk%3Dd0a70e19b41d2073fdd16f65269901421443b3f7&amp;utm_term=&amp;utm_campaign=%B3%D7%C0%CC%B9%F6pc_%B0%A1%B0%DD%BA%F1%B1%B3%B1%E2%BA%BB&amp;utm_source=%B3%D7%C0%CC%B9%F6_PC_PCS&amp;utm_medium=%B0%A1%B0%DD%BA%F1%B1%B3" TargetMode="External" Id="rId1"/><Relationship Type="http://schemas.openxmlformats.org/officeDocument/2006/relationships/hyperlink" Target="https://smartstore.naver.com/hjoo/products/6419479017?NaPm=ct%3Dmvhh4zsg%7Cci%3D181b2ceb51f2cc81b0b700fcae2cb72f478786bb%7Ctr%3Dslsl%7Csn%3D1003411%7Chk%3Dc712c0f176e8252dd49bde1a92a29adf8655943d&amp;nl-au=1aaa49b9ee304bce88a9b59ef3ecf92d&amp;nl-query=DS2278" TargetMode="External" Id="rId2"/><Relationship Type="http://schemas.openxmlformats.org/officeDocument/2006/relationships/hyperlink" Target="https://smartstore.naver.com/mgoodchoice/products/10161721783?NaPm=ct%3Dmvhh2bc8%7Cci%3Da9fa89a83b38770279c5d1ab5fce593499be3c19%7Ctr%3Dslsl%7Csn%3D10212764%7Chk%3D47c1466422c90b6ba8c5e534690666779df73c09&amp;nl-au=372614b94de54dbba626246d2d9cd7fe&amp;nl-query=DS2208" TargetMode="External" Id="rId3"/><Relationship Type="http://schemas.openxmlformats.org/officeDocument/2006/relationships/hyperlink" Target="https://barcodedapanda.com/goods/goods_view.php?goodsNo=1000000102&amp;inflow=naver&amp;NaPm=ct%3Dmvhh0k2g%7Cci%3Db72dc1ee9e625764fef364b2bb7abd548b2fa5d7%7Ctr%3Dslsl%7Csn%3D1059041%7Chk%3Db1db0058a9ae8c38e1f8dec463dcbbb1f27b4878" TargetMode="External" Id="rId4"/><Relationship Type="http://schemas.openxmlformats.org/officeDocument/2006/relationships/hyperlink" Target="https://smartstore.naver.com/hjoo/products/8483526951?NaPm=ct%3Dmvhgxii0%7Cci%3D07d7fee651e20e3520b383c6b99e02c89eced354%7Ctr%3Dslsl%7Csn%3D1003411%7Chk%3Dff17562b3704151cdb09148baebf0bd8bb186d18&amp;nl-au=413c020392574e82961a1cb983f012d1&amp;nl-query=DS4608+SR" TargetMode="External" Id="rId5"/><Relationship Type="http://schemas.openxmlformats.org/officeDocument/2006/relationships/hyperlink" Target="https://smartstore.naver.com/poswave/products/2080087474?NaPm=ct%3Dmvhgw6ns%7Cci%3D8fcadda0e35da582841f6fdc612b28e6f72ebcef%7Ctr%3Dslct%7Csn%3D268073%7Chk%3D24bc2c3a81226f9fca9a7cf9401d70d120739a60&amp;nl-query=LI3608+SR" TargetMode="External" Id="rId6"/><Relationship Type="http://schemas.openxmlformats.org/officeDocument/2006/relationships/hyperlink" Target="https://koreabarcodesystem.com/goods/goods_view.php?goodsNo=1000000356&amp;inflow=naver&amp;NaPm=ct%3Dmvhgsa88%7Cci%3Da0c4581b4908ffd1d091260947e5ee9ed8b80d29%7Ctr%3Dslsl%7Csn%3D1252624%7Chk%3De30d7b0626e1bfa68b30241008653993bedae906" TargetMode="External" Id="rId7"/><Relationship Type="http://schemas.openxmlformats.org/officeDocument/2006/relationships/hyperlink" Target="https://www.coupang.com/vp/products/7776623166?itemId=21008273200&amp;vendorItemId=88072038439&amp;src=1032001&amp;spec=10305199&amp;addtag=400&amp;ctag=7776623166&amp;lptag=I21008273200&amp;itime=20261021105831&amp;pageType=PRODUCT&amp;pageValue=7776623166&amp;wPcid=17925479117023342366972&amp;wRef=cr.shopping.naver.com&amp;wTime=20261021105831&amp;redirect=landing&amp;mcid=c0e0afcb8241410a948c280b604f0b44&amp;n_keyword=&amp;n_ad_group=&amp;n_ad=&amp;n_rank=&amp;n_keyword_id=&amp;n_media=&amp;n_campaign_type=&amp;n_query=" TargetMode="External" Id="rId8"/><Relationship Type="http://schemas.openxmlformats.org/officeDocument/2006/relationships/hyperlink" Target="https://smartstore.naver.com/dnstech/products/5778939744?NaPm=ct%3Dmvhgpov4%7Cci%3Defe517db3872c35c1fa9d6d3a27114c7a076e3ac%7Ctr%3Dslsl%7Csn%3D4254239%7Chk%3Ddb19b7f23aa46b738f1c0621139de5a037f0fac6&amp;nl-au=b1a97dcd0fe447f6a8e4db1476b41fec&amp;nl-query=DS9908" TargetMode="External" Id="rId9"/><Relationship Type="http://schemas.openxmlformats.org/officeDocument/2006/relationships/hyperlink" Target="https://itempage3.auction.co.kr/DetailView.aspx?itemno=E805670162" TargetMode="External" Id="rId10"/><Relationship Type="http://schemas.openxmlformats.org/officeDocument/2006/relationships/hyperlink" Target="https://smartstore.naver.com/acmesys/products/3866459936?NaPm=ct%3Dmvhgneaw%7Cci%3Dc83d524501ada04c1324d648c7a88e258fc001cc%7Ctr%3Dslsl%7Csn%3D721893%7Chk%3D47ca6355a03f631fcd63fd400d64b3204dd523df&amp;nl-au=231f0c963dd540f0b55ef638f65556de&amp;nl-query=DS3678HD" TargetMode="External" Id="rId11"/><Relationship Type="http://schemas.openxmlformats.org/officeDocument/2006/relationships/hyperlink" Target="https://koreabarcodesystem.com/goods/goods_view.php?goodsNo=1000000462&amp;inflow=naver&amp;NaPm=ct%3Dmvhgcq1k%7Cci%3D58bb67fd2935d2f76a2d2518c0bf15953a6ac186%7Ctr%3Dslsl%7Csn%3D1252624%7Chk%3Db814420d02bc6cfade62a89035e9faa9c8504472" TargetMode="External" Id="rId12"/><Relationship Type="http://schemas.openxmlformats.org/officeDocument/2006/relationships/hyperlink" Target="https://smartstore.naver.com/junosol/products/12695333021?NaPm=ct%3Dmvhg8v5k%7Cci%3D17cfd7d7f37a3e2461d996819d7e50fd92b3e52b%7Ctr%3Dslsl%7Csn%3D12339033%7Chk%3D41718ff371f446f5889c04d92341d222632eb94b&amp;nl-au=fc73611a67d94eeeb8b7d63207130065&amp;nl-query=DS4678" TargetMode="External" Id="rId13"/><Relationship Type="http://schemas.openxmlformats.org/officeDocument/2006/relationships/hyperlink" Target="https://smartstore.naver.com/hnid/products/13811897816?NaPm=ct%3Dmvhg5b2g%7Cci%3D894aa7982f4ed15479488d92c7d4e747e7e6362b%7Ctr%3Dslsl%7Csn%3D4004210%7Chk%3Da2d5e40e5590c47a6c6d8f3220048c1f8ae53000&amp;nl-au=f539be1f7f5145e49ade2a15ae6169ce&amp;nl-query=DS9308" TargetMode="External" Id="rId14"/><Relationship Type="http://schemas.openxmlformats.org/officeDocument/2006/relationships/hyperlink" Target="https://smartstore.naver.com/bainternational/products/11178431189?NaPm=ct%3Dmvhg36og%7Cci%3D5a1cce8a2293deda2001f6ce74d941bc4bfdeba7%7Ctr%3Dslsl%7Csn%3D10370194%7Chk%3D7e69ce311dfdce51952478738db00f46d6f9861c&amp;nl-au=c3205760fe994ef9b44f71be10d3de6d&amp;nl-query=DS8178" TargetMode="External" Id="rId15"/><Relationship Type="http://schemas.openxmlformats.org/officeDocument/2006/relationships/hyperlink" Target="https://smartstore.naver.com/acmesys/products/6580204781?NaPm=ct%3Dmvhenuoo%7Cci%3D031c4ad6d503c2e35ef933f2f5b4eadb550143db%7Ctr%3Dslsl%7Csn%3D721893%7Chk%3D46572e65875cb4c1ddde01d0d212351c8767294e&amp;nl-au=a57659890a994250b615409f7d7b27b6&amp;nl-query=LI4278" TargetMode="External" Id="rId1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F476"/>
  <sheetViews>
    <sheetView workbookViewId="0">
      <selection activeCell="A1" sqref="A1:F289"/>
    </sheetView>
  </sheetViews>
  <sheetFormatPr baseColWidth="8" defaultRowHeight="16.5"/>
  <cols>
    <col width="51.375" customWidth="1" style="12" min="2" max="2"/>
    <col width="18.5" customWidth="1" style="12" min="3" max="3"/>
  </cols>
  <sheetData>
    <row r="1">
      <c r="A1" s="0" t="inlineStr">
        <is>
          <t>번호</t>
        </is>
      </c>
      <c r="B1" s="0" t="inlineStr">
        <is>
          <t>상품분류</t>
        </is>
      </c>
      <c r="C1" s="0" t="inlineStr">
        <is>
          <t>상품명</t>
        </is>
      </c>
      <c r="D1" s="0" t="inlineStr">
        <is>
          <t>제조사</t>
        </is>
      </c>
      <c r="E1" s="0" t="inlineStr">
        <is>
          <t>제품규격</t>
        </is>
      </c>
      <c r="F1" s="0" t="inlineStr">
        <is>
          <t>판매가</t>
        </is>
      </c>
    </row>
    <row r="2" hidden="1" s="12">
      <c r="A2" s="0" t="n">
        <v>1</v>
      </c>
      <c r="B2" s="0" t="inlineStr">
        <is>
          <t>PDA &gt; 윈도우OS &gt; 윈도우 CE</t>
        </is>
      </c>
      <c r="C2" s="0" t="inlineStr">
        <is>
          <t>M3 OX10</t>
        </is>
      </c>
      <c r="D2" s="0" t="inlineStr">
        <is>
          <t>M3mobile</t>
        </is>
      </c>
      <c r="F2" s="0" t="n">
        <v>750000</v>
      </c>
    </row>
    <row r="3">
      <c r="A3" s="0" t="inlineStr">
        <is>
          <t>'1531</t>
        </is>
      </c>
      <c r="B3" s="0" t="inlineStr">
        <is>
          <t>PDA &gt; 안드로이드OS &gt; 풀터치(가성비)</t>
        </is>
      </c>
      <c r="C3" s="0" t="inlineStr">
        <is>
          <t>TC21</t>
        </is>
      </c>
      <c r="D3" s="0" t="inlineStr">
        <is>
          <t>ZEBRA</t>
        </is>
      </c>
      <c r="F3" s="0" t="n">
        <v>800000</v>
      </c>
    </row>
    <row r="4" hidden="1" s="12">
      <c r="A4" s="0" t="inlineStr">
        <is>
          <t>'1589</t>
        </is>
      </c>
      <c r="B4" s="0" t="inlineStr">
        <is>
          <t>PDA &gt; 안드로이드OS &gt; 풀터치(가성비)</t>
        </is>
      </c>
      <c r="C4" s="0" t="inlineStr">
        <is>
          <t>PM90(2D)</t>
        </is>
      </c>
      <c r="D4" s="0" t="inlineStr">
        <is>
          <t>PointMobile</t>
        </is>
      </c>
      <c r="F4" s="0" t="n">
        <v>715000</v>
      </c>
    </row>
    <row r="5" hidden="1" s="12">
      <c r="A5" s="0" t="inlineStr">
        <is>
          <t>'1585</t>
        </is>
      </c>
      <c r="B5" s="0" t="inlineStr">
        <is>
          <t>PDA &gt; 안드로이드OS &gt; 풀터치(가성비)</t>
        </is>
      </c>
      <c r="C5" s="0" t="inlineStr">
        <is>
          <t>EDA52</t>
        </is>
      </c>
      <c r="D5" s="0" t="inlineStr">
        <is>
          <t>Honeywell</t>
        </is>
      </c>
      <c r="F5" s="0" t="n">
        <v>890000</v>
      </c>
    </row>
    <row r="6" hidden="1" s="12">
      <c r="A6" s="0" t="inlineStr">
        <is>
          <t>'44</t>
        </is>
      </c>
      <c r="B6" s="0" t="inlineStr">
        <is>
          <t>PDA &gt; 안드로이드OS &gt; 풀터치(가성비)</t>
        </is>
      </c>
      <c r="C6" s="0" t="inlineStr">
        <is>
          <t>PM85(2D)</t>
        </is>
      </c>
      <c r="D6" s="0" t="inlineStr">
        <is>
          <t>PointMobile</t>
        </is>
      </c>
      <c r="F6" s="0" t="n">
        <v>788000</v>
      </c>
    </row>
    <row r="7" hidden="1" s="12">
      <c r="A7" s="0" t="inlineStr">
        <is>
          <t>'451</t>
        </is>
      </c>
      <c r="B7" s="0" t="inlineStr">
        <is>
          <t>PDA &gt; 안드로이드OS &gt; 프리미엄풀터치</t>
        </is>
      </c>
      <c r="C7" s="0" t="inlineStr">
        <is>
          <t>EDA51</t>
        </is>
      </c>
      <c r="D7" s="0" t="inlineStr">
        <is>
          <t>Honeywell</t>
        </is>
      </c>
      <c r="F7" s="0" t="n">
        <v>0</v>
      </c>
    </row>
    <row r="8" hidden="1" s="12">
      <c r="A8" s="0" t="inlineStr">
        <is>
          <t>'6</t>
        </is>
      </c>
      <c r="B8" s="0" t="inlineStr">
        <is>
          <t>PDA &gt; 안드로이드OS &gt; 풀터치(가성비)</t>
        </is>
      </c>
      <c r="C8" s="0" t="inlineStr">
        <is>
          <t>SM15</t>
        </is>
      </c>
      <c r="D8" s="0" t="inlineStr">
        <is>
          <t>M3mobile</t>
        </is>
      </c>
      <c r="F8" s="0" t="n">
        <v>792000</v>
      </c>
    </row>
    <row r="9" hidden="1" s="12">
      <c r="A9" s="0" t="inlineStr">
        <is>
          <t>'11</t>
        </is>
      </c>
      <c r="B9" s="0" t="inlineStr">
        <is>
          <t>PDA &gt; 윈도우OS &gt; 윈도우 CE</t>
        </is>
      </c>
      <c r="C9" s="0" t="inlineStr">
        <is>
          <t>M3 BLACK</t>
        </is>
      </c>
      <c r="D9" s="0" t="inlineStr">
        <is>
          <t>M3mobile</t>
        </is>
      </c>
      <c r="F9" s="0" t="n">
        <v>825000</v>
      </c>
    </row>
    <row r="10" hidden="1" s="12">
      <c r="A10" s="0" t="inlineStr">
        <is>
          <t>'51</t>
        </is>
      </c>
      <c r="B10" s="0" t="inlineStr">
        <is>
          <t>PDA</t>
        </is>
      </c>
      <c r="C10" s="0" t="inlineStr">
        <is>
          <t>CT60(단종)</t>
        </is>
      </c>
      <c r="F10" s="0" t="n">
        <v>2310000</v>
      </c>
    </row>
    <row r="11" hidden="1" s="12">
      <c r="A11" s="0" t="inlineStr">
        <is>
          <t>'45</t>
        </is>
      </c>
      <c r="B11" s="0" t="inlineStr">
        <is>
          <t>PDA &gt; 안드로이드OS &gt; 롱레인지타입</t>
        </is>
      </c>
      <c r="C11" s="0" t="inlineStr">
        <is>
          <t>UL20</t>
        </is>
      </c>
      <c r="D11" s="0" t="inlineStr">
        <is>
          <t>M3mobile</t>
        </is>
      </c>
      <c r="F11" s="0" t="n">
        <v>1155000</v>
      </c>
    </row>
    <row r="12" hidden="1" s="12">
      <c r="A12" s="0" t="inlineStr">
        <is>
          <t>'1077</t>
        </is>
      </c>
      <c r="B12" s="0" t="inlineStr">
        <is>
          <t>PDA &gt; 안드로이드OS &gt; 키패드(핸드헬드)</t>
        </is>
      </c>
      <c r="C12" s="0" t="inlineStr">
        <is>
          <t>US20</t>
        </is>
      </c>
      <c r="D12" s="0" t="inlineStr">
        <is>
          <t>M3mobile</t>
        </is>
      </c>
      <c r="F12" s="0" t="n">
        <v>880000</v>
      </c>
    </row>
    <row r="13">
      <c r="A13" s="0" t="inlineStr">
        <is>
          <t>'492</t>
        </is>
      </c>
      <c r="B13" s="0" t="inlineStr">
        <is>
          <t>PDA &gt; 안드로이드OS &gt; 키패드(핸드헬드)</t>
        </is>
      </c>
      <c r="C13" s="0" t="inlineStr">
        <is>
          <t>MC9300(2D)</t>
        </is>
      </c>
      <c r="D13" s="0" t="inlineStr">
        <is>
          <t>ZEBRA</t>
        </is>
      </c>
      <c r="F13" s="0" t="n">
        <v>2600000</v>
      </c>
    </row>
    <row r="14" hidden="1" s="12">
      <c r="A14" s="0" t="inlineStr">
        <is>
          <t>'1376</t>
        </is>
      </c>
      <c r="B14" s="0" t="inlineStr">
        <is>
          <t>PDA &gt; 안드로이드OS &gt; 키패드(핸드헬드)</t>
        </is>
      </c>
      <c r="C14" s="0" t="inlineStr">
        <is>
          <t>NLS-MT37</t>
        </is>
      </c>
      <c r="D14" s="0" t="inlineStr">
        <is>
          <t>Newland</t>
        </is>
      </c>
      <c r="F14" s="0" t="n">
        <v>600000</v>
      </c>
    </row>
    <row r="15" hidden="1" s="12">
      <c r="A15" s="0" t="inlineStr">
        <is>
          <t>'1150</t>
        </is>
      </c>
      <c r="B15" s="0" t="inlineStr">
        <is>
          <t>PDA &gt; 안드로이드OS &gt; 키패드(핸드헬드)</t>
        </is>
      </c>
      <c r="C15" s="0" t="inlineStr">
        <is>
          <t>PM67</t>
        </is>
      </c>
      <c r="D15" s="0" t="inlineStr">
        <is>
          <t>PointMobile</t>
        </is>
      </c>
      <c r="F15" s="0" t="n">
        <v>858000</v>
      </c>
    </row>
    <row r="16" hidden="1" s="12">
      <c r="A16" s="0" t="inlineStr">
        <is>
          <t>'881</t>
        </is>
      </c>
      <c r="B16" s="0" t="inlineStr">
        <is>
          <t>PDA &gt; 안드로이드OS &gt; 키패드(핸드헬드)</t>
        </is>
      </c>
      <c r="C16" s="0" t="inlineStr">
        <is>
          <t>PM451</t>
        </is>
      </c>
      <c r="D16" s="0" t="inlineStr">
        <is>
          <t>PointMobile</t>
        </is>
      </c>
      <c r="F16" s="0" t="n">
        <v>950000</v>
      </c>
    </row>
    <row r="17" hidden="1" s="12">
      <c r="A17" s="0" t="inlineStr">
        <is>
          <t>'13</t>
        </is>
      </c>
      <c r="B17" s="0" t="inlineStr">
        <is>
          <t>PDA &gt; 안드로이드OS &gt; 키패드(핸드헬드)</t>
        </is>
      </c>
      <c r="C17" s="0" t="inlineStr">
        <is>
          <t>PM550</t>
        </is>
      </c>
      <c r="D17" s="0" t="inlineStr">
        <is>
          <t>PointMobile</t>
        </is>
      </c>
      <c r="F17" s="0" t="n">
        <v>1090000</v>
      </c>
    </row>
    <row r="18" hidden="1" s="12">
      <c r="A18" s="0" t="inlineStr">
        <is>
          <t>'12</t>
        </is>
      </c>
      <c r="B18" s="0" t="inlineStr">
        <is>
          <t>PDA &gt; 안드로이드OS &gt; 기타</t>
        </is>
      </c>
      <c r="C18" s="0" t="inlineStr">
        <is>
          <t>H3</t>
        </is>
      </c>
      <c r="D18" s="0" t="inlineStr">
        <is>
          <t>BIXOLON</t>
        </is>
      </c>
      <c r="F18" s="0" t="n">
        <v>880000</v>
      </c>
    </row>
    <row r="19" hidden="1" s="12">
      <c r="A19" s="0" t="inlineStr">
        <is>
          <t>'1149</t>
        </is>
      </c>
      <c r="B19" s="0" t="inlineStr">
        <is>
          <t>PDA &gt; 안드로이드OS &gt; 풀터치(가성비)</t>
        </is>
      </c>
      <c r="C19" s="0" t="inlineStr">
        <is>
          <t>PM30</t>
        </is>
      </c>
      <c r="D19" s="0" t="inlineStr">
        <is>
          <t>PointMobile</t>
        </is>
      </c>
      <c r="F19" s="0" t="n">
        <v>825000</v>
      </c>
    </row>
    <row r="20" hidden="1" s="12">
      <c r="A20" s="0" t="inlineStr">
        <is>
          <t>'931</t>
        </is>
      </c>
      <c r="B20" s="0" t="inlineStr">
        <is>
          <t>PDA &gt; 안드로이드OS &gt; 풀터치(가성비)</t>
        </is>
      </c>
      <c r="C20" s="0" t="inlineStr">
        <is>
          <t>PM90(2D)</t>
        </is>
      </c>
      <c r="D20" s="0" t="inlineStr">
        <is>
          <t>PointMobile</t>
        </is>
      </c>
      <c r="F20" s="0" t="n">
        <v>715000</v>
      </c>
    </row>
    <row r="21" hidden="1" s="12">
      <c r="A21" s="0" t="inlineStr">
        <is>
          <t>'50</t>
        </is>
      </c>
      <c r="B21" s="0" t="inlineStr">
        <is>
          <t>PDA &gt; 안드로이드OS &gt; 풀터치(가성비)</t>
        </is>
      </c>
      <c r="C21" s="0" t="inlineStr">
        <is>
          <t>PM70(단종)</t>
        </is>
      </c>
      <c r="D21" s="0" t="inlineStr">
        <is>
          <t>PointMobile</t>
        </is>
      </c>
      <c r="F21" s="0" t="n">
        <v>0</v>
      </c>
    </row>
    <row r="22" hidden="1" s="12">
      <c r="A22" s="0" t="inlineStr">
        <is>
          <t>'966</t>
        </is>
      </c>
      <c r="B22" s="0" t="inlineStr">
        <is>
          <t>PDA &gt; 안드로이드OS &gt; 롱레인지타입</t>
        </is>
      </c>
      <c r="C22" s="0" t="inlineStr">
        <is>
          <t>CT40XP</t>
        </is>
      </c>
      <c r="D22" s="0" t="inlineStr">
        <is>
          <t>Honeywell</t>
        </is>
      </c>
      <c r="F22" s="0" t="n">
        <v>0</v>
      </c>
    </row>
    <row r="23" hidden="1" s="12">
      <c r="A23" s="0" t="inlineStr">
        <is>
          <t>'783</t>
        </is>
      </c>
      <c r="B23" s="0" t="inlineStr">
        <is>
          <t>PDA &gt; 안드로이드OS &gt; 키패드(핸드헬드)</t>
        </is>
      </c>
      <c r="C23" s="0" t="inlineStr">
        <is>
          <t>DS5A</t>
        </is>
      </c>
      <c r="D23" s="0" t="inlineStr">
        <is>
          <t>DSIC</t>
        </is>
      </c>
      <c r="F23" s="0" t="n">
        <v>940000</v>
      </c>
    </row>
    <row r="24" hidden="1" s="12">
      <c r="A24" s="0" t="inlineStr">
        <is>
          <t>'782</t>
        </is>
      </c>
      <c r="B24" s="0" t="inlineStr">
        <is>
          <t>PDA &gt; 안드로이드OS &gt; 키패드(핸드헬드)</t>
        </is>
      </c>
      <c r="C24" s="0" t="inlineStr">
        <is>
          <t>DS4A</t>
        </is>
      </c>
      <c r="D24" s="0" t="inlineStr">
        <is>
          <t>DSIC</t>
        </is>
      </c>
      <c r="F24" s="0" t="n">
        <v>930000</v>
      </c>
    </row>
    <row r="25" hidden="1" s="12">
      <c r="A25" s="0" t="inlineStr">
        <is>
          <t>'996</t>
        </is>
      </c>
      <c r="B25" s="0" t="inlineStr">
        <is>
          <t>PDA &gt; 안드로이드OS &gt; 키패드(핸드헬드)</t>
        </is>
      </c>
      <c r="C25" s="0" t="inlineStr">
        <is>
          <t>EDA51K</t>
        </is>
      </c>
      <c r="D25" s="0" t="inlineStr">
        <is>
          <t>Honeywell</t>
        </is>
      </c>
      <c r="F25" s="0" t="n">
        <v>1150000</v>
      </c>
    </row>
    <row r="26" hidden="1" s="12">
      <c r="A26" s="0" t="inlineStr">
        <is>
          <t>'997</t>
        </is>
      </c>
      <c r="B26" s="0" t="inlineStr">
        <is>
          <t>PDA &gt; 안드로이드OS &gt; 키패드(핸드헬드)</t>
        </is>
      </c>
      <c r="C26" s="0" t="inlineStr">
        <is>
          <t>EDA61K</t>
        </is>
      </c>
      <c r="D26" s="0" t="inlineStr">
        <is>
          <t>Honeywell</t>
        </is>
      </c>
      <c r="F26" s="0" t="n">
        <v>3100000</v>
      </c>
    </row>
    <row r="27" hidden="1" s="12">
      <c r="A27" s="0" t="inlineStr">
        <is>
          <t>'64</t>
        </is>
      </c>
      <c r="B27" s="0" t="inlineStr">
        <is>
          <t xml:space="preserve">PDA &gt; </t>
        </is>
      </c>
      <c r="C27" s="0" t="inlineStr">
        <is>
          <t>DS5 Wide(단종)</t>
        </is>
      </c>
      <c r="D27" s="0" t="inlineStr">
        <is>
          <t>DSIC</t>
        </is>
      </c>
      <c r="F27" s="0" t="n">
        <v>0</v>
      </c>
    </row>
    <row r="28" hidden="1" s="12">
      <c r="A28" s="0" t="inlineStr">
        <is>
          <t>'1010</t>
        </is>
      </c>
      <c r="B28" s="0" t="inlineStr">
        <is>
          <t>PDA &gt; 안드로이드OS &gt; 키패드(핸드헬드)</t>
        </is>
      </c>
      <c r="C28" s="0" t="inlineStr">
        <is>
          <t>CK65</t>
        </is>
      </c>
      <c r="D28" s="0" t="inlineStr">
        <is>
          <t>Honeywell</t>
        </is>
      </c>
      <c r="F28" s="0" t="n">
        <v>0</v>
      </c>
    </row>
    <row r="29">
      <c r="A29" s="0" t="inlineStr">
        <is>
          <t>'1385</t>
        </is>
      </c>
      <c r="B29" s="0" t="inlineStr">
        <is>
          <t>PDA &gt; 안드로이드OS &gt; 키패드(핸드헬드)</t>
        </is>
      </c>
      <c r="C29" s="0" t="inlineStr">
        <is>
          <t>MC3300</t>
        </is>
      </c>
      <c r="D29" s="0" t="inlineStr">
        <is>
          <t>ZEBRA</t>
        </is>
      </c>
      <c r="F29" s="0" t="n">
        <v>2640000</v>
      </c>
    </row>
    <row r="30" hidden="1" s="12">
      <c r="A30" s="0" t="inlineStr">
        <is>
          <t>'53</t>
        </is>
      </c>
      <c r="B30" s="0" t="inlineStr">
        <is>
          <t>PDA &gt; 안드로이드OS &gt; 기타</t>
        </is>
      </c>
      <c r="C30" s="0" t="inlineStr">
        <is>
          <t>JoyaTouch</t>
        </is>
      </c>
      <c r="D30" s="0" t="inlineStr">
        <is>
          <t>DATALOGIC</t>
        </is>
      </c>
      <c r="F30" s="0" t="n">
        <v>990000</v>
      </c>
    </row>
    <row r="31" hidden="1" s="12">
      <c r="A31" s="0" t="inlineStr">
        <is>
          <t>'52</t>
        </is>
      </c>
      <c r="B31" s="0" t="inlineStr">
        <is>
          <t>PDA &gt; 윈도우OS &gt; 윈도우 모바일</t>
        </is>
      </c>
      <c r="C31" s="0" t="inlineStr">
        <is>
          <t>CW31</t>
        </is>
      </c>
      <c r="D31" s="0" t="inlineStr">
        <is>
          <t>CATCHWELL</t>
        </is>
      </c>
      <c r="F31" s="0" t="n">
        <v>935000</v>
      </c>
    </row>
    <row r="32" hidden="1" s="12">
      <c r="A32" s="0" t="inlineStr">
        <is>
          <t>'14</t>
        </is>
      </c>
      <c r="B32" s="0" t="inlineStr">
        <is>
          <t>PDA</t>
        </is>
      </c>
      <c r="C32" s="0" t="inlineStr">
        <is>
          <t>DS9(단종)</t>
        </is>
      </c>
      <c r="D32" s="0" t="inlineStr">
        <is>
          <t>DSIC</t>
        </is>
      </c>
      <c r="F32" s="0" t="n">
        <v>0</v>
      </c>
    </row>
    <row r="33" hidden="1" s="12">
      <c r="A33" s="0" t="inlineStr">
        <is>
          <t>'971</t>
        </is>
      </c>
      <c r="B33" s="0" t="inlineStr">
        <is>
          <t>PDA &gt; 윈도우OS &gt; 윈도우 모바일</t>
        </is>
      </c>
      <c r="C33" s="0" t="inlineStr">
        <is>
          <t>DT-X200-10E</t>
        </is>
      </c>
      <c r="D33" s="0" t="inlineStr">
        <is>
          <t>CASIO</t>
        </is>
      </c>
      <c r="F33" s="0" t="n">
        <v>990000</v>
      </c>
    </row>
    <row r="34" hidden="1" s="12">
      <c r="A34" s="0" t="inlineStr">
        <is>
          <t>'60</t>
        </is>
      </c>
      <c r="B34" s="0" t="inlineStr">
        <is>
          <t>PDA</t>
        </is>
      </c>
      <c r="C34" s="0" t="inlineStr">
        <is>
          <t xml:space="preserve"> DS2(단종)</t>
        </is>
      </c>
      <c r="D34" s="0" t="inlineStr">
        <is>
          <t>DSIC</t>
        </is>
      </c>
      <c r="F34" s="0" t="n">
        <v>0</v>
      </c>
    </row>
    <row r="35">
      <c r="A35" s="0" t="inlineStr">
        <is>
          <t>'15</t>
        </is>
      </c>
      <c r="B35" s="0" t="inlineStr">
        <is>
          <t>PDA &gt; 안드로이드OS &gt; 프리미엄풀터치</t>
        </is>
      </c>
      <c r="C35" s="0" t="inlineStr">
        <is>
          <t>TC8000</t>
        </is>
      </c>
      <c r="D35" s="0" t="inlineStr">
        <is>
          <t>ZEBRA</t>
        </is>
      </c>
      <c r="F35" s="0" t="n">
        <v>3300000</v>
      </c>
    </row>
    <row r="36" hidden="1" s="12">
      <c r="A36" s="0" t="inlineStr">
        <is>
          <t>'967</t>
        </is>
      </c>
      <c r="B36" s="0" t="inlineStr">
        <is>
          <t>PDA &gt; 안드로이드OS &gt; 기타</t>
        </is>
      </c>
      <c r="C36" s="0" t="inlineStr">
        <is>
          <t>RP20</t>
        </is>
      </c>
      <c r="D36" s="0" t="inlineStr">
        <is>
          <t>SOLBAR</t>
        </is>
      </c>
      <c r="F36" s="0" t="n">
        <v>0</v>
      </c>
    </row>
    <row r="37" hidden="1" s="12">
      <c r="A37" s="0" t="inlineStr">
        <is>
          <t>'1253</t>
        </is>
      </c>
      <c r="B37" s="0" t="inlineStr">
        <is>
          <t>PDA &gt; 윈도우OS &gt; 윈도우 모바일</t>
        </is>
      </c>
      <c r="C37" s="0" t="inlineStr">
        <is>
          <t>DS4(단종)</t>
        </is>
      </c>
      <c r="D37" s="0" t="inlineStr">
        <is>
          <t>DSIC</t>
        </is>
      </c>
      <c r="F37" s="0" t="n">
        <v>0</v>
      </c>
    </row>
    <row r="38">
      <c r="A38" s="0" t="inlineStr">
        <is>
          <t>'68</t>
        </is>
      </c>
      <c r="B38" s="0" t="inlineStr">
        <is>
          <t xml:space="preserve">PDA &gt; </t>
        </is>
      </c>
      <c r="C38" s="0" t="inlineStr">
        <is>
          <t>MC55A0(단종)</t>
        </is>
      </c>
      <c r="D38" s="0" t="inlineStr">
        <is>
          <t>ZEBRA</t>
        </is>
      </c>
      <c r="F38" s="0" t="n">
        <v>0</v>
      </c>
    </row>
    <row r="39" hidden="1" s="12">
      <c r="A39" s="0" t="inlineStr">
        <is>
          <t>'781</t>
        </is>
      </c>
      <c r="B39" s="0" t="inlineStr">
        <is>
          <t>PDA &gt; 안드로이드OS &gt; 풀터치(가성비)</t>
        </is>
      </c>
      <c r="C39" s="0" t="inlineStr">
        <is>
          <t>DS6</t>
        </is>
      </c>
      <c r="D39" s="0" t="inlineStr">
        <is>
          <t>DSIC</t>
        </is>
      </c>
      <c r="F39" s="0" t="n">
        <v>900000</v>
      </c>
    </row>
    <row r="40">
      <c r="A40" s="0" t="inlineStr">
        <is>
          <t>'1148</t>
        </is>
      </c>
      <c r="B40" s="0" t="inlineStr">
        <is>
          <t>PDA &gt; 안드로이드OS &gt; 키패드(핸드헬드)</t>
        </is>
      </c>
      <c r="C40" s="0" t="inlineStr">
        <is>
          <t>MC2200</t>
        </is>
      </c>
      <c r="D40" s="0" t="inlineStr">
        <is>
          <t>ZEBRA</t>
        </is>
      </c>
      <c r="F40" s="0" t="n">
        <v>1210000</v>
      </c>
    </row>
    <row r="41" hidden="1" s="12">
      <c r="A41" s="0" t="inlineStr">
        <is>
          <t>'972</t>
        </is>
      </c>
      <c r="B41" s="0" t="inlineStr">
        <is>
          <t>PDA &gt; 안드로이드OS &gt; 키패드(핸드헬드)</t>
        </is>
      </c>
      <c r="C41" s="0" t="inlineStr">
        <is>
          <t>DT-X400-10</t>
        </is>
      </c>
      <c r="F41" s="0" t="n">
        <v>990000</v>
      </c>
    </row>
    <row r="42" hidden="1" s="12">
      <c r="A42" s="0" t="inlineStr">
        <is>
          <t>'933</t>
        </is>
      </c>
      <c r="B42" s="0" t="inlineStr">
        <is>
          <t>PDA &gt; 안드로이드OS &gt; 풀터치(가성비)</t>
        </is>
      </c>
      <c r="C42" s="0" t="inlineStr">
        <is>
          <t>PM45</t>
        </is>
      </c>
      <c r="D42" s="0" t="inlineStr">
        <is>
          <t>PointMobile</t>
        </is>
      </c>
      <c r="F42" s="0" t="n">
        <v>880000</v>
      </c>
    </row>
    <row r="43" hidden="1" s="12">
      <c r="A43" s="0" t="inlineStr">
        <is>
          <t>'85</t>
        </is>
      </c>
      <c r="B43" s="0" t="inlineStr">
        <is>
          <t xml:space="preserve">PDA &gt; </t>
        </is>
      </c>
      <c r="C43" s="0" t="inlineStr">
        <is>
          <t>PM350(단종)</t>
        </is>
      </c>
      <c r="D43" s="0" t="inlineStr">
        <is>
          <t>PointMobile</t>
        </is>
      </c>
      <c r="F43" s="0" t="n">
        <v>880000</v>
      </c>
    </row>
    <row r="44" hidden="1" s="12">
      <c r="A44" s="0" t="inlineStr">
        <is>
          <t>'1292</t>
        </is>
      </c>
      <c r="B44" s="0" t="inlineStr">
        <is>
          <t>PDA &gt; 안드로이드OS &gt; 풀터치(가성비)</t>
        </is>
      </c>
      <c r="C44" s="0" t="inlineStr">
        <is>
          <t>PM75</t>
        </is>
      </c>
      <c r="D44" s="0" t="inlineStr">
        <is>
          <t>PointMobile</t>
        </is>
      </c>
      <c r="F44" s="0" t="n">
        <v>770000</v>
      </c>
    </row>
    <row r="45" hidden="1" s="12">
      <c r="A45" s="0" t="inlineStr">
        <is>
          <t>'1230</t>
        </is>
      </c>
      <c r="B45" s="0" t="inlineStr">
        <is>
          <t>PDA &gt; 안드로이드OS &gt; 풀터치(가성비)</t>
        </is>
      </c>
      <c r="C45" s="0" t="inlineStr">
        <is>
          <t>SL20</t>
        </is>
      </c>
      <c r="D45" s="0" t="inlineStr">
        <is>
          <t>M3mobile</t>
        </is>
      </c>
      <c r="F45" s="0" t="n">
        <v>700000</v>
      </c>
    </row>
    <row r="46" hidden="1" s="12">
      <c r="A46" s="0" t="inlineStr">
        <is>
          <t>'79</t>
        </is>
      </c>
      <c r="B46" s="0" t="inlineStr">
        <is>
          <t>PDA &gt; RFID리더기</t>
        </is>
      </c>
      <c r="C46" s="0" t="inlineStr">
        <is>
          <t>M3 RFID GUN</t>
        </is>
      </c>
      <c r="D46" s="0" t="inlineStr">
        <is>
          <t>M3mobile</t>
        </is>
      </c>
      <c r="F46" s="0" t="n">
        <v>660000</v>
      </c>
    </row>
    <row r="47" hidden="1" s="12">
      <c r="A47" s="0" t="inlineStr">
        <is>
          <t>'1314</t>
        </is>
      </c>
      <c r="B47" s="0" t="inlineStr">
        <is>
          <t>PDA &gt; 안드로이드OS &gt; 풀터치(가성비)</t>
        </is>
      </c>
      <c r="C47" s="0" t="inlineStr">
        <is>
          <t>SM20</t>
        </is>
      </c>
      <c r="D47" s="0" t="inlineStr">
        <is>
          <t>M3mobile</t>
        </is>
      </c>
      <c r="F47" s="0" t="n">
        <v>880000</v>
      </c>
    </row>
    <row r="48" hidden="1" s="12">
      <c r="A48" s="0" t="inlineStr">
        <is>
          <t>'65</t>
        </is>
      </c>
      <c r="B48" s="0" t="inlineStr">
        <is>
          <t>PDA &gt; 윈도우OS &gt; 윈도우 모바일</t>
        </is>
      </c>
      <c r="C48" s="0" t="inlineStr">
        <is>
          <t>DS5(단종)</t>
        </is>
      </c>
      <c r="D48" s="0" t="inlineStr">
        <is>
          <t>DSIC</t>
        </is>
      </c>
      <c r="F48" s="0" t="n">
        <v>0</v>
      </c>
    </row>
    <row r="49">
      <c r="A49" s="0" t="inlineStr">
        <is>
          <t>'937</t>
        </is>
      </c>
      <c r="B49" s="0" t="inlineStr">
        <is>
          <t>PDA &gt; 안드로이드OS &gt; 프리미엄풀터치</t>
        </is>
      </c>
      <c r="C49" s="0" t="inlineStr">
        <is>
          <t>TC8300</t>
        </is>
      </c>
      <c r="D49" s="0" t="inlineStr">
        <is>
          <t>ZEBRA</t>
        </is>
      </c>
      <c r="F49" s="0" t="n">
        <v>3300000</v>
      </c>
    </row>
    <row r="50" hidden="1" s="12">
      <c r="A50" s="0" t="inlineStr">
        <is>
          <t>'62</t>
        </is>
      </c>
      <c r="B50" s="0" t="inlineStr">
        <is>
          <t xml:space="preserve">PDA &gt; </t>
        </is>
      </c>
      <c r="C50" s="0" t="inlineStr">
        <is>
          <t>DOTH-300S(단종)</t>
        </is>
      </c>
      <c r="D50" s="0" t="inlineStr">
        <is>
          <t>DOTH</t>
        </is>
      </c>
      <c r="F50" s="0" t="n">
        <v>0</v>
      </c>
    </row>
    <row r="51">
      <c r="A51" s="0" t="inlineStr">
        <is>
          <t>'822</t>
        </is>
      </c>
      <c r="B51" s="0" t="inlineStr">
        <is>
          <t>PDA &gt; 안드로이드OS &gt; 풀터치(가성비)</t>
        </is>
      </c>
      <c r="C51" s="0" t="inlineStr">
        <is>
          <t>TC21</t>
        </is>
      </c>
      <c r="D51" s="0" t="inlineStr">
        <is>
          <t>ZEBRA</t>
        </is>
      </c>
      <c r="F51" s="0" t="n">
        <v>800000</v>
      </c>
    </row>
    <row r="52">
      <c r="A52" s="0" t="inlineStr">
        <is>
          <t>'958</t>
        </is>
      </c>
      <c r="B52" s="0" t="inlineStr">
        <is>
          <t>PDA &gt; 안드로이드OS &gt; 프리미엄풀터치</t>
        </is>
      </c>
      <c r="C52" s="0" t="inlineStr">
        <is>
          <t>TC52 / TC57</t>
        </is>
      </c>
      <c r="D52" s="0" t="inlineStr">
        <is>
          <t>ZEBRA</t>
        </is>
      </c>
      <c r="F52" s="0" t="n">
        <v>0</v>
      </c>
    </row>
    <row r="53" hidden="1" s="12">
      <c r="A53" s="0" t="inlineStr">
        <is>
          <t>'76</t>
        </is>
      </c>
      <c r="B53" s="0" t="inlineStr">
        <is>
          <t>PDA &gt; 윈도우OS &gt; 윈도우 모바일</t>
        </is>
      </c>
      <c r="C53" s="0" t="inlineStr">
        <is>
          <t>AB700</t>
        </is>
      </c>
      <c r="D53" s="0" t="inlineStr">
        <is>
          <t>ATID</t>
        </is>
      </c>
      <c r="F53" s="0" t="n">
        <v>990000</v>
      </c>
    </row>
    <row r="54" hidden="1" s="12">
      <c r="A54" s="0" t="inlineStr">
        <is>
          <t>'70</t>
        </is>
      </c>
      <c r="B54" s="0" t="inlineStr">
        <is>
          <t>PDA &gt; 윈도우OS &gt; 윈도우 모바일</t>
        </is>
      </c>
      <c r="C54" s="0" t="inlineStr">
        <is>
          <t>AT870N</t>
        </is>
      </c>
      <c r="D54" s="0" t="inlineStr">
        <is>
          <t>ATID</t>
        </is>
      </c>
      <c r="F54" s="0" t="n">
        <v>1045000</v>
      </c>
    </row>
    <row r="55" hidden="1" s="12">
      <c r="A55" s="0" t="inlineStr">
        <is>
          <t>'49</t>
        </is>
      </c>
      <c r="B55" s="0" t="inlineStr">
        <is>
          <t>PDA &gt; 안드로이드OS &gt; 키패드(핸드헬드)</t>
        </is>
      </c>
      <c r="C55" s="0" t="inlineStr">
        <is>
          <t>PM66(단종)</t>
        </is>
      </c>
      <c r="D55" s="0" t="inlineStr">
        <is>
          <t>PointMobile</t>
        </is>
      </c>
      <c r="F55" s="0" t="n">
        <v>0</v>
      </c>
    </row>
    <row r="56" hidden="1" s="12">
      <c r="A56" s="0" t="inlineStr">
        <is>
          <t>'61</t>
        </is>
      </c>
      <c r="B56" s="0" t="inlineStr">
        <is>
          <t>PDA &gt; 윈도우OS &gt; 윈도우 모바일</t>
        </is>
      </c>
      <c r="C56" s="0" t="inlineStr">
        <is>
          <t>PM60(단종)</t>
        </is>
      </c>
      <c r="D56" s="0" t="inlineStr">
        <is>
          <t>PointMobile</t>
        </is>
      </c>
      <c r="F56" s="0" t="n">
        <v>0</v>
      </c>
    </row>
    <row r="57">
      <c r="A57" s="0" t="inlineStr">
        <is>
          <t>'48</t>
        </is>
      </c>
      <c r="B57" s="0" t="inlineStr">
        <is>
          <t>PDA &gt; 안드로이드OS &gt; 풀터치(가성비)</t>
        </is>
      </c>
      <c r="C57" s="0" t="inlineStr">
        <is>
          <t>TC20(단종)</t>
        </is>
      </c>
      <c r="D57" s="0" t="inlineStr">
        <is>
          <t>ZEBRA</t>
        </is>
      </c>
      <c r="F57" s="0" t="n">
        <v>0</v>
      </c>
    </row>
    <row r="58" hidden="1" s="12">
      <c r="A58" s="0" t="inlineStr">
        <is>
          <t>'452</t>
        </is>
      </c>
      <c r="B58" s="0" t="inlineStr">
        <is>
          <t>PDA &gt; 안드로이드OS &gt; 키패드(핸드헬드)</t>
        </is>
      </c>
      <c r="C58" s="0" t="inlineStr">
        <is>
          <t>RK25(2D)</t>
        </is>
      </c>
      <c r="D58" s="0" t="inlineStr">
        <is>
          <t>CIPHERLAB</t>
        </is>
      </c>
      <c r="F58" s="0" t="n">
        <v>0</v>
      </c>
    </row>
    <row r="59" hidden="1" s="12">
      <c r="A59" s="0" t="inlineStr">
        <is>
          <t>'8</t>
        </is>
      </c>
      <c r="B59" s="0" t="inlineStr">
        <is>
          <t>PDA &gt; 안드로이드OS &gt; 풀터치(가성비)</t>
        </is>
      </c>
      <c r="C59" s="0" t="inlineStr">
        <is>
          <t>PM80(2D)(단종)</t>
        </is>
      </c>
      <c r="D59" s="0" t="inlineStr">
        <is>
          <t>PointMobile</t>
        </is>
      </c>
      <c r="F59" s="0" t="n">
        <v>0</v>
      </c>
    </row>
    <row r="60" hidden="1" s="12">
      <c r="A60" s="0" t="inlineStr">
        <is>
          <t>'46</t>
        </is>
      </c>
      <c r="B60" s="0" t="inlineStr">
        <is>
          <t>PDA &gt; 안드로이드OS &gt; 풀터치(가성비)</t>
        </is>
      </c>
      <c r="C60" s="0" t="inlineStr">
        <is>
          <t>SM10 LTE(단종)</t>
        </is>
      </c>
      <c r="D60" s="0" t="inlineStr">
        <is>
          <t>M3mobile</t>
        </is>
      </c>
      <c r="F60" s="0" t="n">
        <v>0</v>
      </c>
    </row>
    <row r="61">
      <c r="A61" s="0" t="inlineStr">
        <is>
          <t>'54</t>
        </is>
      </c>
      <c r="B61" s="0" t="inlineStr">
        <is>
          <t>PDA &gt; 안드로이드OS &gt; 키패드(핸드헬드)</t>
        </is>
      </c>
      <c r="C61" s="0" t="inlineStr">
        <is>
          <t>MC32N0(단종)</t>
        </is>
      </c>
      <c r="D61" s="0" t="inlineStr">
        <is>
          <t>ZEBRA</t>
        </is>
      </c>
      <c r="F61" s="0" t="n">
        <v>0</v>
      </c>
    </row>
    <row r="62" hidden="1" s="12">
      <c r="A62" s="0" t="inlineStr">
        <is>
          <t>'524</t>
        </is>
      </c>
      <c r="B62" s="0" t="inlineStr">
        <is>
          <t>소프트웨어 &gt; PDA 맞춤 솔루션</t>
        </is>
      </c>
      <c r="C62" s="0" t="inlineStr">
        <is>
          <t>자산이력관리SW</t>
        </is>
      </c>
      <c r="F62" s="0" t="n">
        <v>330000</v>
      </c>
    </row>
    <row r="63" hidden="1" s="12">
      <c r="A63" s="0" t="inlineStr">
        <is>
          <t>'739</t>
        </is>
      </c>
      <c r="B63" s="0" t="inlineStr">
        <is>
          <t>소프트웨어 &gt; PDA 맞춤 솔루션</t>
        </is>
      </c>
      <c r="C63" s="0" t="inlineStr">
        <is>
          <t>자산이동관리SW</t>
        </is>
      </c>
      <c r="F63" s="0" t="n">
        <v>330000</v>
      </c>
    </row>
    <row r="64" hidden="1" s="12">
      <c r="A64" s="0" t="inlineStr">
        <is>
          <t>'529</t>
        </is>
      </c>
      <c r="B64" s="0" t="inlineStr">
        <is>
          <t>소프트웨어 &gt; PDA 맞춤 솔루션</t>
        </is>
      </c>
      <c r="C64" s="0" t="inlineStr">
        <is>
          <t>입출고재고관리SW PRO</t>
        </is>
      </c>
      <c r="F64" s="0" t="n">
        <v>330000</v>
      </c>
    </row>
    <row r="65" hidden="1" s="12">
      <c r="A65" s="0" t="inlineStr">
        <is>
          <t>'528</t>
        </is>
      </c>
      <c r="B65" s="0" t="inlineStr">
        <is>
          <t>소프트웨어 &gt; PDA 맞춤 솔루션</t>
        </is>
      </c>
      <c r="C65" s="0" t="inlineStr">
        <is>
          <t>입출고재고관리SW PLUS</t>
        </is>
      </c>
      <c r="F65" s="0" t="n">
        <v>220000</v>
      </c>
    </row>
    <row r="66" hidden="1" s="12">
      <c r="A66" s="0" t="inlineStr">
        <is>
          <t>'59</t>
        </is>
      </c>
      <c r="B66" s="0" t="inlineStr">
        <is>
          <t>PDA &gt; 안드로이드OS &gt; 풀터치(가성비)</t>
        </is>
      </c>
      <c r="C66" s="0" t="inlineStr">
        <is>
          <t>EF500(단종)</t>
        </is>
      </c>
      <c r="D66" s="0" t="inlineStr">
        <is>
          <t>BLUEBIRD</t>
        </is>
      </c>
      <c r="F66" s="0" t="n">
        <v>0</v>
      </c>
    </row>
    <row r="67" hidden="1" s="12">
      <c r="A67" s="0" t="inlineStr">
        <is>
          <t>'716</t>
        </is>
      </c>
      <c r="B67" s="0" t="inlineStr">
        <is>
          <t>PDA &gt; 안드로이드OS &gt; 키패드(핸드헬드)</t>
        </is>
      </c>
      <c r="C67" s="0" t="inlineStr">
        <is>
          <t>SL-10K(단종)</t>
        </is>
      </c>
      <c r="D67" s="0" t="inlineStr">
        <is>
          <t>M3mobile</t>
        </is>
      </c>
      <c r="F67" s="0" t="n">
        <v>0</v>
      </c>
    </row>
    <row r="68" hidden="1" s="12">
      <c r="A68" s="0" t="inlineStr">
        <is>
          <t>'66</t>
        </is>
      </c>
      <c r="B68" s="0" t="inlineStr">
        <is>
          <t>PDA &gt; 윈도우OS &gt; 윈도우 CE</t>
        </is>
      </c>
      <c r="C68" s="0" t="inlineStr">
        <is>
          <t>PM450</t>
        </is>
      </c>
      <c r="D68" s="0" t="inlineStr">
        <is>
          <t>PointMobile</t>
        </is>
      </c>
      <c r="F68" s="0" t="n">
        <v>880000</v>
      </c>
    </row>
    <row r="69">
      <c r="A69" s="0" t="inlineStr">
        <is>
          <t>'67</t>
        </is>
      </c>
      <c r="B69" s="0" t="inlineStr">
        <is>
          <t>PDA &gt; 윈도우OS &gt; 윈도우 모바일</t>
        </is>
      </c>
      <c r="C69" s="0" t="inlineStr">
        <is>
          <t>MC92N0(단종)</t>
        </is>
      </c>
      <c r="D69" s="0" t="inlineStr">
        <is>
          <t>ZEBRA</t>
        </is>
      </c>
      <c r="F69" s="0" t="n">
        <v>0</v>
      </c>
    </row>
    <row r="70" hidden="1" s="12">
      <c r="A70" s="0" t="inlineStr">
        <is>
          <t>'69</t>
        </is>
      </c>
      <c r="B70" s="0" t="inlineStr">
        <is>
          <t>PDA &gt; 윈도우OS &gt; 윈도우 모바일</t>
        </is>
      </c>
      <c r="C70" s="0" t="inlineStr">
        <is>
          <t>DOTH-100(단종)</t>
        </is>
      </c>
      <c r="F70" s="0" t="n">
        <v>0</v>
      </c>
    </row>
    <row r="71" hidden="1" s="12">
      <c r="A71" s="0" t="inlineStr">
        <is>
          <t>'77</t>
        </is>
      </c>
      <c r="B71" s="0" t="inlineStr">
        <is>
          <t>PDA &gt; 윈도우OS &gt; 윈도우 모바일</t>
        </is>
      </c>
      <c r="C71" s="0" t="inlineStr">
        <is>
          <t>DS3(단종)</t>
        </is>
      </c>
      <c r="D71" s="0" t="inlineStr">
        <is>
          <t>DSIC</t>
        </is>
      </c>
      <c r="F71" s="0" t="n">
        <v>0</v>
      </c>
    </row>
    <row r="72" hidden="1" s="12">
      <c r="A72" s="0" t="inlineStr">
        <is>
          <t>'734</t>
        </is>
      </c>
      <c r="B72" s="0" t="inlineStr">
        <is>
          <t>소프트웨어 &gt; PDA 맞춤 솔루션</t>
        </is>
      </c>
      <c r="C72" s="0" t="inlineStr">
        <is>
          <t>온라인주문관리SW</t>
        </is>
      </c>
      <c r="F72" s="0" t="n">
        <v>330000</v>
      </c>
    </row>
    <row r="73" hidden="1" s="12">
      <c r="A73" s="0" t="inlineStr">
        <is>
          <t>'527</t>
        </is>
      </c>
      <c r="B73" s="0" t="inlineStr">
        <is>
          <t>소프트웨어 &gt; PDA 맞춤 솔루션</t>
        </is>
      </c>
      <c r="C73" s="0" t="inlineStr">
        <is>
          <t>입출고검수관리SW</t>
        </is>
      </c>
      <c r="F73" s="0" t="n">
        <v>330000</v>
      </c>
    </row>
    <row r="74" hidden="1" s="12">
      <c r="A74" s="0" t="inlineStr">
        <is>
          <t>'526</t>
        </is>
      </c>
      <c r="B74" s="0" t="inlineStr">
        <is>
          <t>소프트웨어 &gt; PDA 맞춤 솔루션</t>
        </is>
      </c>
      <c r="C74" s="0" t="inlineStr">
        <is>
          <t>입출고창고위치이력관리SW</t>
        </is>
      </c>
      <c r="F74" s="0" t="n">
        <v>330000</v>
      </c>
    </row>
    <row r="75" hidden="1" s="12">
      <c r="A75" s="0" t="inlineStr">
        <is>
          <t>'78</t>
        </is>
      </c>
      <c r="B75" s="0" t="inlineStr">
        <is>
          <t>PDA &gt; 윈도우OS &gt; 윈도우 모바일</t>
        </is>
      </c>
      <c r="C75" s="0" t="inlineStr">
        <is>
          <t>M3POS(단종)</t>
        </is>
      </c>
      <c r="D75" s="0" t="inlineStr">
        <is>
          <t>M3mobile</t>
        </is>
      </c>
      <c r="F75" s="0" t="n">
        <v>0</v>
      </c>
    </row>
    <row r="76" hidden="1" s="12">
      <c r="A76" s="0" t="inlineStr">
        <is>
          <t>'80</t>
        </is>
      </c>
      <c r="B76" s="0" t="inlineStr">
        <is>
          <t>PDA &gt; 윈도우OS &gt; 윈도우 모바일</t>
        </is>
      </c>
      <c r="C76" s="0" t="inlineStr">
        <is>
          <t>PM100(단종)</t>
        </is>
      </c>
      <c r="D76" s="0" t="inlineStr">
        <is>
          <t>PointMobile</t>
        </is>
      </c>
      <c r="F76" s="0" t="n">
        <v>0</v>
      </c>
    </row>
    <row r="77" hidden="1" s="12">
      <c r="A77" s="0" t="inlineStr">
        <is>
          <t>'81</t>
        </is>
      </c>
      <c r="B77" s="0" t="inlineStr">
        <is>
          <t>PDA &gt; 윈도우OS &gt; 윈도우 모바일</t>
        </is>
      </c>
      <c r="C77" s="0" t="inlineStr">
        <is>
          <t>PM251(단종)</t>
        </is>
      </c>
      <c r="D77" s="0" t="inlineStr">
        <is>
          <t>PointMobile</t>
        </is>
      </c>
      <c r="F77" s="0" t="n">
        <v>0</v>
      </c>
    </row>
    <row r="78" hidden="1" s="12">
      <c r="A78" s="0" t="inlineStr">
        <is>
          <t>'82</t>
        </is>
      </c>
      <c r="B78" s="0" t="inlineStr">
        <is>
          <t>PDA &gt; 윈도우OS &gt; 윈도우 모바일</t>
        </is>
      </c>
      <c r="C78" s="0" t="inlineStr">
        <is>
          <t>CK3X(단종)</t>
        </is>
      </c>
      <c r="D78" s="0" t="inlineStr">
        <is>
          <t>Honeywell</t>
        </is>
      </c>
      <c r="F78" s="0" t="n">
        <v>0</v>
      </c>
    </row>
    <row r="79" hidden="1" s="12">
      <c r="A79" s="0" t="inlineStr">
        <is>
          <t>'83</t>
        </is>
      </c>
      <c r="B79" s="0" t="inlineStr">
        <is>
          <t>PDA &gt; 윈도우OS &gt; 윈도우 모바일</t>
        </is>
      </c>
      <c r="C79" s="0" t="inlineStr">
        <is>
          <t>CK3R(단종)</t>
        </is>
      </c>
      <c r="D79" s="0" t="inlineStr">
        <is>
          <t>Honeywell</t>
        </is>
      </c>
      <c r="F79" s="0" t="n">
        <v>0</v>
      </c>
    </row>
    <row r="80" hidden="1" s="12">
      <c r="A80" s="0" t="inlineStr">
        <is>
          <t>'84</t>
        </is>
      </c>
      <c r="B80" s="0" t="inlineStr">
        <is>
          <t>PDA &gt; 윈도우OS &gt; 윈도우 모바일</t>
        </is>
      </c>
      <c r="C80" s="0" t="inlineStr">
        <is>
          <t>SI303(단종)</t>
        </is>
      </c>
      <c r="F80" s="0" t="n">
        <v>0</v>
      </c>
    </row>
    <row r="81" hidden="1" s="12">
      <c r="A81" s="0" t="inlineStr">
        <is>
          <t>'86</t>
        </is>
      </c>
      <c r="B81" s="0" t="inlineStr">
        <is>
          <t>PDA &gt; 윈도우OS &gt; 윈도우 모바일</t>
        </is>
      </c>
      <c r="C81" s="0" t="inlineStr">
        <is>
          <t>BIP7000(단종)</t>
        </is>
      </c>
      <c r="F81" s="0" t="n">
        <v>0</v>
      </c>
    </row>
    <row r="82" hidden="1" s="12">
      <c r="A82" s="0" t="inlineStr">
        <is>
          <t>'87</t>
        </is>
      </c>
      <c r="B82" s="0" t="inlineStr">
        <is>
          <t>PDA &gt; 윈도우OS &gt; 윈도우 모바일</t>
        </is>
      </c>
      <c r="C82" s="0" t="inlineStr">
        <is>
          <t>BIP5300(단종)</t>
        </is>
      </c>
      <c r="F82" s="0" t="n">
        <v>0</v>
      </c>
    </row>
    <row r="83" hidden="1" s="12">
      <c r="A83" s="0" t="inlineStr">
        <is>
          <t>'88</t>
        </is>
      </c>
      <c r="B83" s="0" t="inlineStr">
        <is>
          <t>PDA &gt; 윈도우OS &gt; 윈도우 모바일</t>
        </is>
      </c>
      <c r="C83" s="0" t="inlineStr">
        <is>
          <t>BIP6000(단종)</t>
        </is>
      </c>
      <c r="F83" s="0" t="n">
        <v>0</v>
      </c>
    </row>
    <row r="84" hidden="1" s="12">
      <c r="A84" s="0" t="inlineStr">
        <is>
          <t>'89</t>
        </is>
      </c>
      <c r="B84" s="0" t="inlineStr">
        <is>
          <t>PDA &gt; 윈도우OS &gt; 윈도우 모바일</t>
        </is>
      </c>
      <c r="C84" s="0" t="inlineStr">
        <is>
          <t>BM170(단종)</t>
        </is>
      </c>
      <c r="F84" s="0" t="n">
        <v>0</v>
      </c>
    </row>
    <row r="85">
      <c r="A85" s="0" t="inlineStr">
        <is>
          <t>'90</t>
        </is>
      </c>
      <c r="B85" s="0" t="inlineStr">
        <is>
          <t>PDA &gt; 윈도우OS &gt; 윈도우 모바일</t>
        </is>
      </c>
      <c r="C85" s="0" t="inlineStr">
        <is>
          <t>MC2180(단종)</t>
        </is>
      </c>
      <c r="D85" s="0" t="inlineStr">
        <is>
          <t>ZEBRA</t>
        </is>
      </c>
      <c r="F85" s="0" t="n">
        <v>0</v>
      </c>
    </row>
    <row r="86" hidden="1" s="12">
      <c r="A86" s="0" t="inlineStr">
        <is>
          <t>'525</t>
        </is>
      </c>
      <c r="B86" s="0" t="inlineStr">
        <is>
          <t>소프트웨어 &gt; PDA 맞춤 솔루션</t>
        </is>
      </c>
      <c r="C86" s="0" t="inlineStr">
        <is>
          <t>실사재고관리SW</t>
        </is>
      </c>
      <c r="F86" s="0" t="n">
        <v>330000</v>
      </c>
    </row>
    <row r="87" hidden="1" s="12">
      <c r="A87" s="0" t="inlineStr">
        <is>
          <t>'63</t>
        </is>
      </c>
      <c r="B87" s="0" t="inlineStr">
        <is>
          <t>PDA &gt; 윈도우OS &gt; 윈도우 모바일</t>
        </is>
      </c>
      <c r="C87" s="0" t="inlineStr">
        <is>
          <t>UL10(단종)</t>
        </is>
      </c>
      <c r="D87" s="0" t="inlineStr">
        <is>
          <t>M3mobile</t>
        </is>
      </c>
      <c r="F87" s="0" t="n">
        <v>0</v>
      </c>
    </row>
    <row r="88" hidden="1" s="12">
      <c r="A88" s="0" t="inlineStr">
        <is>
          <t>'455</t>
        </is>
      </c>
      <c r="B88" s="0" t="inlineStr">
        <is>
          <t>PDA &gt; PDA프로그램</t>
        </is>
      </c>
      <c r="C88" s="0" t="inlineStr">
        <is>
          <t>DT970 연동 플러스버전 S/W</t>
        </is>
      </c>
      <c r="F88" s="0" t="n">
        <v>385000</v>
      </c>
    </row>
    <row r="89" hidden="1" s="12">
      <c r="A89" s="0" t="inlineStr">
        <is>
          <t>'456</t>
        </is>
      </c>
      <c r="B89" s="0" t="inlineStr">
        <is>
          <t>PDA &gt; PDA프로그램</t>
        </is>
      </c>
      <c r="C89" s="0" t="inlineStr">
        <is>
          <t xml:space="preserve">DT970+크래들 </t>
        </is>
      </c>
      <c r="F89" s="0" t="n">
        <v>770000</v>
      </c>
    </row>
    <row r="90" hidden="1" s="12">
      <c r="A90" s="0" t="inlineStr">
        <is>
          <t>'454</t>
        </is>
      </c>
      <c r="B90" s="0" t="inlineStr">
        <is>
          <t>PDA &gt; PDA프로그램</t>
        </is>
      </c>
      <c r="C90" s="0" t="inlineStr">
        <is>
          <t>DT970(본체+크래들)+SW</t>
        </is>
      </c>
      <c r="F90" s="0" t="n">
        <v>1100000</v>
      </c>
    </row>
    <row r="91">
      <c r="A91" s="0" t="inlineStr">
        <is>
          <t>'1252</t>
        </is>
      </c>
      <c r="B91" s="0" t="inlineStr">
        <is>
          <t>PDA</t>
        </is>
      </c>
      <c r="C91" s="0" t="inlineStr">
        <is>
          <t>TC77</t>
        </is>
      </c>
      <c r="D91" s="0" t="inlineStr">
        <is>
          <t>ZEBRA</t>
        </is>
      </c>
      <c r="F91" s="0" t="n">
        <v>0</v>
      </c>
    </row>
    <row r="92" hidden="1" s="12">
      <c r="A92" s="0" t="inlineStr">
        <is>
          <t>'858</t>
        </is>
      </c>
      <c r="B92" s="0" t="inlineStr">
        <is>
          <t>PDA &gt; 액세서리/소모품 &gt; M3모바일</t>
        </is>
      </c>
      <c r="C92" s="0" t="inlineStr">
        <is>
          <t>M3 BLACK 크래들</t>
        </is>
      </c>
      <c r="D92" s="0" t="inlineStr">
        <is>
          <t>M3mobile</t>
        </is>
      </c>
      <c r="F92" s="0" t="n">
        <v>66000</v>
      </c>
    </row>
    <row r="93" hidden="1" s="12">
      <c r="A93" s="0" t="inlineStr">
        <is>
          <t>'857</t>
        </is>
      </c>
      <c r="B93" s="0" t="inlineStr">
        <is>
          <t>PDA &gt; 액세서리/소모품 &gt; 포인트모바일</t>
        </is>
      </c>
      <c r="C93" s="0" t="inlineStr">
        <is>
          <t>PM85 GUN</t>
        </is>
      </c>
      <c r="D93" s="0" t="inlineStr">
        <is>
          <t>PointMobile</t>
        </is>
      </c>
      <c r="F93" s="0" t="n">
        <v>71500</v>
      </c>
    </row>
    <row r="94" hidden="1" s="12">
      <c r="A94" s="0" t="inlineStr">
        <is>
          <t>'856</t>
        </is>
      </c>
      <c r="B94" s="0" t="inlineStr">
        <is>
          <t>PDA &gt; 액세서리/소모품 &gt; 포인트모바일</t>
        </is>
      </c>
      <c r="C94" s="0" t="inlineStr">
        <is>
          <t>PM75/85/90 표준형배터리</t>
        </is>
      </c>
      <c r="D94" s="0" t="inlineStr">
        <is>
          <t>PointMobile</t>
        </is>
      </c>
      <c r="F94" s="0" t="n">
        <v>88000</v>
      </c>
    </row>
    <row r="95" hidden="1" s="12">
      <c r="A95" s="0" t="inlineStr">
        <is>
          <t>'855</t>
        </is>
      </c>
      <c r="B95" s="0" t="inlineStr">
        <is>
          <t>PDA &gt; 액세서리/소모품 &gt; 포인트모바일</t>
        </is>
      </c>
      <c r="C95" s="0" t="inlineStr">
        <is>
          <t>PM80 GUN (단종)</t>
        </is>
      </c>
      <c r="D95" s="0" t="inlineStr">
        <is>
          <t>PointMobile</t>
        </is>
      </c>
      <c r="F95" s="0" t="n">
        <v>0</v>
      </c>
    </row>
    <row r="96" hidden="1" s="12">
      <c r="A96" s="0" t="inlineStr">
        <is>
          <t>'854</t>
        </is>
      </c>
      <c r="B96" s="0" t="inlineStr">
        <is>
          <t>PDA &gt; 액세서리/소모품 &gt; 포인트모바일</t>
        </is>
      </c>
      <c r="C96" s="0" t="inlineStr">
        <is>
          <t>PM80 표준형배터리 (단종)</t>
        </is>
      </c>
      <c r="D96" s="0" t="inlineStr">
        <is>
          <t>PointMobile</t>
        </is>
      </c>
      <c r="F96" s="0" t="n">
        <v>0</v>
      </c>
    </row>
    <row r="97" hidden="1" s="12">
      <c r="A97" s="0" t="inlineStr">
        <is>
          <t>'853</t>
        </is>
      </c>
      <c r="B97" s="0" t="inlineStr">
        <is>
          <t>PDA &gt; 액세서리/소모품 &gt; M3모바일</t>
        </is>
      </c>
      <c r="C97" s="0" t="inlineStr">
        <is>
          <t>M3 SM15 전원아답타</t>
        </is>
      </c>
      <c r="D97" s="0" t="inlineStr">
        <is>
          <t>M3mobile</t>
        </is>
      </c>
      <c r="F97" s="0" t="n">
        <v>44000</v>
      </c>
    </row>
    <row r="98" hidden="1" s="12">
      <c r="A98" s="0" t="inlineStr">
        <is>
          <t>'852</t>
        </is>
      </c>
      <c r="B98" s="0" t="inlineStr">
        <is>
          <t>PDA &gt; 액세서리/소모품 &gt; M3모바일</t>
        </is>
      </c>
      <c r="C98" s="0" t="inlineStr">
        <is>
          <t>M3 SM15 크래들</t>
        </is>
      </c>
      <c r="D98" s="0" t="inlineStr">
        <is>
          <t>M3mobile</t>
        </is>
      </c>
      <c r="F98" s="0" t="n">
        <v>66000</v>
      </c>
    </row>
    <row r="99" hidden="1" s="12">
      <c r="A99" s="0" t="inlineStr">
        <is>
          <t>'851</t>
        </is>
      </c>
      <c r="B99" s="0" t="inlineStr">
        <is>
          <t>PDA &gt; 액세서리/소모품 &gt; M3모바일</t>
        </is>
      </c>
      <c r="C99" s="0" t="inlineStr">
        <is>
          <t>M3 SM15 부트케이스(범퍼)</t>
        </is>
      </c>
      <c r="D99" s="0" t="inlineStr">
        <is>
          <t>M3mobile</t>
        </is>
      </c>
      <c r="F99" s="0" t="n">
        <v>33000</v>
      </c>
    </row>
    <row r="100" hidden="1" s="12">
      <c r="A100" s="0" t="inlineStr">
        <is>
          <t>'850</t>
        </is>
      </c>
      <c r="B100" s="0" t="inlineStr">
        <is>
          <t>PDA &gt; 액세서리/소모품 &gt; M3모바일</t>
        </is>
      </c>
      <c r="C100" s="0" t="inlineStr">
        <is>
          <t>M3 SM15 스냅온</t>
        </is>
      </c>
      <c r="D100" s="0" t="inlineStr">
        <is>
          <t>M3mobile</t>
        </is>
      </c>
      <c r="F100" s="0" t="n">
        <v>77000</v>
      </c>
    </row>
    <row r="101" hidden="1" s="12">
      <c r="A101" s="0" t="inlineStr">
        <is>
          <t>'849</t>
        </is>
      </c>
      <c r="B101" s="0" t="inlineStr">
        <is>
          <t>PDA &gt; 액세서리/소모품 &gt; M3모바일</t>
        </is>
      </c>
      <c r="C101" s="0" t="inlineStr">
        <is>
          <t>M3 SM15 배터리</t>
        </is>
      </c>
      <c r="D101" s="0" t="inlineStr">
        <is>
          <t>M3mobile</t>
        </is>
      </c>
      <c r="F101" s="0" t="n">
        <v>55000</v>
      </c>
    </row>
    <row r="102" hidden="1" s="12">
      <c r="A102" s="0" t="inlineStr">
        <is>
          <t>'848</t>
        </is>
      </c>
      <c r="B102" s="0" t="inlineStr">
        <is>
          <t>PDA &gt; 액세서리/소모품 &gt; M3모바일</t>
        </is>
      </c>
      <c r="C102" s="0" t="inlineStr">
        <is>
          <t>M3 SM15 GUN</t>
        </is>
      </c>
      <c r="D102" s="0" t="inlineStr">
        <is>
          <t>M3mobile</t>
        </is>
      </c>
      <c r="F102" s="0" t="n">
        <v>49500</v>
      </c>
    </row>
    <row r="103" hidden="1" s="12">
      <c r="A103" s="0" t="inlineStr">
        <is>
          <t>'847</t>
        </is>
      </c>
      <c r="B103" s="0" t="inlineStr">
        <is>
          <t>PDA &gt; 액세서리/소모품 &gt; M3모바일</t>
        </is>
      </c>
      <c r="C103" s="0" t="inlineStr">
        <is>
          <t>M3 BLACK 전원아답타</t>
        </is>
      </c>
      <c r="D103" s="0" t="inlineStr">
        <is>
          <t>M3mobile</t>
        </is>
      </c>
      <c r="F103" s="0" t="n">
        <v>44000</v>
      </c>
    </row>
    <row r="104" hidden="1" s="12">
      <c r="A104" s="0" t="inlineStr">
        <is>
          <t>'846</t>
        </is>
      </c>
      <c r="B104" s="0" t="inlineStr">
        <is>
          <t>PDA &gt; 액세서리/소모품 &gt; M3모바일</t>
        </is>
      </c>
      <c r="C104" s="0" t="inlineStr">
        <is>
          <t>M3 BLACK GUN</t>
        </is>
      </c>
      <c r="D104" s="0" t="inlineStr">
        <is>
          <t>M3mobile</t>
        </is>
      </c>
      <c r="F104" s="0" t="n">
        <v>99000</v>
      </c>
    </row>
    <row r="105" hidden="1" s="12">
      <c r="A105" s="0" t="inlineStr">
        <is>
          <t>'845</t>
        </is>
      </c>
      <c r="B105" s="0" t="inlineStr">
        <is>
          <t>PDA &gt; 액세서리/소모품 &gt; M3모바일</t>
        </is>
      </c>
      <c r="C105" s="0" t="inlineStr">
        <is>
          <t>M3 BLACK 표준형배터리</t>
        </is>
      </c>
      <c r="D105" s="0" t="inlineStr">
        <is>
          <t>M3mobile</t>
        </is>
      </c>
      <c r="F105" s="0" t="n">
        <v>60000</v>
      </c>
    </row>
    <row r="106" hidden="1" s="12">
      <c r="A106" s="0" t="inlineStr">
        <is>
          <t>'843</t>
        </is>
      </c>
      <c r="B106" s="0" t="inlineStr">
        <is>
          <t>PDA &gt; 액세서리/소모품 &gt; M3모바일</t>
        </is>
      </c>
      <c r="C106" s="0" t="inlineStr">
        <is>
          <t>M3 OX10 전원아답타</t>
        </is>
      </c>
      <c r="D106" s="0" t="inlineStr">
        <is>
          <t>M3mobile</t>
        </is>
      </c>
      <c r="F106" s="0" t="n">
        <v>44000</v>
      </c>
    </row>
    <row r="107" hidden="1" s="12">
      <c r="A107" s="0" t="inlineStr">
        <is>
          <t>'842</t>
        </is>
      </c>
      <c r="B107" s="0" t="inlineStr">
        <is>
          <t>PDA &gt; 액세서리/소모품 &gt; M3모바일</t>
        </is>
      </c>
      <c r="C107" s="0" t="inlineStr">
        <is>
          <t>M3 OX10 크래들</t>
        </is>
      </c>
      <c r="D107" s="0" t="inlineStr">
        <is>
          <t>M3mobile</t>
        </is>
      </c>
      <c r="F107" s="0" t="n">
        <v>66000</v>
      </c>
    </row>
    <row r="108" hidden="1" s="12">
      <c r="A108" s="0" t="inlineStr">
        <is>
          <t>'841</t>
        </is>
      </c>
      <c r="B108" s="0" t="inlineStr">
        <is>
          <t>PDA &gt; 액세서리/소모품 &gt; M3모바일</t>
        </is>
      </c>
      <c r="C108" s="0" t="inlineStr">
        <is>
          <t>M3 OX10 표준형배터리</t>
        </is>
      </c>
      <c r="D108" s="0" t="inlineStr">
        <is>
          <t>M3mobile</t>
        </is>
      </c>
      <c r="F108" s="0" t="n">
        <v>60000</v>
      </c>
    </row>
    <row r="109" hidden="1" s="12">
      <c r="A109" s="0" t="inlineStr">
        <is>
          <t>'840</t>
        </is>
      </c>
      <c r="B109" s="0" t="inlineStr">
        <is>
          <t>PDA &gt; 액세서리/소모품 &gt; M3모바일</t>
        </is>
      </c>
      <c r="C109" s="0" t="inlineStr">
        <is>
          <t>M3 OX10 GUN</t>
        </is>
      </c>
      <c r="D109" s="0" t="inlineStr">
        <is>
          <t>M3mobile</t>
        </is>
      </c>
      <c r="F109" s="0" t="n">
        <v>55000</v>
      </c>
    </row>
    <row r="110" hidden="1" s="12">
      <c r="A110" s="0" t="inlineStr">
        <is>
          <t>'1882</t>
        </is>
      </c>
      <c r="B110" s="0" t="inlineStr">
        <is>
          <t>PDA &gt; 액세서리/소모품 &gt; 대신정보통신</t>
        </is>
      </c>
      <c r="C110" s="0" t="inlineStr">
        <is>
          <t>DS6/DS60 GUN</t>
        </is>
      </c>
      <c r="D110" s="0" t="inlineStr">
        <is>
          <t>DSIC</t>
        </is>
      </c>
      <c r="F110" s="0" t="n">
        <v>77000</v>
      </c>
    </row>
    <row r="111" hidden="1" s="12">
      <c r="A111" s="0" t="inlineStr">
        <is>
          <t>'1881</t>
        </is>
      </c>
      <c r="B111" s="0" t="inlineStr">
        <is>
          <t>PDA &gt; 액세서리/소모품 &gt; 대신정보통신</t>
        </is>
      </c>
      <c r="C111" s="0" t="inlineStr">
        <is>
          <t>DS6/DS60 범퍼케이스</t>
        </is>
      </c>
      <c r="D111" s="0" t="inlineStr">
        <is>
          <t>DSIC</t>
        </is>
      </c>
      <c r="F111" s="0" t="n">
        <v>55000</v>
      </c>
    </row>
    <row r="112" hidden="1" s="12">
      <c r="A112" s="0" t="inlineStr">
        <is>
          <t>'1880</t>
        </is>
      </c>
      <c r="B112" s="0" t="inlineStr">
        <is>
          <t>PDA &gt; 액세서리/소모품 &gt; 대신정보통신</t>
        </is>
      </c>
      <c r="C112" s="0" t="inlineStr">
        <is>
          <t>DS6/DS60 스타일러스펜</t>
        </is>
      </c>
      <c r="D112" s="0" t="inlineStr">
        <is>
          <t>DSIC</t>
        </is>
      </c>
      <c r="F112" s="0" t="n">
        <v>16500</v>
      </c>
    </row>
    <row r="113" hidden="1" s="12">
      <c r="A113" s="0" t="inlineStr">
        <is>
          <t>'1879</t>
        </is>
      </c>
      <c r="B113" s="0" t="inlineStr">
        <is>
          <t>PDA &gt; 액세서리/소모품 &gt; 대신정보통신</t>
        </is>
      </c>
      <c r="C113" s="0" t="inlineStr">
        <is>
          <t>DS6/DS60 표준형배터리</t>
        </is>
      </c>
      <c r="D113" s="0" t="inlineStr">
        <is>
          <t>DSIC</t>
        </is>
      </c>
      <c r="F113" s="0" t="n">
        <v>66000</v>
      </c>
    </row>
    <row r="114" hidden="1" s="12">
      <c r="A114" s="0" t="inlineStr">
        <is>
          <t>'1878</t>
        </is>
      </c>
      <c r="B114" s="0" t="inlineStr">
        <is>
          <t>PDA &gt; 액세서리/소모품 &gt; 대신정보통신</t>
        </is>
      </c>
      <c r="C114" s="0" t="inlineStr">
        <is>
          <t>DS6/DS60 크래들(아답타포함)</t>
        </is>
      </c>
      <c r="D114" s="0" t="inlineStr">
        <is>
          <t>DSIC</t>
        </is>
      </c>
      <c r="F114" s="0" t="n">
        <v>88000</v>
      </c>
    </row>
    <row r="115" hidden="1" s="12">
      <c r="A115" s="0" t="inlineStr">
        <is>
          <t>'1877</t>
        </is>
      </c>
      <c r="B115" s="0" t="inlineStr">
        <is>
          <t>PDA &gt; 액세서리/소모품 &gt; 대신정보통신</t>
        </is>
      </c>
      <c r="C115" s="0" t="inlineStr">
        <is>
          <t>DS4A GUN</t>
        </is>
      </c>
      <c r="D115" s="0" t="inlineStr">
        <is>
          <t>DSIC</t>
        </is>
      </c>
      <c r="F115" s="0" t="n">
        <v>77000</v>
      </c>
    </row>
    <row r="116" hidden="1" s="12">
      <c r="A116" s="0" t="inlineStr">
        <is>
          <t>'1876</t>
        </is>
      </c>
      <c r="B116" s="0" t="inlineStr">
        <is>
          <t>PDA &gt; 액세서리/소모품 &gt; 대신정보통신</t>
        </is>
      </c>
      <c r="C116" s="0" t="inlineStr">
        <is>
          <t>DS4A 범퍼케이스</t>
        </is>
      </c>
      <c r="D116" s="0" t="inlineStr">
        <is>
          <t>DSIC</t>
        </is>
      </c>
      <c r="F116" s="0" t="n">
        <v>55000</v>
      </c>
    </row>
    <row r="117" hidden="1" s="12">
      <c r="A117" s="0" t="inlineStr">
        <is>
          <t>'1875</t>
        </is>
      </c>
      <c r="B117" s="0" t="inlineStr">
        <is>
          <t>PDA &gt; 액세서리/소모품 &gt; 대신정보통신</t>
        </is>
      </c>
      <c r="C117" s="0" t="inlineStr">
        <is>
          <t>DS4A 스타일러스펜</t>
        </is>
      </c>
      <c r="D117" s="0" t="inlineStr">
        <is>
          <t>DSIC</t>
        </is>
      </c>
      <c r="F117" s="0" t="n">
        <v>16500</v>
      </c>
    </row>
    <row r="118" hidden="1" s="12">
      <c r="A118" s="0" t="inlineStr">
        <is>
          <t>'1874</t>
        </is>
      </c>
      <c r="B118" s="0" t="inlineStr">
        <is>
          <t>PDA &gt; 액세서리/소모품 &gt; 대신정보통신</t>
        </is>
      </c>
      <c r="C118" s="0" t="inlineStr">
        <is>
          <t>DS4A 표준형배터리</t>
        </is>
      </c>
      <c r="D118" s="0" t="inlineStr">
        <is>
          <t>DSIC</t>
        </is>
      </c>
      <c r="F118" s="0" t="n">
        <v>66000</v>
      </c>
    </row>
    <row r="119" hidden="1" s="12">
      <c r="A119" s="0" t="inlineStr">
        <is>
          <t>'1873</t>
        </is>
      </c>
      <c r="B119" s="0" t="inlineStr">
        <is>
          <t>PDA &gt; 액세서리/소모품 &gt; 대신정보통신</t>
        </is>
      </c>
      <c r="C119" s="0" t="inlineStr">
        <is>
          <t>DS4A 크래들(아답타포함)</t>
        </is>
      </c>
      <c r="D119" s="0" t="inlineStr">
        <is>
          <t>DSIC</t>
        </is>
      </c>
      <c r="F119" s="0" t="n">
        <v>88000</v>
      </c>
    </row>
    <row r="120" hidden="1" s="12">
      <c r="A120" s="0" t="inlineStr">
        <is>
          <t>'1872</t>
        </is>
      </c>
      <c r="B120" s="0" t="inlineStr">
        <is>
          <t>PDA &gt; 액세서리/소모품 &gt; 대신정보통신</t>
        </is>
      </c>
      <c r="C120" s="0" t="inlineStr">
        <is>
          <t>DS5A GUN</t>
        </is>
      </c>
      <c r="D120" s="0" t="inlineStr">
        <is>
          <t>DSIC</t>
        </is>
      </c>
      <c r="F120" s="0" t="n">
        <v>77000</v>
      </c>
    </row>
    <row r="121" hidden="1" s="12">
      <c r="A121" s="0" t="inlineStr">
        <is>
          <t>'1871</t>
        </is>
      </c>
      <c r="B121" s="0" t="inlineStr">
        <is>
          <t>PDA &gt; 액세서리/소모품 &gt; 대신정보통신</t>
        </is>
      </c>
      <c r="C121" s="0" t="inlineStr">
        <is>
          <t>DS5A 범퍼케이스</t>
        </is>
      </c>
      <c r="D121" s="0" t="inlineStr">
        <is>
          <t>DSIC</t>
        </is>
      </c>
      <c r="F121" s="0" t="n">
        <v>55000</v>
      </c>
    </row>
    <row r="122" hidden="1" s="12">
      <c r="A122" s="0" t="inlineStr">
        <is>
          <t>'1870</t>
        </is>
      </c>
      <c r="B122" s="0" t="inlineStr">
        <is>
          <t>PDA &gt; 액세서리/소모품 &gt; 대신정보통신</t>
        </is>
      </c>
      <c r="C122" s="0" t="inlineStr">
        <is>
          <t>DS5A 스타일러스펜</t>
        </is>
      </c>
      <c r="D122" s="0" t="inlineStr">
        <is>
          <t>DSIC</t>
        </is>
      </c>
      <c r="F122" s="0" t="n">
        <v>16500</v>
      </c>
    </row>
    <row r="123" hidden="1" s="12">
      <c r="A123" s="0" t="inlineStr">
        <is>
          <t>'1867</t>
        </is>
      </c>
      <c r="B123" s="0" t="inlineStr">
        <is>
          <t>PDA &gt; 액세서리/소모품 &gt; 대신정보통신</t>
        </is>
      </c>
      <c r="C123" s="0" t="inlineStr">
        <is>
          <t>DS5A 표준형배터리</t>
        </is>
      </c>
      <c r="D123" s="0" t="inlineStr">
        <is>
          <t>DSIC</t>
        </is>
      </c>
      <c r="F123" s="0" t="n">
        <v>66000</v>
      </c>
    </row>
    <row r="124" hidden="1" s="12">
      <c r="A124" s="0" t="inlineStr">
        <is>
          <t>'1866</t>
        </is>
      </c>
      <c r="B124" s="0" t="inlineStr">
        <is>
          <t>PDA &gt; 액세서리/소모품 &gt; 대신정보통신</t>
        </is>
      </c>
      <c r="C124" s="0" t="inlineStr">
        <is>
          <t>DS5A 크래들(아답타포함)</t>
        </is>
      </c>
      <c r="D124" s="0" t="inlineStr">
        <is>
          <t>DSIC</t>
        </is>
      </c>
      <c r="F124" s="0" t="n">
        <v>88000</v>
      </c>
    </row>
    <row r="125">
      <c r="A125" s="0" t="inlineStr">
        <is>
          <t>'1865</t>
        </is>
      </c>
      <c r="B125" s="0" t="inlineStr">
        <is>
          <t>PDA &gt; 액세서리/소모품 &gt; 지브라</t>
        </is>
      </c>
      <c r="C125" s="0" t="inlineStr">
        <is>
          <t>MC2200 표준형배터리</t>
        </is>
      </c>
      <c r="D125" s="0" t="inlineStr">
        <is>
          <t>ZEBRA</t>
        </is>
      </c>
      <c r="F125" s="0" t="n">
        <v>110000</v>
      </c>
    </row>
    <row r="126">
      <c r="A126" s="0" t="inlineStr">
        <is>
          <t>'1864</t>
        </is>
      </c>
      <c r="B126" s="0" t="inlineStr">
        <is>
          <t>PDA &gt; 액세서리/소모품 &gt; 지브라</t>
        </is>
      </c>
      <c r="C126" s="0" t="inlineStr">
        <is>
          <t>MC2200 전용 크래들</t>
        </is>
      </c>
      <c r="D126" s="0" t="inlineStr">
        <is>
          <t>ZEBRA</t>
        </is>
      </c>
      <c r="F126" s="0" t="n">
        <v>110000</v>
      </c>
    </row>
    <row r="127">
      <c r="A127" s="0" t="inlineStr">
        <is>
          <t>'1863</t>
        </is>
      </c>
      <c r="B127" s="0" t="inlineStr">
        <is>
          <t>PDA &gt; 액세서리/소모품 &gt; 지브라</t>
        </is>
      </c>
      <c r="C127" s="0" t="inlineStr">
        <is>
          <t>MC2200 GUN</t>
        </is>
      </c>
      <c r="D127" s="0" t="inlineStr">
        <is>
          <t>ZEBRA</t>
        </is>
      </c>
      <c r="F127" s="0" t="n">
        <v>132000</v>
      </c>
    </row>
    <row r="128">
      <c r="A128" s="0" t="inlineStr">
        <is>
          <t>'1852</t>
        </is>
      </c>
      <c r="B128" s="0" t="inlineStr">
        <is>
          <t>PDA &gt; 액세서리/소모품 &gt; 지브라</t>
        </is>
      </c>
      <c r="C128" s="0" t="inlineStr">
        <is>
          <t>TC21 5슬롯크래들(5본체)</t>
        </is>
      </c>
      <c r="D128" s="0" t="inlineStr">
        <is>
          <t>ZEBRA</t>
        </is>
      </c>
      <c r="F128" s="0" t="n">
        <v>935000</v>
      </c>
    </row>
    <row r="129">
      <c r="A129" s="0" t="inlineStr">
        <is>
          <t>'1851</t>
        </is>
      </c>
      <c r="B129" s="0" t="inlineStr">
        <is>
          <t>PDA &gt; 액세서리/소모품 &gt; 지브라</t>
        </is>
      </c>
      <c r="C129" s="0" t="inlineStr">
        <is>
          <t>TC21 5슬롯크래들</t>
        </is>
      </c>
      <c r="D129" s="0" t="inlineStr">
        <is>
          <t>ZEBRA</t>
        </is>
      </c>
      <c r="F129" s="0" t="n">
        <v>1045000</v>
      </c>
    </row>
    <row r="130">
      <c r="A130" s="0" t="inlineStr">
        <is>
          <t>'1850</t>
        </is>
      </c>
      <c r="B130" s="0" t="inlineStr">
        <is>
          <t>PDA &gt; 액세서리/소모품 &gt; 지브라</t>
        </is>
      </c>
      <c r="C130" s="0" t="inlineStr">
        <is>
          <t>TC21 보호필름</t>
        </is>
      </c>
      <c r="D130" s="0" t="inlineStr">
        <is>
          <t>ZEBRA</t>
        </is>
      </c>
      <c r="F130" s="0" t="n">
        <v>27500</v>
      </c>
    </row>
    <row r="131" hidden="1" s="12">
      <c r="A131" s="0" t="inlineStr">
        <is>
          <t>'1843</t>
        </is>
      </c>
      <c r="B131" s="0" t="inlineStr">
        <is>
          <t>PDA &gt; 안드로이드OS &gt; 롱레인지타입</t>
        </is>
      </c>
      <c r="C131" s="0" t="inlineStr">
        <is>
          <t>CT60XP(단종)</t>
        </is>
      </c>
      <c r="D131" s="0" t="inlineStr">
        <is>
          <t>Honeywell</t>
        </is>
      </c>
      <c r="F131" s="0" t="n">
        <v>2310000</v>
      </c>
    </row>
    <row r="132">
      <c r="A132" s="0" t="inlineStr">
        <is>
          <t>'1787</t>
        </is>
      </c>
      <c r="B132" s="0" t="inlineStr">
        <is>
          <t>PDA &gt; 액세서리/소모품 &gt; 지브라</t>
        </is>
      </c>
      <c r="C132" s="0" t="inlineStr">
        <is>
          <t>TC21 부트케이스(스트랩포함)</t>
        </is>
      </c>
      <c r="D132" s="0" t="inlineStr">
        <is>
          <t>ZEBRA</t>
        </is>
      </c>
      <c r="F132" s="0" t="n">
        <v>110000</v>
      </c>
    </row>
    <row r="133" hidden="1" s="12">
      <c r="A133" s="0" t="inlineStr">
        <is>
          <t>'1786</t>
        </is>
      </c>
      <c r="B133" s="0" t="inlineStr">
        <is>
          <t>PDA &gt; 액세서리/소모품 &gt; 포인트모바일</t>
        </is>
      </c>
      <c r="C133" s="0" t="inlineStr">
        <is>
          <t>PM451 대용량배터리</t>
        </is>
      </c>
      <c r="D133" s="0" t="inlineStr">
        <is>
          <t>PointMobile</t>
        </is>
      </c>
      <c r="F133" s="0" t="n">
        <v>88000</v>
      </c>
    </row>
    <row r="134" hidden="1" s="12">
      <c r="A134" s="0" t="inlineStr">
        <is>
          <t>'1785</t>
        </is>
      </c>
      <c r="B134" s="0" t="inlineStr">
        <is>
          <t>PDA &gt; 액세서리/소모품 &gt; 포인트모바일</t>
        </is>
      </c>
      <c r="C134" s="0" t="inlineStr">
        <is>
          <t>PM451 스타일러스펜</t>
        </is>
      </c>
      <c r="D134" s="0" t="inlineStr">
        <is>
          <t>PointMobile</t>
        </is>
      </c>
      <c r="F134" s="0" t="n">
        <v>8800</v>
      </c>
    </row>
    <row r="135" hidden="1" s="12">
      <c r="A135" s="0" t="inlineStr">
        <is>
          <t>'1784</t>
        </is>
      </c>
      <c r="B135" s="0" t="inlineStr">
        <is>
          <t>PDA &gt; 액세서리/소모품 &gt; 포인트모바일</t>
        </is>
      </c>
      <c r="C135" s="0" t="inlineStr">
        <is>
          <t>PM451 GUN</t>
        </is>
      </c>
      <c r="D135" s="0" t="inlineStr">
        <is>
          <t>PointMobile</t>
        </is>
      </c>
      <c r="F135" s="0" t="n">
        <v>71500</v>
      </c>
    </row>
    <row r="136" hidden="1" s="12">
      <c r="A136" s="0" t="inlineStr">
        <is>
          <t>'1783</t>
        </is>
      </c>
      <c r="B136" s="0" t="inlineStr">
        <is>
          <t>PDA &gt; 액세서리/소모품 &gt; 포인트모바일</t>
        </is>
      </c>
      <c r="C136" s="0" t="inlineStr">
        <is>
          <t>PM451 싱글슬롯크래들</t>
        </is>
      </c>
      <c r="D136" s="0" t="inlineStr">
        <is>
          <t>PointMobile</t>
        </is>
      </c>
      <c r="F136" s="0" t="n">
        <v>82500</v>
      </c>
    </row>
    <row r="137" hidden="1" s="12">
      <c r="A137" s="0" t="inlineStr">
        <is>
          <t>'1782</t>
        </is>
      </c>
      <c r="B137" s="0" t="inlineStr">
        <is>
          <t>PDA &gt; 액세서리/소모품 &gt; 포인트모바일</t>
        </is>
      </c>
      <c r="C137" s="0" t="inlineStr">
        <is>
          <t>PM351 표준형배터리</t>
        </is>
      </c>
      <c r="D137" s="0" t="inlineStr">
        <is>
          <t>PointMobile</t>
        </is>
      </c>
      <c r="F137" s="0" t="n">
        <v>66000</v>
      </c>
    </row>
    <row r="138" hidden="1" s="12">
      <c r="A138" s="0" t="inlineStr">
        <is>
          <t>'1367</t>
        </is>
      </c>
      <c r="B138" s="0" t="inlineStr">
        <is>
          <t>PDA &gt; 안드로이드OS &gt; 키패드(핸드헬드)</t>
        </is>
      </c>
      <c r="C138" s="0" t="inlineStr">
        <is>
          <t>NLS-MT60</t>
        </is>
      </c>
      <c r="D138" s="0" t="inlineStr">
        <is>
          <t>Newland</t>
        </is>
      </c>
      <c r="F138" s="0" t="n">
        <v>700000</v>
      </c>
    </row>
    <row r="139" hidden="1" s="12">
      <c r="A139" s="0" t="inlineStr">
        <is>
          <t>'1781</t>
        </is>
      </c>
      <c r="B139" s="0" t="inlineStr">
        <is>
          <t>PDA &gt; 액세서리/소모품 &gt; 포인트모바일</t>
        </is>
      </c>
      <c r="C139" s="0" t="inlineStr">
        <is>
          <t>PM351 스타일러스펜</t>
        </is>
      </c>
      <c r="D139" s="0" t="inlineStr">
        <is>
          <t>PointMobile</t>
        </is>
      </c>
      <c r="F139" s="0" t="n">
        <v>8800</v>
      </c>
    </row>
    <row r="140" hidden="1" s="12">
      <c r="A140" s="0" t="inlineStr">
        <is>
          <t>'1780</t>
        </is>
      </c>
      <c r="B140" s="0" t="inlineStr">
        <is>
          <t>PDA &gt; 액세서리/소모품 &gt; 포인트모바일</t>
        </is>
      </c>
      <c r="C140" s="0" t="inlineStr">
        <is>
          <t>PM351 GUN</t>
        </is>
      </c>
      <c r="D140" s="0" t="inlineStr">
        <is>
          <t>PointMobile</t>
        </is>
      </c>
      <c r="F140" s="0" t="n">
        <v>71500</v>
      </c>
    </row>
    <row r="141" hidden="1" s="12">
      <c r="A141" s="0" t="inlineStr">
        <is>
          <t>'1779</t>
        </is>
      </c>
      <c r="B141" s="0" t="inlineStr">
        <is>
          <t>PDA &gt; 액세서리/소모품 &gt; 포인트모바일</t>
        </is>
      </c>
      <c r="C141" s="0" t="inlineStr">
        <is>
          <t>PM351 싱글슬롯크래들</t>
        </is>
      </c>
      <c r="D141" s="0" t="inlineStr">
        <is>
          <t>PointMobile</t>
        </is>
      </c>
      <c r="F141" s="0" t="n">
        <v>82500</v>
      </c>
    </row>
    <row r="142" hidden="1" s="12">
      <c r="A142" s="0" t="inlineStr">
        <is>
          <t>'1777</t>
        </is>
      </c>
      <c r="B142" s="0" t="inlineStr">
        <is>
          <t>PDA &gt; 액세서리/소모품 &gt; 포인트모바일</t>
        </is>
      </c>
      <c r="C142" s="0" t="inlineStr">
        <is>
          <t>PM86 GUN</t>
        </is>
      </c>
      <c r="D142" s="0" t="inlineStr">
        <is>
          <t>PointMobile</t>
        </is>
      </c>
      <c r="F142" s="0" t="n">
        <v>77000</v>
      </c>
    </row>
    <row r="143" hidden="1" s="12">
      <c r="A143" s="0" t="inlineStr">
        <is>
          <t>'1776</t>
        </is>
      </c>
      <c r="B143" s="0" t="inlineStr">
        <is>
          <t>PDA &gt; 액세서리/소모품 &gt; 포인트모바일</t>
        </is>
      </c>
      <c r="C143" s="0" t="inlineStr">
        <is>
          <t>PM86 싱글슬롯크래들</t>
        </is>
      </c>
      <c r="D143" s="0" t="inlineStr">
        <is>
          <t>PointMobile</t>
        </is>
      </c>
      <c r="F143" s="0" t="n">
        <v>99000</v>
      </c>
    </row>
    <row r="144" hidden="1" s="12">
      <c r="A144" s="0" t="inlineStr">
        <is>
          <t>'1775</t>
        </is>
      </c>
      <c r="B144" s="0" t="inlineStr">
        <is>
          <t>PDA &gt; 액세서리/소모품 &gt; 포인트모바일</t>
        </is>
      </c>
      <c r="C144" s="0" t="inlineStr">
        <is>
          <t>PM75 싱글슬롯크래들</t>
        </is>
      </c>
      <c r="D144" s="0" t="inlineStr">
        <is>
          <t>PointMobile</t>
        </is>
      </c>
      <c r="F144" s="0" t="n">
        <v>82500</v>
      </c>
    </row>
    <row r="145" hidden="1" s="12">
      <c r="A145" s="0" t="inlineStr">
        <is>
          <t>'1774</t>
        </is>
      </c>
      <c r="B145" s="0" t="inlineStr">
        <is>
          <t>PDA &gt; 액세서리/소모품 &gt; 포인트모바일</t>
        </is>
      </c>
      <c r="C145" s="0" t="inlineStr">
        <is>
          <t>PM75 GUN</t>
        </is>
      </c>
      <c r="D145" s="0" t="inlineStr">
        <is>
          <t>PointMobile</t>
        </is>
      </c>
      <c r="F145" s="0" t="n">
        <v>71500</v>
      </c>
    </row>
    <row r="146" hidden="1" s="12">
      <c r="A146" s="0" t="inlineStr">
        <is>
          <t>'1773</t>
        </is>
      </c>
      <c r="B146" s="0" t="inlineStr">
        <is>
          <t>PDA &gt; 액세서리/소모품 &gt; 포인트모바일</t>
        </is>
      </c>
      <c r="C146" s="0" t="inlineStr">
        <is>
          <t>PM67/PM66 스타일러스펜</t>
        </is>
      </c>
      <c r="D146" s="0" t="inlineStr">
        <is>
          <t>PointMobile</t>
        </is>
      </c>
      <c r="F146" s="0" t="n">
        <v>8800</v>
      </c>
    </row>
    <row r="147" hidden="1" s="12">
      <c r="A147" s="0" t="inlineStr">
        <is>
          <t>'1772</t>
        </is>
      </c>
      <c r="B147" s="0" t="inlineStr">
        <is>
          <t>PDA &gt; 액세서리/소모품 &gt; 포인트모바일</t>
        </is>
      </c>
      <c r="C147" s="0" t="inlineStr">
        <is>
          <t>PM67/PM66 표준형배터리</t>
        </is>
      </c>
      <c r="D147" s="0" t="inlineStr">
        <is>
          <t>PointMobile</t>
        </is>
      </c>
      <c r="F147" s="0" t="n">
        <v>66000</v>
      </c>
    </row>
    <row r="148" hidden="1" s="12">
      <c r="A148" s="0" t="inlineStr">
        <is>
          <t>'1771</t>
        </is>
      </c>
      <c r="B148" s="0" t="inlineStr">
        <is>
          <t>PDA &gt; 액세서리/소모품 &gt; 포인트모바일</t>
        </is>
      </c>
      <c r="C148" s="0" t="inlineStr">
        <is>
          <t>PM67/PM66 GUN</t>
        </is>
      </c>
      <c r="D148" s="0" t="inlineStr">
        <is>
          <t>PointMobile</t>
        </is>
      </c>
      <c r="F148" s="0" t="n">
        <v>71500</v>
      </c>
    </row>
    <row r="149" hidden="1" s="12">
      <c r="A149" s="0" t="inlineStr">
        <is>
          <t>'1770</t>
        </is>
      </c>
      <c r="B149" s="0" t="inlineStr">
        <is>
          <t>PDA &gt; 액세서리/소모품 &gt; 포인트모바일</t>
        </is>
      </c>
      <c r="C149" s="0" t="inlineStr">
        <is>
          <t>PM67/PM66 싱글슬롯크래들</t>
        </is>
      </c>
      <c r="D149" s="0" t="inlineStr">
        <is>
          <t>PointMobile</t>
        </is>
      </c>
      <c r="F149" s="0" t="n">
        <v>82500</v>
      </c>
    </row>
    <row r="150" hidden="1" s="12">
      <c r="A150" s="0" t="inlineStr">
        <is>
          <t>'1760</t>
        </is>
      </c>
      <c r="B150" s="0" t="inlineStr">
        <is>
          <t>PDA &gt; 액세서리/소모품 &gt; 포인트모바일</t>
        </is>
      </c>
      <c r="C150" s="0" t="inlineStr">
        <is>
          <t>PM90 GUN</t>
        </is>
      </c>
      <c r="D150" s="0" t="inlineStr">
        <is>
          <t>PointMobile</t>
        </is>
      </c>
      <c r="F150" s="0" t="n">
        <v>71500</v>
      </c>
    </row>
    <row r="151" hidden="1" s="12">
      <c r="A151" s="0" t="inlineStr">
        <is>
          <t>'1759</t>
        </is>
      </c>
      <c r="B151" s="0" t="inlineStr">
        <is>
          <t>PDA &gt; 액세서리/소모품 &gt; 포인트모바일</t>
        </is>
      </c>
      <c r="C151" s="0" t="inlineStr">
        <is>
          <t>PM90 스타일러스펜</t>
        </is>
      </c>
      <c r="D151" s="0" t="inlineStr">
        <is>
          <t>PointMobile</t>
        </is>
      </c>
      <c r="F151" s="0" t="n">
        <v>8800</v>
      </c>
    </row>
    <row r="152" hidden="1" s="12">
      <c r="A152" s="0" t="inlineStr">
        <is>
          <t>'1758</t>
        </is>
      </c>
      <c r="B152" s="0" t="inlineStr">
        <is>
          <t>PDA &gt; 액세서리/소모품 &gt; 포인트모바일</t>
        </is>
      </c>
      <c r="C152" s="0" t="inlineStr">
        <is>
          <t>PM90 싱글슬롯크래들</t>
        </is>
      </c>
      <c r="D152" s="0" t="inlineStr">
        <is>
          <t>PointMobile</t>
        </is>
      </c>
      <c r="F152" s="0" t="n">
        <v>82500</v>
      </c>
    </row>
    <row r="153" hidden="1" s="12">
      <c r="A153" s="0" t="inlineStr">
        <is>
          <t>'1757</t>
        </is>
      </c>
      <c r="B153" s="0" t="inlineStr">
        <is>
          <t>PDA &gt; 액세서리/소모품 &gt; 포인트모바일</t>
        </is>
      </c>
      <c r="C153" s="0" t="inlineStr">
        <is>
          <t>PM85 스타일러스펜</t>
        </is>
      </c>
      <c r="D153" s="0" t="inlineStr">
        <is>
          <t>PointMobile</t>
        </is>
      </c>
      <c r="F153" s="0" t="n">
        <v>8800</v>
      </c>
    </row>
    <row r="154" hidden="1" s="12">
      <c r="A154" s="0" t="inlineStr">
        <is>
          <t>'1756</t>
        </is>
      </c>
      <c r="B154" s="0" t="inlineStr">
        <is>
          <t>PDA &gt; 액세서리/소모품 &gt; 포인트모바일</t>
        </is>
      </c>
      <c r="C154" s="0" t="inlineStr">
        <is>
          <t>PM85 싱글슬롯크래들</t>
        </is>
      </c>
      <c r="D154" s="0" t="inlineStr">
        <is>
          <t>PointMobile</t>
        </is>
      </c>
      <c r="F154" s="0" t="n">
        <v>82500</v>
      </c>
    </row>
    <row r="155" hidden="1" s="12">
      <c r="A155" s="0" t="inlineStr">
        <is>
          <t>'1739</t>
        </is>
      </c>
      <c r="B155" s="0" t="inlineStr">
        <is>
          <t>PDA &gt; 안드로이드OS &gt; 풀터치(가성비)</t>
        </is>
      </c>
      <c r="C155" s="0" t="inlineStr">
        <is>
          <t>PM84(2D)</t>
        </is>
      </c>
      <c r="D155" s="0" t="inlineStr">
        <is>
          <t>PointMobile</t>
        </is>
      </c>
      <c r="F155" s="0" t="n">
        <v>800000</v>
      </c>
    </row>
    <row r="156" hidden="1" s="12">
      <c r="A156" s="0" t="inlineStr">
        <is>
          <t>'1731</t>
        </is>
      </c>
      <c r="B156" s="0" t="inlineStr">
        <is>
          <t>PDA &gt; 액세서리/소모품 &gt; M3모바일</t>
        </is>
      </c>
      <c r="C156" s="0" t="inlineStr">
        <is>
          <t>SL20 전원아답타(크래들용)</t>
        </is>
      </c>
      <c r="D156" s="0" t="inlineStr">
        <is>
          <t>M3mobile</t>
        </is>
      </c>
      <c r="F156" s="0" t="n">
        <v>33000</v>
      </c>
    </row>
    <row r="157" hidden="1" s="12">
      <c r="A157" s="0" t="inlineStr">
        <is>
          <t>'1730</t>
        </is>
      </c>
      <c r="B157" s="0" t="inlineStr">
        <is>
          <t>PDA &gt; 액세서리/소모품 &gt; M3모바일</t>
        </is>
      </c>
      <c r="C157" s="0" t="inlineStr">
        <is>
          <t>SL20 크래들</t>
        </is>
      </c>
      <c r="D157" s="0" t="inlineStr">
        <is>
          <t>M3mobile</t>
        </is>
      </c>
      <c r="F157" s="0" t="n">
        <v>71500</v>
      </c>
    </row>
    <row r="158" hidden="1" s="12">
      <c r="A158" s="0" t="inlineStr">
        <is>
          <t>'1729</t>
        </is>
      </c>
      <c r="B158" s="0" t="inlineStr">
        <is>
          <t>PDA &gt; 액세서리/소모품 &gt; M3모바일</t>
        </is>
      </c>
      <c r="C158" s="0" t="inlineStr">
        <is>
          <t>SM20 표준형/대용량 배터리</t>
        </is>
      </c>
      <c r="D158" s="0" t="inlineStr">
        <is>
          <t>M3mobile</t>
        </is>
      </c>
      <c r="F158" s="0" t="n">
        <v>50000</v>
      </c>
    </row>
    <row r="159" hidden="1" s="12">
      <c r="A159" s="0" t="inlineStr">
        <is>
          <t>'1728</t>
        </is>
      </c>
      <c r="B159" s="0" t="inlineStr">
        <is>
          <t>PDA &gt; 액세서리/소모품 &gt; M3모바일</t>
        </is>
      </c>
      <c r="C159" s="0" t="inlineStr">
        <is>
          <t>SL20 GUN</t>
        </is>
      </c>
      <c r="D159" s="0" t="inlineStr">
        <is>
          <t>M3mobile</t>
        </is>
      </c>
      <c r="F159" s="0" t="n">
        <v>55000</v>
      </c>
    </row>
    <row r="160" hidden="1" s="12">
      <c r="A160" s="0" t="inlineStr">
        <is>
          <t>'1727</t>
        </is>
      </c>
      <c r="B160" s="0" t="inlineStr">
        <is>
          <t>PDA &gt; 액세서리/소모품 &gt; M3모바일</t>
        </is>
      </c>
      <c r="C160" s="0" t="inlineStr">
        <is>
          <t>SL20 부트케이스</t>
        </is>
      </c>
      <c r="D160" s="0" t="inlineStr">
        <is>
          <t>M3mobile</t>
        </is>
      </c>
      <c r="F160" s="0" t="n">
        <v>38500</v>
      </c>
    </row>
    <row r="161">
      <c r="A161" s="0" t="inlineStr">
        <is>
          <t>'1726</t>
        </is>
      </c>
      <c r="B161" s="0" t="inlineStr">
        <is>
          <t>PDA &gt; 액세서리/소모품 &gt; 지브라</t>
        </is>
      </c>
      <c r="C161" s="0" t="inlineStr">
        <is>
          <t>TC21 표준형배터리</t>
        </is>
      </c>
      <c r="D161" s="0" t="inlineStr">
        <is>
          <t>ZEBRA</t>
        </is>
      </c>
      <c r="F161" s="0" t="n">
        <v>110000</v>
      </c>
    </row>
    <row r="162">
      <c r="A162" s="0" t="inlineStr">
        <is>
          <t>'1725</t>
        </is>
      </c>
      <c r="B162" s="0" t="inlineStr">
        <is>
          <t>PDA &gt; 액세서리/소모품 &gt; 지브라</t>
        </is>
      </c>
      <c r="C162" s="0" t="inlineStr">
        <is>
          <t>TC21 4슬롯배터리차져</t>
        </is>
      </c>
      <c r="D162" s="0" t="inlineStr">
        <is>
          <t>ZEBRA</t>
        </is>
      </c>
      <c r="F162" s="0" t="n">
        <v>440000</v>
      </c>
    </row>
    <row r="163">
      <c r="A163" s="0" t="inlineStr">
        <is>
          <t>'1724</t>
        </is>
      </c>
      <c r="B163" s="0" t="inlineStr">
        <is>
          <t>PDA &gt; 액세서리/소모품 &gt; 지브라</t>
        </is>
      </c>
      <c r="C163" s="0" t="inlineStr">
        <is>
          <t>TC21 전용 크래들</t>
        </is>
      </c>
      <c r="D163" s="0" t="inlineStr">
        <is>
          <t>ZEBRA</t>
        </is>
      </c>
      <c r="F163" s="0" t="n">
        <v>143000</v>
      </c>
    </row>
    <row r="164">
      <c r="A164" s="0" t="inlineStr">
        <is>
          <t>'1723</t>
        </is>
      </c>
      <c r="B164" s="0" t="inlineStr">
        <is>
          <t>PDA &gt; 액세서리/소모품 &gt; 지브라</t>
        </is>
      </c>
      <c r="C164" s="0" t="inlineStr">
        <is>
          <t>TC21 GUN</t>
        </is>
      </c>
      <c r="D164" s="0" t="inlineStr">
        <is>
          <t>ZEBRA</t>
        </is>
      </c>
      <c r="F164" s="0" t="n">
        <v>110000</v>
      </c>
    </row>
    <row r="165">
      <c r="A165" s="0" t="inlineStr">
        <is>
          <t>'1722</t>
        </is>
      </c>
      <c r="B165" s="0" t="inlineStr">
        <is>
          <t>PDA &gt; 액세서리/소모품 &gt; 지브라</t>
        </is>
      </c>
      <c r="C165" s="0" t="inlineStr">
        <is>
          <t>TC21 핸드스트랩</t>
        </is>
      </c>
      <c r="D165" s="0" t="inlineStr">
        <is>
          <t>ZEBRA</t>
        </is>
      </c>
      <c r="F165" s="0" t="n">
        <v>55000</v>
      </c>
    </row>
    <row r="166" hidden="1" s="12">
      <c r="A166" s="0" t="inlineStr">
        <is>
          <t>'1696</t>
        </is>
      </c>
      <c r="B166" s="0" t="inlineStr">
        <is>
          <t>PDA &gt; 안드로이드OS &gt; 풀터치(가성비)</t>
        </is>
      </c>
      <c r="C166" s="0" t="inlineStr">
        <is>
          <t>PM86(2D)</t>
        </is>
      </c>
      <c r="D166" s="0" t="inlineStr">
        <is>
          <t>PointMobile</t>
        </is>
      </c>
      <c r="F166" s="0" t="n">
        <v>900000</v>
      </c>
    </row>
    <row r="167" hidden="1" s="12">
      <c r="A167" s="0" t="inlineStr">
        <is>
          <t>'1664</t>
        </is>
      </c>
      <c r="B167" s="0" t="inlineStr">
        <is>
          <t>PDA &gt; RFID리더기</t>
        </is>
      </c>
      <c r="C167" s="0" t="inlineStr">
        <is>
          <t>RFR900</t>
        </is>
      </c>
      <c r="D167" s="0" t="inlineStr">
        <is>
          <t>BLUEBIRD</t>
        </is>
      </c>
      <c r="F167" s="0" t="n">
        <v>950000</v>
      </c>
    </row>
    <row r="168" hidden="1" s="12">
      <c r="A168" s="0" t="inlineStr">
        <is>
          <t>'1635</t>
        </is>
      </c>
      <c r="B168" s="0" t="inlineStr">
        <is>
          <t>PDA &gt; 안드로이드OS &gt; 풀터치(가성비)</t>
        </is>
      </c>
      <c r="C168" s="0" t="inlineStr">
        <is>
          <t>VX500(단종)</t>
        </is>
      </c>
      <c r="D168" s="0" t="inlineStr">
        <is>
          <t>BLUEBIRD</t>
        </is>
      </c>
      <c r="F168" s="0" t="n">
        <v>0</v>
      </c>
    </row>
    <row r="169" hidden="1" s="12">
      <c r="A169" s="0" t="inlineStr">
        <is>
          <t>'1633</t>
        </is>
      </c>
      <c r="B169" s="0" t="inlineStr">
        <is>
          <t>PDA &gt; 안드로이드OS &gt; 풀터치(가성비)</t>
        </is>
      </c>
      <c r="C169" s="0" t="inlineStr">
        <is>
          <t>VF550(단종)</t>
        </is>
      </c>
      <c r="D169" s="0" t="inlineStr">
        <is>
          <t>BLUEBIRD</t>
        </is>
      </c>
      <c r="F169" s="0" t="n">
        <v>1210000</v>
      </c>
    </row>
    <row r="170" hidden="1" s="12">
      <c r="A170" s="0" t="inlineStr">
        <is>
          <t>'1631</t>
        </is>
      </c>
      <c r="B170" s="0" t="inlineStr">
        <is>
          <t>PDA &gt; 안드로이드OS &gt; 풀터치(가성비)</t>
        </is>
      </c>
      <c r="C170" s="0" t="inlineStr">
        <is>
          <t>EF550R(단종)</t>
        </is>
      </c>
      <c r="D170" s="0" t="inlineStr">
        <is>
          <t>BLUEBIRD</t>
        </is>
      </c>
      <c r="F170" s="0" t="n">
        <v>1650000</v>
      </c>
    </row>
    <row r="171" hidden="1" s="12">
      <c r="A171" s="0" t="inlineStr">
        <is>
          <t>'1630</t>
        </is>
      </c>
      <c r="B171" s="0" t="inlineStr">
        <is>
          <t>PDA &gt; 안드로이드OS &gt; 풀터치(가성비)</t>
        </is>
      </c>
      <c r="C171" s="0" t="inlineStr">
        <is>
          <t>EF550</t>
        </is>
      </c>
      <c r="D171" s="0" t="inlineStr">
        <is>
          <t>BLUEBIRD</t>
        </is>
      </c>
      <c r="F171" s="0" t="n">
        <v>1550000</v>
      </c>
    </row>
    <row r="172" hidden="1" s="12">
      <c r="A172" s="0" t="inlineStr">
        <is>
          <t>'1629</t>
        </is>
      </c>
      <c r="B172" s="0" t="inlineStr">
        <is>
          <t>PDA &gt; 안드로이드OS &gt; 풀터치(가성비)</t>
        </is>
      </c>
      <c r="C172" s="0" t="inlineStr">
        <is>
          <t>EF551</t>
        </is>
      </c>
      <c r="D172" s="0" t="inlineStr">
        <is>
          <t>BLUEBIRD</t>
        </is>
      </c>
      <c r="F172" s="0" t="n">
        <v>1452000</v>
      </c>
    </row>
    <row r="173" hidden="1" s="12">
      <c r="A173" s="0" t="inlineStr">
        <is>
          <t>'1614</t>
        </is>
      </c>
      <c r="B173" s="0" t="inlineStr">
        <is>
          <t>PDA &gt; 안드로이드OS &gt; 프리미엄풀터치</t>
        </is>
      </c>
      <c r="C173" s="0" t="inlineStr">
        <is>
          <t>DS90</t>
        </is>
      </c>
      <c r="D173" s="0" t="inlineStr">
        <is>
          <t>DSIC</t>
        </is>
      </c>
      <c r="F173" s="0" t="n">
        <v>950000</v>
      </c>
    </row>
    <row r="174" hidden="1" s="12">
      <c r="A174" s="0" t="inlineStr">
        <is>
          <t>'1613</t>
        </is>
      </c>
      <c r="B174" s="0" t="inlineStr">
        <is>
          <t>PDA &gt; 안드로이드OS &gt; 롱레인지타입</t>
        </is>
      </c>
      <c r="C174" s="0" t="inlineStr">
        <is>
          <t>DS70</t>
        </is>
      </c>
      <c r="D174" s="0" t="inlineStr">
        <is>
          <t>DSIC</t>
        </is>
      </c>
      <c r="F174" s="0" t="n">
        <v>920000</v>
      </c>
    </row>
    <row r="175" hidden="1" s="12">
      <c r="A175" s="0" t="inlineStr">
        <is>
          <t>'1606</t>
        </is>
      </c>
      <c r="B175" s="0" t="inlineStr">
        <is>
          <t>PDA &gt; 안드로이드OS &gt; 풀터치(가성비)</t>
        </is>
      </c>
      <c r="C175" s="0" t="inlineStr">
        <is>
          <t>DS60</t>
        </is>
      </c>
      <c r="D175" s="0" t="inlineStr">
        <is>
          <t>DSIC</t>
        </is>
      </c>
      <c r="F175" s="0" t="n">
        <v>910000</v>
      </c>
    </row>
    <row r="176" hidden="1" s="12">
      <c r="A176" s="0" t="inlineStr">
        <is>
          <t>'1605</t>
        </is>
      </c>
      <c r="B176" s="0" t="inlineStr">
        <is>
          <t>PDA &gt; 안드로이드OS &gt; 프리미엄풀터치</t>
        </is>
      </c>
      <c r="C176" s="0" t="inlineStr">
        <is>
          <t>CT30XP</t>
        </is>
      </c>
      <c r="D176" s="0" t="inlineStr">
        <is>
          <t>Honeywell</t>
        </is>
      </c>
      <c r="F176" s="0" t="n">
        <v>0</v>
      </c>
    </row>
    <row r="177" hidden="1" s="12">
      <c r="A177" s="0" t="inlineStr">
        <is>
          <t>'1602</t>
        </is>
      </c>
      <c r="B177" s="0" t="inlineStr">
        <is>
          <t>PDA &gt; 안드로이드OS &gt; 프리미엄풀터치</t>
        </is>
      </c>
      <c r="C177" s="0" t="inlineStr">
        <is>
          <t>EDA5S</t>
        </is>
      </c>
      <c r="D177" s="0" t="inlineStr">
        <is>
          <t>Honeywell</t>
        </is>
      </c>
      <c r="F177" s="0" t="n">
        <v>0</v>
      </c>
    </row>
    <row r="178" hidden="1" s="12">
      <c r="A178" s="0" t="inlineStr">
        <is>
          <t>'1590</t>
        </is>
      </c>
      <c r="B178" s="0" t="inlineStr">
        <is>
          <t>PDA &gt; 안드로이드OS &gt; 풀터치(가성비)</t>
        </is>
      </c>
      <c r="C178" s="0" t="inlineStr">
        <is>
          <t>PM75</t>
        </is>
      </c>
      <c r="D178" s="0" t="inlineStr">
        <is>
          <t>PointMobile</t>
        </is>
      </c>
      <c r="F178" s="0" t="n">
        <v>770000</v>
      </c>
    </row>
    <row r="179" hidden="1" s="12">
      <c r="A179" s="0" t="inlineStr">
        <is>
          <t>'1584</t>
        </is>
      </c>
      <c r="B179" s="0" t="inlineStr">
        <is>
          <t>PDA &gt; 안드로이드OS &gt; 키패드(핸드헬드)</t>
        </is>
      </c>
      <c r="C179" s="0" t="inlineStr">
        <is>
          <t>PM351(단종)</t>
        </is>
      </c>
      <c r="D179" s="0" t="inlineStr">
        <is>
          <t>PointMobile</t>
        </is>
      </c>
      <c r="F179" s="0" t="n">
        <v>0</v>
      </c>
    </row>
    <row r="180" hidden="1" s="12">
      <c r="A180" s="0" t="inlineStr">
        <is>
          <t>'1583</t>
        </is>
      </c>
      <c r="B180" s="0" t="inlineStr">
        <is>
          <t>PDA &gt; 안드로이드OS &gt; 키패드(핸드헬드)</t>
        </is>
      </c>
      <c r="C180" s="0" t="inlineStr">
        <is>
          <t>PM67</t>
        </is>
      </c>
      <c r="D180" s="0" t="inlineStr">
        <is>
          <t>PointMobile</t>
        </is>
      </c>
      <c r="F180" s="0" t="n">
        <v>858000</v>
      </c>
    </row>
    <row r="181" hidden="1" s="12">
      <c r="A181" s="0" t="inlineStr">
        <is>
          <t>'1582</t>
        </is>
      </c>
      <c r="B181" s="0" t="inlineStr">
        <is>
          <t>PDA &gt; 안드로이드OS &gt; 키패드(핸드헬드)</t>
        </is>
      </c>
      <c r="C181" s="0" t="inlineStr">
        <is>
          <t>PM550</t>
        </is>
      </c>
      <c r="D181" s="0" t="inlineStr">
        <is>
          <t>PointMobile</t>
        </is>
      </c>
      <c r="F181" s="0" t="n">
        <v>1090000</v>
      </c>
    </row>
    <row r="182" hidden="1" s="12">
      <c r="A182" s="0" t="inlineStr">
        <is>
          <t>'1581</t>
        </is>
      </c>
      <c r="B182" s="0" t="inlineStr">
        <is>
          <t>PDA &gt; 안드로이드OS &gt; 키패드(핸드헬드)</t>
        </is>
      </c>
      <c r="C182" s="0" t="inlineStr">
        <is>
          <t>PM451</t>
        </is>
      </c>
      <c r="D182" s="0" t="inlineStr">
        <is>
          <t>PointMobile</t>
        </is>
      </c>
      <c r="F182" s="0" t="n">
        <v>950000</v>
      </c>
    </row>
    <row r="183" hidden="1" s="12">
      <c r="A183" s="0" t="inlineStr">
        <is>
          <t>'1578</t>
        </is>
      </c>
      <c r="B183" s="0" t="inlineStr">
        <is>
          <t>PDA &gt; 안드로이드OS &gt; 키패드(핸드헬드)</t>
        </is>
      </c>
      <c r="C183" s="0" t="inlineStr">
        <is>
          <t>PM351(단종)</t>
        </is>
      </c>
      <c r="D183" s="0" t="inlineStr">
        <is>
          <t>PointMobile</t>
        </is>
      </c>
      <c r="F183" s="0" t="n">
        <v>0</v>
      </c>
    </row>
    <row r="184" hidden="1" s="12">
      <c r="A184" s="0" t="inlineStr">
        <is>
          <t>'1576</t>
        </is>
      </c>
      <c r="B184" s="0" t="inlineStr">
        <is>
          <t>PDA &gt; 안드로이드OS &gt; 키패드(핸드헬드)</t>
        </is>
      </c>
      <c r="C184" s="0" t="inlineStr">
        <is>
          <t>UL20</t>
        </is>
      </c>
      <c r="D184" s="0" t="inlineStr">
        <is>
          <t>M3mobile</t>
        </is>
      </c>
      <c r="F184" s="0" t="n">
        <v>1155000</v>
      </c>
    </row>
    <row r="185" hidden="1" s="12">
      <c r="A185" s="0" t="inlineStr">
        <is>
          <t>'1575</t>
        </is>
      </c>
      <c r="B185" s="0" t="inlineStr">
        <is>
          <t>PDA &gt; 안드로이드OS &gt; 키패드(핸드헬드)</t>
        </is>
      </c>
      <c r="C185" s="0" t="inlineStr">
        <is>
          <t>US20</t>
        </is>
      </c>
      <c r="D185" s="0" t="inlineStr">
        <is>
          <t>M3mobile</t>
        </is>
      </c>
      <c r="F185" s="0" t="n">
        <v>880000</v>
      </c>
    </row>
    <row r="186" hidden="1" s="12">
      <c r="A186" s="0" t="inlineStr">
        <is>
          <t>'1574</t>
        </is>
      </c>
      <c r="B186" s="0" t="inlineStr">
        <is>
          <t>PDA &gt; 안드로이드OS &gt; 풀터치(가성비)</t>
        </is>
      </c>
      <c r="C186" s="0" t="inlineStr">
        <is>
          <t>SM20F</t>
        </is>
      </c>
      <c r="D186" s="0" t="inlineStr">
        <is>
          <t>M3mobile</t>
        </is>
      </c>
      <c r="F186" s="0" t="n">
        <v>990000</v>
      </c>
    </row>
    <row r="187" hidden="1" s="12">
      <c r="A187" s="0" t="inlineStr">
        <is>
          <t>'1573</t>
        </is>
      </c>
      <c r="B187" s="0" t="inlineStr">
        <is>
          <t>PDA &gt; 안드로이드OS &gt; 풀터치(가성비)</t>
        </is>
      </c>
      <c r="C187" s="0" t="inlineStr">
        <is>
          <t>SM20</t>
        </is>
      </c>
      <c r="D187" s="0" t="inlineStr">
        <is>
          <t>M3mobile</t>
        </is>
      </c>
      <c r="F187" s="0" t="n">
        <v>880000</v>
      </c>
    </row>
    <row r="188" hidden="1" s="12">
      <c r="A188" s="0" t="inlineStr">
        <is>
          <t>'1572</t>
        </is>
      </c>
      <c r="B188" s="0" t="inlineStr">
        <is>
          <t>PDA &gt; 안드로이드OS &gt; 풀터치(가성비)</t>
        </is>
      </c>
      <c r="C188" s="0" t="inlineStr">
        <is>
          <t>SM15</t>
        </is>
      </c>
      <c r="D188" s="0" t="inlineStr">
        <is>
          <t>M3mobile</t>
        </is>
      </c>
      <c r="F188" s="0" t="n">
        <v>792000</v>
      </c>
    </row>
    <row r="189" hidden="1" s="12">
      <c r="A189" s="0" t="inlineStr">
        <is>
          <t>'1571</t>
        </is>
      </c>
      <c r="B189" s="0" t="inlineStr">
        <is>
          <t>PDA &gt; 안드로이드OS &gt; 풀터치(가성비)</t>
        </is>
      </c>
      <c r="C189" s="0" t="inlineStr">
        <is>
          <t>SL20</t>
        </is>
      </c>
      <c r="D189" s="0" t="inlineStr">
        <is>
          <t>M3mobile</t>
        </is>
      </c>
      <c r="F189" s="0" t="n">
        <v>700000</v>
      </c>
    </row>
    <row r="190" hidden="1" s="12">
      <c r="A190" s="0" t="inlineStr">
        <is>
          <t>'1570</t>
        </is>
      </c>
      <c r="B190" s="0" t="inlineStr">
        <is>
          <t>PDA &gt; 윈도우OS &gt; 윈도우 모바일</t>
        </is>
      </c>
      <c r="C190" s="0" t="inlineStr">
        <is>
          <t>M3 BLACK</t>
        </is>
      </c>
      <c r="D190" s="0" t="inlineStr">
        <is>
          <t>M3mobile</t>
        </is>
      </c>
      <c r="F190" s="0" t="n">
        <v>825000</v>
      </c>
    </row>
    <row r="191" hidden="1" s="12">
      <c r="A191" s="0" t="inlineStr">
        <is>
          <t>'1569</t>
        </is>
      </c>
      <c r="B191" s="0" t="inlineStr">
        <is>
          <t>PDA &gt; 윈도우OS &gt; 윈도우 CE</t>
        </is>
      </c>
      <c r="C191" s="0" t="inlineStr">
        <is>
          <t>M3 OX10</t>
        </is>
      </c>
      <c r="D191" s="0" t="inlineStr">
        <is>
          <t>M3mobile</t>
        </is>
      </c>
      <c r="F191" s="0" t="n">
        <v>750000</v>
      </c>
    </row>
    <row r="192" hidden="1" s="12">
      <c r="A192" s="0" t="inlineStr">
        <is>
          <t>'1566</t>
        </is>
      </c>
      <c r="B192" s="0" t="inlineStr">
        <is>
          <t>PDA &gt; 안드로이드OS &gt; 풀터치(가성비)</t>
        </is>
      </c>
      <c r="C192" s="0" t="inlineStr">
        <is>
          <t>PM85(2D)</t>
        </is>
      </c>
      <c r="D192" s="0" t="inlineStr">
        <is>
          <t>PointMobile</t>
        </is>
      </c>
      <c r="F192" s="0" t="n">
        <v>788000</v>
      </c>
    </row>
    <row r="193">
      <c r="A193" s="0" t="inlineStr">
        <is>
          <t>'1540</t>
        </is>
      </c>
      <c r="B193" s="0" t="inlineStr">
        <is>
          <t>PDA &gt; 안드로이드OS &gt; 키패드(핸드헬드)</t>
        </is>
      </c>
      <c r="C193" s="0" t="inlineStr">
        <is>
          <t>MC2200</t>
        </is>
      </c>
      <c r="D193" s="0" t="inlineStr">
        <is>
          <t>ZEBRA</t>
        </is>
      </c>
      <c r="F193" s="0" t="n">
        <v>1210000</v>
      </c>
    </row>
    <row r="194" hidden="1" s="12">
      <c r="A194" s="0" t="inlineStr">
        <is>
          <t>'1537</t>
        </is>
      </c>
      <c r="B194" s="0" t="inlineStr">
        <is>
          <t>PDA &gt; 윈도우OS &gt; 윈도우 CE</t>
        </is>
      </c>
      <c r="C194" s="0" t="inlineStr">
        <is>
          <t>M3 OX10</t>
        </is>
      </c>
      <c r="D194" s="0" t="inlineStr">
        <is>
          <t>M3mobile</t>
        </is>
      </c>
      <c r="F194" s="0" t="n">
        <v>750000</v>
      </c>
    </row>
    <row r="195" hidden="1" s="12">
      <c r="A195" s="0" t="inlineStr">
        <is>
          <t>'1534</t>
        </is>
      </c>
      <c r="B195" s="0" t="inlineStr">
        <is>
          <t>PDA &gt; 안드로이드OS &gt; 롱레인지타입</t>
        </is>
      </c>
      <c r="C195" s="0" t="inlineStr">
        <is>
          <t>US20</t>
        </is>
      </c>
      <c r="D195" s="0" t="inlineStr">
        <is>
          <t>M3mobile</t>
        </is>
      </c>
      <c r="F195" s="0" t="n">
        <v>880000</v>
      </c>
    </row>
    <row r="196" hidden="1" s="12">
      <c r="A196" s="0" t="inlineStr">
        <is>
          <t>'1533</t>
        </is>
      </c>
      <c r="B196" s="0" t="inlineStr">
        <is>
          <t>PDA &gt; 안드로이드OS &gt; 풀터치(가성비)</t>
        </is>
      </c>
      <c r="C196" s="0" t="inlineStr">
        <is>
          <t>SL20</t>
        </is>
      </c>
      <c r="D196" s="0" t="inlineStr">
        <is>
          <t>M3mobile</t>
        </is>
      </c>
      <c r="F196" s="0" t="n">
        <v>700000</v>
      </c>
    </row>
    <row r="197" hidden="1" s="12">
      <c r="A197" s="0" t="inlineStr">
        <is>
          <t>'1532</t>
        </is>
      </c>
      <c r="B197" s="0" t="inlineStr">
        <is>
          <t>PDA &gt; 안드로이드OS &gt; 풀터치(가성비)</t>
        </is>
      </c>
      <c r="C197" s="0" t="inlineStr">
        <is>
          <t>SM15</t>
        </is>
      </c>
      <c r="D197" s="0" t="inlineStr">
        <is>
          <t>M3mobile</t>
        </is>
      </c>
      <c r="F197" s="0" t="n">
        <v>792000</v>
      </c>
    </row>
    <row r="198" hidden="1" s="12">
      <c r="A198" s="0" t="inlineStr">
        <is>
          <t>'1486</t>
        </is>
      </c>
      <c r="B198" s="0" t="inlineStr">
        <is>
          <t>PDA &gt; PDA프로그램</t>
        </is>
      </c>
      <c r="C198" s="0" t="inlineStr">
        <is>
          <t>창고 입출고관리(Android)</t>
        </is>
      </c>
      <c r="F198" s="0" t="n">
        <v>330000</v>
      </c>
    </row>
    <row r="199" hidden="1" s="12">
      <c r="A199" s="0" t="inlineStr">
        <is>
          <t>'1485</t>
        </is>
      </c>
      <c r="B199" s="0" t="inlineStr">
        <is>
          <t>PDA &gt; PDA프로그램</t>
        </is>
      </c>
      <c r="C199" s="0" t="inlineStr">
        <is>
          <t>자산실사관리 Android)</t>
        </is>
      </c>
      <c r="F199" s="0" t="n">
        <v>330000</v>
      </c>
    </row>
    <row r="200" hidden="1" s="12">
      <c r="A200" s="0" t="inlineStr">
        <is>
          <t>'1484</t>
        </is>
      </c>
      <c r="B200" s="0" t="inlineStr">
        <is>
          <t>PDA &gt; PDA프로그램</t>
        </is>
      </c>
      <c r="C200" s="0" t="inlineStr">
        <is>
          <t>온라인주문 출고관리(Android)</t>
        </is>
      </c>
      <c r="F200" s="0" t="n">
        <v>330000</v>
      </c>
    </row>
    <row r="201" hidden="1" s="12">
      <c r="A201" s="0" t="inlineStr">
        <is>
          <t>'1483</t>
        </is>
      </c>
      <c r="B201" s="0" t="inlineStr">
        <is>
          <t>PDA &gt; PDA프로그램</t>
        </is>
      </c>
      <c r="C201" s="0" t="inlineStr">
        <is>
          <t>물류창고실사관리(Android)</t>
        </is>
      </c>
      <c r="F201" s="0" t="n">
        <v>330000</v>
      </c>
    </row>
    <row r="202" hidden="1" s="12">
      <c r="A202" s="0" t="inlineStr">
        <is>
          <t>'1482</t>
        </is>
      </c>
      <c r="B202" s="0" t="inlineStr">
        <is>
          <t>PDA &gt; PDA프로그램</t>
        </is>
      </c>
      <c r="C202" s="0" t="inlineStr">
        <is>
          <t>물류입출고관리(Android)</t>
        </is>
      </c>
      <c r="F202" s="0" t="n">
        <v>550000</v>
      </c>
    </row>
    <row r="203" hidden="1" s="12">
      <c r="A203" s="0" t="inlineStr">
        <is>
          <t>'1481</t>
        </is>
      </c>
      <c r="B203" s="0" t="inlineStr">
        <is>
          <t>PDA &gt; PDA프로그램</t>
        </is>
      </c>
      <c r="C203" s="0" t="inlineStr">
        <is>
          <t>매장상품실사관리(Android)</t>
        </is>
      </c>
      <c r="F203" s="0" t="n">
        <v>330000</v>
      </c>
    </row>
    <row r="204" hidden="1" s="12">
      <c r="A204" s="0" t="inlineStr">
        <is>
          <t>'2577</t>
        </is>
      </c>
      <c r="B204" s="0" t="inlineStr">
        <is>
          <t>PDA &gt; 안드로이드OS &gt; 프리미엄풀터치</t>
        </is>
      </c>
      <c r="C204" s="0" t="inlineStr">
        <is>
          <t>CT70</t>
        </is>
      </c>
      <c r="D204" s="0" t="inlineStr">
        <is>
          <t>Honeywell</t>
        </is>
      </c>
      <c r="F204" s="0" t="n">
        <v>0</v>
      </c>
    </row>
    <row r="205" hidden="1" s="12">
      <c r="A205" s="0" t="inlineStr">
        <is>
          <t>'2570</t>
        </is>
      </c>
      <c r="B205" s="0" t="inlineStr">
        <is>
          <t>PDA &gt; RFID리더기</t>
        </is>
      </c>
      <c r="C205" s="0" t="inlineStr">
        <is>
          <t>S10 RFID</t>
        </is>
      </c>
      <c r="D205" s="0" t="inlineStr">
        <is>
          <t>BLUEBIRD</t>
        </is>
      </c>
      <c r="F205" s="0" t="n">
        <v>0</v>
      </c>
    </row>
    <row r="206" hidden="1" s="12">
      <c r="A206" s="0" t="inlineStr">
        <is>
          <t>'2569</t>
        </is>
      </c>
      <c r="B206" s="0" t="inlineStr">
        <is>
          <t>PDA &gt; RFID리더기</t>
        </is>
      </c>
      <c r="C206" s="0" t="inlineStr">
        <is>
          <t>RFR901</t>
        </is>
      </c>
      <c r="D206" s="0" t="inlineStr">
        <is>
          <t>BLUEBIRD</t>
        </is>
      </c>
      <c r="F206" s="0" t="n">
        <v>0</v>
      </c>
    </row>
    <row r="207" hidden="1" s="12">
      <c r="A207" s="0" t="inlineStr">
        <is>
          <t>'2553</t>
        </is>
      </c>
      <c r="B207" s="0" t="inlineStr">
        <is>
          <t>PDA &gt; 안드로이드OS &gt; 풀터치(가성비)</t>
        </is>
      </c>
      <c r="C207" s="0" t="inlineStr">
        <is>
          <t>MF52e</t>
        </is>
      </c>
      <c r="D207" s="0" t="inlineStr">
        <is>
          <t>PointMobile</t>
        </is>
      </c>
      <c r="F207" s="0" t="n">
        <v>955000</v>
      </c>
    </row>
    <row r="208" hidden="1" s="12">
      <c r="A208" s="0" t="inlineStr">
        <is>
          <t>'2552</t>
        </is>
      </c>
      <c r="B208" s="0" t="inlineStr">
        <is>
          <t>PDA &gt; 안드로이드OS &gt; 프리미엄풀터치</t>
        </is>
      </c>
      <c r="C208" s="0" t="inlineStr">
        <is>
          <t>MF52</t>
        </is>
      </c>
      <c r="D208" s="0" t="inlineStr">
        <is>
          <t>PointMobile</t>
        </is>
      </c>
      <c r="F208" s="0" t="n">
        <v>1260000</v>
      </c>
    </row>
    <row r="209" hidden="1" s="12">
      <c r="A209" s="0" t="inlineStr">
        <is>
          <t>'2537</t>
        </is>
      </c>
      <c r="B209" s="0" t="inlineStr">
        <is>
          <t>PDA &gt; 액세서리/소모품 &gt; 하니웰</t>
        </is>
      </c>
      <c r="C209" s="0" t="inlineStr">
        <is>
          <t>CT32 표준형배터리</t>
        </is>
      </c>
      <c r="D209" s="0" t="inlineStr">
        <is>
          <t>Honeywell</t>
        </is>
      </c>
      <c r="F209" s="0" t="n">
        <v>110000</v>
      </c>
    </row>
    <row r="210" hidden="1" s="12">
      <c r="A210" s="0" t="inlineStr">
        <is>
          <t>'2536</t>
        </is>
      </c>
      <c r="B210" s="0" t="inlineStr">
        <is>
          <t>PDA &gt; 액세서리/소모품 &gt; 하니웰</t>
        </is>
      </c>
      <c r="C210" s="0" t="inlineStr">
        <is>
          <t>CT32 크래들</t>
        </is>
      </c>
      <c r="D210" s="0" t="inlineStr">
        <is>
          <t>Honeywell</t>
        </is>
      </c>
      <c r="F210" s="0" t="n">
        <v>220000</v>
      </c>
    </row>
    <row r="211" hidden="1" s="12">
      <c r="A211" s="0" t="inlineStr">
        <is>
          <t>'2535</t>
        </is>
      </c>
      <c r="B211" s="0" t="inlineStr">
        <is>
          <t>PDA &gt; 액세서리/소모품 &gt; 하니웰</t>
        </is>
      </c>
      <c r="C211" s="0" t="inlineStr">
        <is>
          <t>CT32 GUN트리거</t>
        </is>
      </c>
      <c r="D211" s="0" t="inlineStr">
        <is>
          <t>Honeywell</t>
        </is>
      </c>
      <c r="F211" s="0" t="n">
        <v>150000</v>
      </c>
    </row>
    <row r="212" hidden="1" s="12">
      <c r="A212" s="0" t="inlineStr">
        <is>
          <t>'2502</t>
        </is>
      </c>
      <c r="B212" s="0" t="inlineStr">
        <is>
          <t>PDA &gt; 안드로이드OS &gt; 프리미엄풀터치</t>
        </is>
      </c>
      <c r="C212" s="0" t="inlineStr">
        <is>
          <t xml:space="preserve">L3 </t>
        </is>
      </c>
      <c r="D212" s="0" t="inlineStr">
        <is>
          <t>SUNMI</t>
        </is>
      </c>
      <c r="F212" s="0" t="n">
        <v>880000</v>
      </c>
    </row>
    <row r="213" hidden="1" s="12">
      <c r="A213" s="0" t="inlineStr">
        <is>
          <t>'2500</t>
        </is>
      </c>
      <c r="B213" s="0" t="inlineStr">
        <is>
          <t>PDA &gt; 안드로이드OS &gt; 기타</t>
        </is>
      </c>
      <c r="C213" s="0" t="inlineStr">
        <is>
          <t>P3</t>
        </is>
      </c>
      <c r="D213" s="0" t="inlineStr">
        <is>
          <t>SUNMI</t>
        </is>
      </c>
      <c r="F213" s="0" t="n">
        <v>900000</v>
      </c>
    </row>
    <row r="214" hidden="1" s="12">
      <c r="A214" s="0" t="inlineStr">
        <is>
          <t>'2496</t>
        </is>
      </c>
      <c r="B214" s="0" t="inlineStr">
        <is>
          <t>PDA &gt; 안드로이드OS &gt; 풀터치(가성비)</t>
        </is>
      </c>
      <c r="C214" s="0" t="inlineStr">
        <is>
          <t>L2s PRO</t>
        </is>
      </c>
      <c r="D214" s="0" t="inlineStr">
        <is>
          <t>SUNMI</t>
        </is>
      </c>
      <c r="F214" s="0" t="n">
        <v>0</v>
      </c>
    </row>
    <row r="215" hidden="1" s="12">
      <c r="A215" s="0" t="inlineStr">
        <is>
          <t>'2472</t>
        </is>
      </c>
      <c r="B215" s="0" t="inlineStr">
        <is>
          <t>PDA &gt; 안드로이드OS &gt; 프리미엄풀터치</t>
        </is>
      </c>
      <c r="C215" s="0" t="inlineStr">
        <is>
          <t>SM24</t>
        </is>
      </c>
      <c r="D215" s="0" t="inlineStr">
        <is>
          <t>M3mobile</t>
        </is>
      </c>
      <c r="F215" s="0" t="n">
        <v>1210000</v>
      </c>
    </row>
    <row r="216" hidden="1" s="12">
      <c r="A216" s="0" t="inlineStr">
        <is>
          <t>'2471</t>
        </is>
      </c>
      <c r="B216" s="0" t="inlineStr">
        <is>
          <t>PDA &gt; 안드로이드OS &gt; 프리미엄풀터치</t>
        </is>
      </c>
      <c r="C216" s="0" t="inlineStr">
        <is>
          <t>CT37</t>
        </is>
      </c>
      <c r="D216" s="0" t="inlineStr">
        <is>
          <t>Honeywell</t>
        </is>
      </c>
      <c r="F216" s="0" t="n">
        <v>0</v>
      </c>
    </row>
    <row r="217" hidden="1" s="12">
      <c r="A217" s="0" t="inlineStr">
        <is>
          <t>'2461</t>
        </is>
      </c>
      <c r="B217" s="0" t="inlineStr">
        <is>
          <t>PDA &gt; 안드로이드OS &gt; 키패드(핸드헬드)</t>
        </is>
      </c>
      <c r="C217" s="0" t="inlineStr">
        <is>
          <t>PM352</t>
        </is>
      </c>
      <c r="D217" s="0" t="inlineStr">
        <is>
          <t>PointMobile</t>
        </is>
      </c>
      <c r="F217" s="0" t="n">
        <v>830000</v>
      </c>
    </row>
    <row r="218" hidden="1" s="12">
      <c r="A218" s="0" t="inlineStr">
        <is>
          <t>'2460</t>
        </is>
      </c>
      <c r="B218" s="0" t="inlineStr">
        <is>
          <t>PDA &gt; 안드로이드OS &gt; 키패드(핸드헬드)</t>
        </is>
      </c>
      <c r="C218" s="0" t="inlineStr">
        <is>
          <t>PM452</t>
        </is>
      </c>
      <c r="D218" s="0" t="inlineStr">
        <is>
          <t>PointMobile</t>
        </is>
      </c>
      <c r="F218" s="0" t="n">
        <v>990000</v>
      </c>
    </row>
    <row r="219" hidden="1" s="12">
      <c r="A219" s="0" t="inlineStr">
        <is>
          <t>'2455</t>
        </is>
      </c>
      <c r="B219" s="0" t="inlineStr">
        <is>
          <t>PDA &gt; 안드로이드OS &gt; 프리미엄풀터치</t>
        </is>
      </c>
      <c r="C219" s="0" t="inlineStr">
        <is>
          <t>DS95</t>
        </is>
      </c>
      <c r="D219" s="0" t="inlineStr">
        <is>
          <t>DSIC</t>
        </is>
      </c>
      <c r="F219" s="0" t="n">
        <v>0</v>
      </c>
    </row>
    <row r="220" hidden="1" s="12">
      <c r="A220" s="0" t="inlineStr">
        <is>
          <t>'2454</t>
        </is>
      </c>
      <c r="B220" s="0" t="inlineStr">
        <is>
          <t>PDA &gt; 안드로이드OS &gt; 프리미엄풀터치</t>
        </is>
      </c>
      <c r="C220" s="0" t="inlineStr">
        <is>
          <t>DS65</t>
        </is>
      </c>
      <c r="D220" s="0" t="inlineStr">
        <is>
          <t>DSIC</t>
        </is>
      </c>
      <c r="F220" s="0" t="n">
        <v>990000</v>
      </c>
    </row>
    <row r="221">
      <c r="A221" s="0" t="inlineStr">
        <is>
          <t>'2453</t>
        </is>
      </c>
      <c r="B221" s="0" t="inlineStr">
        <is>
          <t>PDA &gt; RFID리더기</t>
        </is>
      </c>
      <c r="C221" s="0" t="inlineStr">
        <is>
          <t>TC22R RFID 리더기</t>
        </is>
      </c>
      <c r="D221" s="0" t="inlineStr">
        <is>
          <t>ZEBRA</t>
        </is>
      </c>
      <c r="F221" s="0" t="n">
        <v>0</v>
      </c>
    </row>
    <row r="222" hidden="1" s="12">
      <c r="A222" s="0" t="inlineStr">
        <is>
          <t>'2431</t>
        </is>
      </c>
      <c r="B222" s="0" t="inlineStr">
        <is>
          <t>PDA &gt; 안드로이드OS &gt; 키패드(핸드헬드)</t>
        </is>
      </c>
      <c r="C222" s="0" t="inlineStr">
        <is>
          <t>SL20K</t>
        </is>
      </c>
      <c r="D222" s="0" t="inlineStr">
        <is>
          <t>M3mobile</t>
        </is>
      </c>
      <c r="F222" s="0" t="n">
        <v>650000</v>
      </c>
    </row>
    <row r="223" hidden="1" s="12">
      <c r="A223" s="0" t="inlineStr">
        <is>
          <t>'2430</t>
        </is>
      </c>
      <c r="B223" s="0" t="inlineStr">
        <is>
          <t>PDA &gt; 안드로이드OS &gt; 키패드(핸드헬드)</t>
        </is>
      </c>
      <c r="C223" s="0" t="inlineStr">
        <is>
          <t>UL30</t>
        </is>
      </c>
      <c r="D223" s="0" t="inlineStr">
        <is>
          <t>M3mobile</t>
        </is>
      </c>
      <c r="F223" s="0" t="n">
        <v>940000</v>
      </c>
    </row>
    <row r="224" hidden="1" s="12">
      <c r="A224" s="0" t="inlineStr">
        <is>
          <t>'2429</t>
        </is>
      </c>
      <c r="B224" s="0" t="inlineStr">
        <is>
          <t>PDA &gt; 안드로이드OS &gt; 키패드(핸드헬드)</t>
        </is>
      </c>
      <c r="C224" s="0" t="inlineStr">
        <is>
          <t>US30</t>
        </is>
      </c>
      <c r="D224" s="0" t="inlineStr">
        <is>
          <t>M3mobile</t>
        </is>
      </c>
      <c r="F224" s="0" t="n">
        <v>880000</v>
      </c>
    </row>
    <row r="225" hidden="1" s="12">
      <c r="A225" s="0" t="inlineStr">
        <is>
          <t>'2409</t>
        </is>
      </c>
      <c r="B225" s="0" t="inlineStr">
        <is>
          <t>PDA &gt; 안드로이드OS &gt; 풀터치(가성비)</t>
        </is>
      </c>
      <c r="C225" s="0" t="inlineStr">
        <is>
          <t>PM84P</t>
        </is>
      </c>
      <c r="D225" s="0" t="inlineStr">
        <is>
          <t>PointMobile</t>
        </is>
      </c>
      <c r="F225" s="0" t="n">
        <v>0</v>
      </c>
    </row>
    <row r="226" hidden="1" s="12">
      <c r="A226" s="0" t="inlineStr">
        <is>
          <t>'2398</t>
        </is>
      </c>
      <c r="B226" s="0" t="inlineStr">
        <is>
          <t>PDA &gt; 안드로이드OS &gt; 키패드(핸드헬드)</t>
        </is>
      </c>
      <c r="C226" s="0" t="inlineStr">
        <is>
          <t>CK67</t>
        </is>
      </c>
      <c r="D226" s="0" t="inlineStr">
        <is>
          <t>Honeywell</t>
        </is>
      </c>
      <c r="F226" s="0" t="n">
        <v>0</v>
      </c>
    </row>
    <row r="227" hidden="1" s="12">
      <c r="A227" s="0" t="inlineStr">
        <is>
          <t>'2376</t>
        </is>
      </c>
      <c r="B227" s="0" t="inlineStr">
        <is>
          <t>PDA &gt; 액세서리/소모품 &gt; 포인트모바일</t>
        </is>
      </c>
      <c r="C227" s="0" t="inlineStr">
        <is>
          <t>PM68 표준형배터리</t>
        </is>
      </c>
      <c r="D227" s="0" t="inlineStr">
        <is>
          <t>PointMobile</t>
        </is>
      </c>
      <c r="F227" s="0" t="n">
        <v>88000</v>
      </c>
    </row>
    <row r="228" hidden="1" s="12">
      <c r="A228" s="0" t="inlineStr">
        <is>
          <t>'2375</t>
        </is>
      </c>
      <c r="B228" s="0" t="inlineStr">
        <is>
          <t>PDA &gt; 액세서리/소모품 &gt; 포인트모바일</t>
        </is>
      </c>
      <c r="C228" s="0" t="inlineStr">
        <is>
          <t>PM68 싱글슬롯크래들</t>
        </is>
      </c>
      <c r="D228" s="0" t="inlineStr">
        <is>
          <t>PointMobile</t>
        </is>
      </c>
      <c r="F228" s="0" t="n">
        <v>77000</v>
      </c>
    </row>
    <row r="229" hidden="1" s="12">
      <c r="A229" s="0" t="inlineStr">
        <is>
          <t>'2374</t>
        </is>
      </c>
      <c r="B229" s="0" t="inlineStr">
        <is>
          <t>PDA &gt; 액세서리/소모품 &gt; 포인트모바일</t>
        </is>
      </c>
      <c r="C229" s="0" t="inlineStr">
        <is>
          <t>PM68 GUN</t>
        </is>
      </c>
      <c r="D229" s="0" t="inlineStr">
        <is>
          <t>PointMobile</t>
        </is>
      </c>
      <c r="F229" s="0" t="n">
        <v>88000</v>
      </c>
    </row>
    <row r="230">
      <c r="A230" s="0" t="inlineStr">
        <is>
          <t>'2362</t>
        </is>
      </c>
      <c r="B230" s="0" t="inlineStr">
        <is>
          <t>PDA &gt; 액세서리/소모품 &gt; 지브라</t>
        </is>
      </c>
      <c r="C230" s="0" t="inlineStr">
        <is>
          <t>TC22 핸드스트랩</t>
        </is>
      </c>
      <c r="D230" s="0" t="inlineStr">
        <is>
          <t>ZEBRA</t>
        </is>
      </c>
      <c r="F230" s="0" t="n">
        <v>60000</v>
      </c>
    </row>
    <row r="231">
      <c r="A231" s="0" t="inlineStr">
        <is>
          <t>'2361</t>
        </is>
      </c>
      <c r="B231" s="0" t="inlineStr">
        <is>
          <t>PDA &gt; 액세서리/소모품 &gt; 지브라</t>
        </is>
      </c>
      <c r="C231" s="0" t="inlineStr">
        <is>
          <t>TC22 표준형배터리</t>
        </is>
      </c>
      <c r="D231" s="0" t="inlineStr">
        <is>
          <t>ZEBRA</t>
        </is>
      </c>
      <c r="F231" s="0" t="n">
        <v>99000</v>
      </c>
    </row>
    <row r="232">
      <c r="A232" s="0" t="inlineStr">
        <is>
          <t>'2360</t>
        </is>
      </c>
      <c r="B232" s="0" t="inlineStr">
        <is>
          <t>PDA &gt; 액세서리/소모품 &gt; 지브라</t>
        </is>
      </c>
      <c r="C232" s="0" t="inlineStr">
        <is>
          <t>TC22 전용 크래들</t>
        </is>
      </c>
      <c r="D232" s="0" t="inlineStr">
        <is>
          <t>ZEBRA</t>
        </is>
      </c>
      <c r="F232" s="0" t="n">
        <v>165000</v>
      </c>
    </row>
    <row r="233">
      <c r="A233" s="0" t="inlineStr">
        <is>
          <t>'2359</t>
        </is>
      </c>
      <c r="B233" s="0" t="inlineStr">
        <is>
          <t>PDA &gt; 액세서리/소모품 &gt; 지브라</t>
        </is>
      </c>
      <c r="C233" s="0" t="inlineStr">
        <is>
          <t>TC22 부트케이스</t>
        </is>
      </c>
      <c r="D233" s="0" t="inlineStr">
        <is>
          <t>ZEBRA</t>
        </is>
      </c>
      <c r="F233" s="0" t="n">
        <v>49500</v>
      </c>
    </row>
    <row r="234">
      <c r="A234" s="0" t="inlineStr">
        <is>
          <t>'2358</t>
        </is>
      </c>
      <c r="B234" s="0" t="inlineStr">
        <is>
          <t>PDA &gt; 액세서리/소모품 &gt; 지브라</t>
        </is>
      </c>
      <c r="C234" s="0" t="inlineStr">
        <is>
          <t>TC22 보호필름</t>
        </is>
      </c>
      <c r="D234" s="0" t="inlineStr">
        <is>
          <t>ZEBRA</t>
        </is>
      </c>
      <c r="F234" s="0" t="n">
        <v>27500</v>
      </c>
    </row>
    <row r="235">
      <c r="A235" s="0" t="inlineStr">
        <is>
          <t>'2357</t>
        </is>
      </c>
      <c r="B235" s="0" t="inlineStr">
        <is>
          <t>PDA &gt; 액세서리/소모품 &gt; 지브라</t>
        </is>
      </c>
      <c r="C235" s="0" t="inlineStr">
        <is>
          <t>TC22 (GUN+부트케이스)</t>
        </is>
      </c>
      <c r="D235" s="0" t="inlineStr">
        <is>
          <t>ZEBRA</t>
        </is>
      </c>
      <c r="F235" s="0" t="n">
        <v>214500</v>
      </c>
    </row>
    <row r="236" hidden="1" s="12">
      <c r="A236" s="0" t="inlineStr">
        <is>
          <t>'2356</t>
        </is>
      </c>
      <c r="B236" s="0" t="inlineStr">
        <is>
          <t>PDA &gt; 안드로이드OS &gt; 풀터치(가성비)</t>
        </is>
      </c>
      <c r="C236" s="0" t="inlineStr">
        <is>
          <t>S10</t>
        </is>
      </c>
      <c r="D236" s="0" t="inlineStr">
        <is>
          <t>BLUEBIRD</t>
        </is>
      </c>
      <c r="F236" s="0" t="n">
        <v>880000</v>
      </c>
    </row>
    <row r="237" hidden="1" s="12">
      <c r="A237" s="0" t="inlineStr">
        <is>
          <t>'2346</t>
        </is>
      </c>
      <c r="B237" s="0" t="inlineStr">
        <is>
          <t>PDA &gt; 안드로이드OS &gt; 기타</t>
        </is>
      </c>
      <c r="C237" s="0" t="inlineStr">
        <is>
          <t>P8</t>
        </is>
      </c>
      <c r="D237" s="0" t="inlineStr">
        <is>
          <t>PointMobile</t>
        </is>
      </c>
      <c r="F237" s="0" t="n">
        <v>900000</v>
      </c>
    </row>
    <row r="238" hidden="1" s="12">
      <c r="A238" s="0" t="inlineStr">
        <is>
          <t>'2344</t>
        </is>
      </c>
      <c r="B238" s="0" t="inlineStr">
        <is>
          <t>PDA &gt; RFID리더기</t>
        </is>
      </c>
      <c r="C238" s="0" t="inlineStr">
        <is>
          <t>IH45 RFID 리더기</t>
        </is>
      </c>
      <c r="D238" s="0" t="inlineStr">
        <is>
          <t>PointMobile</t>
        </is>
      </c>
      <c r="F238" s="0" t="n">
        <v>1540000</v>
      </c>
    </row>
    <row r="239" hidden="1" s="12">
      <c r="A239" s="0" t="inlineStr">
        <is>
          <t>'2331</t>
        </is>
      </c>
      <c r="B239" s="0" t="inlineStr">
        <is>
          <t>PDA &gt; 안드로이드OS &gt; 풀터치(가성비)</t>
        </is>
      </c>
      <c r="C239" s="0" t="inlineStr">
        <is>
          <t>CT32</t>
        </is>
      </c>
      <c r="D239" s="0" t="inlineStr">
        <is>
          <t>Honeywell</t>
        </is>
      </c>
      <c r="F239" s="0" t="n">
        <v>1350000</v>
      </c>
    </row>
    <row r="240" hidden="1" s="12">
      <c r="A240" s="0" t="inlineStr">
        <is>
          <t>'2315</t>
        </is>
      </c>
      <c r="B240" s="0" t="inlineStr">
        <is>
          <t>PDA &gt; 액세서리/소모품 &gt; 포인트모바일</t>
        </is>
      </c>
      <c r="C240" s="0" t="inlineStr">
        <is>
          <t>PM45 GUN</t>
        </is>
      </c>
      <c r="D240" s="0" t="inlineStr">
        <is>
          <t>PointMobile</t>
        </is>
      </c>
      <c r="F240" s="0" t="n">
        <v>71500</v>
      </c>
    </row>
    <row r="241" hidden="1" s="12">
      <c r="A241" s="0" t="inlineStr">
        <is>
          <t>'2314</t>
        </is>
      </c>
      <c r="B241" s="0" t="inlineStr">
        <is>
          <t>PDA &gt; 액세서리/소모품 &gt; 포인트모바일</t>
        </is>
      </c>
      <c r="C241" s="0" t="inlineStr">
        <is>
          <t>PM45 듀얼슬롯크래들</t>
        </is>
      </c>
      <c r="D241" s="0" t="inlineStr">
        <is>
          <t>PointMobile</t>
        </is>
      </c>
      <c r="F241" s="0" t="n">
        <v>82500</v>
      </c>
    </row>
    <row r="242" hidden="1" s="12">
      <c r="A242" s="0" t="inlineStr">
        <is>
          <t>'2306</t>
        </is>
      </c>
      <c r="B242" s="0" t="inlineStr">
        <is>
          <t>PDA &gt; 안드로이드OS &gt; 풀터치(가성비)</t>
        </is>
      </c>
      <c r="C242" s="0" t="inlineStr">
        <is>
          <t>NLS-MT93</t>
        </is>
      </c>
      <c r="D242" s="0" t="inlineStr">
        <is>
          <t>Newland</t>
        </is>
      </c>
      <c r="F242" s="0" t="n">
        <v>0</v>
      </c>
    </row>
    <row r="243" hidden="1" s="12">
      <c r="A243" s="0" t="inlineStr">
        <is>
          <t>'2273</t>
        </is>
      </c>
      <c r="B243" s="0" t="inlineStr">
        <is>
          <t>PDA &gt; 액세서리/소모품 &gt; 포인트모바일</t>
        </is>
      </c>
      <c r="C243" s="0" t="inlineStr">
        <is>
          <t>PM45 스타일러스펜</t>
        </is>
      </c>
      <c r="D243" s="0" t="inlineStr">
        <is>
          <t>PointMobile</t>
        </is>
      </c>
      <c r="F243" s="0" t="n">
        <v>8800</v>
      </c>
    </row>
    <row r="244" hidden="1" s="12">
      <c r="A244" s="0" t="inlineStr">
        <is>
          <t>'2272</t>
        </is>
      </c>
      <c r="B244" s="0" t="inlineStr">
        <is>
          <t>PDA &gt; 액세서리/소모품 &gt; 포인트모바일</t>
        </is>
      </c>
      <c r="C244" s="0" t="inlineStr">
        <is>
          <t>PM45 표준형/대용량배터리</t>
        </is>
      </c>
      <c r="D244" s="0" t="inlineStr">
        <is>
          <t>PointMobile</t>
        </is>
      </c>
      <c r="F244" s="0" t="n">
        <v>66000</v>
      </c>
    </row>
    <row r="245" hidden="1" s="12">
      <c r="A245" s="0" t="inlineStr">
        <is>
          <t>'2264</t>
        </is>
      </c>
      <c r="B245" s="0" t="inlineStr">
        <is>
          <t>PDA &gt; 안드로이드OS &gt; RFID(UHF)</t>
        </is>
      </c>
      <c r="C245" s="0" t="inlineStr">
        <is>
          <t>X40 RFID</t>
        </is>
      </c>
      <c r="D245" s="0" t="inlineStr">
        <is>
          <t>BLUEBIRD</t>
        </is>
      </c>
      <c r="F245" s="0" t="n">
        <v>1320000</v>
      </c>
    </row>
    <row r="246" hidden="1" s="12">
      <c r="A246" s="0" t="inlineStr">
        <is>
          <t>'2261</t>
        </is>
      </c>
      <c r="B246" s="0" t="inlineStr">
        <is>
          <t>PDA &gt; 안드로이드OS &gt; 키패드(핸드헬드)</t>
        </is>
      </c>
      <c r="C246" s="0" t="inlineStr">
        <is>
          <t>PM68</t>
        </is>
      </c>
      <c r="D246" s="0" t="inlineStr">
        <is>
          <t>PointMobile</t>
        </is>
      </c>
      <c r="F246" s="0" t="n">
        <v>940000</v>
      </c>
    </row>
    <row r="247" hidden="1" s="12">
      <c r="A247" s="0" t="inlineStr">
        <is>
          <t>'2256</t>
        </is>
      </c>
      <c r="B247" s="0" t="inlineStr">
        <is>
          <t>PDA &gt; 안드로이드OS &gt; 방폭형</t>
        </is>
      </c>
      <c r="C247" s="0" t="inlineStr">
        <is>
          <t>S70(방폭형)</t>
        </is>
      </c>
      <c r="D247" s="0" t="inlineStr">
        <is>
          <t>BLUEBIRD</t>
        </is>
      </c>
      <c r="F247" s="0" t="n">
        <v>3740000</v>
      </c>
    </row>
    <row r="248" hidden="1" s="12">
      <c r="A248" s="0" t="inlineStr">
        <is>
          <t>'2227</t>
        </is>
      </c>
      <c r="B248" s="0" t="inlineStr">
        <is>
          <t>PDA &gt; 안드로이드OS &gt; 풀터치(가성비)</t>
        </is>
      </c>
      <c r="C248" s="0" t="inlineStr">
        <is>
          <t>SL20P</t>
        </is>
      </c>
      <c r="D248" s="0" t="inlineStr">
        <is>
          <t>M3mobile</t>
        </is>
      </c>
      <c r="F248" s="0" t="n">
        <v>800000</v>
      </c>
    </row>
    <row r="249" hidden="1" s="12">
      <c r="A249" s="0" t="inlineStr">
        <is>
          <t>'2207</t>
        </is>
      </c>
      <c r="B249" s="0" t="inlineStr">
        <is>
          <t>PDA &gt; 안드로이드OS &gt; 프리미엄풀터치</t>
        </is>
      </c>
      <c r="C249" s="0" t="inlineStr">
        <is>
          <t>NLS-MT95</t>
        </is>
      </c>
      <c r="D249" s="0" t="inlineStr">
        <is>
          <t>Newland</t>
        </is>
      </c>
      <c r="F249" s="0" t="n">
        <v>1200000</v>
      </c>
    </row>
    <row r="250" hidden="1" s="12">
      <c r="A250" s="0" t="inlineStr">
        <is>
          <t>'2204</t>
        </is>
      </c>
      <c r="B250" s="0" t="inlineStr">
        <is>
          <t>PDA &gt; 안드로이드OS &gt; 프리미엄풀터치</t>
        </is>
      </c>
      <c r="C250" s="0" t="inlineStr">
        <is>
          <t>S70</t>
        </is>
      </c>
      <c r="D250" s="0" t="inlineStr">
        <is>
          <t>BLUEBIRD</t>
        </is>
      </c>
      <c r="F250" s="0" t="n">
        <v>1540000</v>
      </c>
    </row>
    <row r="251" hidden="1" s="12">
      <c r="A251" s="0" t="inlineStr">
        <is>
          <t>'2203</t>
        </is>
      </c>
      <c r="B251" s="0" t="inlineStr">
        <is>
          <t>PDA &gt; 안드로이드OS &gt; 기타</t>
        </is>
      </c>
      <c r="C251" s="0" t="inlineStr">
        <is>
          <t>P10</t>
        </is>
      </c>
      <c r="D251" s="0" t="inlineStr">
        <is>
          <t>PointMobile</t>
        </is>
      </c>
      <c r="F251" s="0" t="n">
        <v>900000</v>
      </c>
    </row>
    <row r="252" hidden="1" s="12">
      <c r="A252" s="0" t="inlineStr">
        <is>
          <t>'2192</t>
        </is>
      </c>
      <c r="B252" s="0" t="inlineStr">
        <is>
          <t>PDA &gt; 윈도우OS &gt; 윈도우 모바일</t>
        </is>
      </c>
      <c r="C252" s="0" t="inlineStr">
        <is>
          <t>AT880</t>
        </is>
      </c>
      <c r="D252" s="0" t="inlineStr">
        <is>
          <t>ATID</t>
        </is>
      </c>
      <c r="F252" s="0" t="n">
        <v>1100000</v>
      </c>
    </row>
    <row r="253" hidden="1" s="12">
      <c r="A253" s="0" t="inlineStr">
        <is>
          <t>'2189</t>
        </is>
      </c>
      <c r="B253" s="0" t="inlineStr">
        <is>
          <t>PDA &gt; 액세서리/소모품 &gt; 포인트모바일</t>
        </is>
      </c>
      <c r="C253" s="0" t="inlineStr">
        <is>
          <t>PM95 스타일러스펜</t>
        </is>
      </c>
      <c r="D253" s="0" t="inlineStr">
        <is>
          <t>PointMobile</t>
        </is>
      </c>
      <c r="F253" s="0" t="n">
        <v>8800</v>
      </c>
    </row>
    <row r="254" hidden="1" s="12">
      <c r="A254" s="0" t="inlineStr">
        <is>
          <t>'2188</t>
        </is>
      </c>
      <c r="B254" s="0" t="inlineStr">
        <is>
          <t>PDA &gt; 액세서리/소모품 &gt; 포인트모바일</t>
        </is>
      </c>
      <c r="C254" s="0" t="inlineStr">
        <is>
          <t>PM95 표준형/대용량배터리</t>
        </is>
      </c>
      <c r="D254" s="0" t="inlineStr">
        <is>
          <t>PointMobile</t>
        </is>
      </c>
      <c r="F254" s="0" t="n">
        <v>88000</v>
      </c>
    </row>
    <row r="255" hidden="1" s="12">
      <c r="A255" s="0" t="inlineStr">
        <is>
          <t>'2187</t>
        </is>
      </c>
      <c r="B255" s="0" t="inlineStr">
        <is>
          <t>PDA &gt; 액세서리/소모품 &gt; 포인트모바일</t>
        </is>
      </c>
      <c r="C255" s="0" t="inlineStr">
        <is>
          <t>PM95 GUN</t>
        </is>
      </c>
      <c r="D255" s="0" t="inlineStr">
        <is>
          <t>PointMobile</t>
        </is>
      </c>
      <c r="F255" s="0" t="n">
        <v>71500</v>
      </c>
    </row>
    <row r="256">
      <c r="A256" s="0" t="inlineStr">
        <is>
          <t>'2180</t>
        </is>
      </c>
      <c r="B256" s="0" t="inlineStr">
        <is>
          <t>PDA &gt; 안드로이드OS &gt; 프리미엄풀터치</t>
        </is>
      </c>
      <c r="C256" s="0" t="inlineStr">
        <is>
          <t>TC53</t>
        </is>
      </c>
      <c r="D256" s="0" t="inlineStr">
        <is>
          <t>ZEBRA</t>
        </is>
      </c>
      <c r="F256" s="0" t="n">
        <v>2640000</v>
      </c>
    </row>
    <row r="257" hidden="1" s="12">
      <c r="A257" s="0" t="inlineStr">
        <is>
          <t>'2179</t>
        </is>
      </c>
      <c r="B257" s="0" t="inlineStr">
        <is>
          <t>PDA &gt; 안드로이드OS &gt; 풀터치(가성비)</t>
        </is>
      </c>
      <c r="C257" s="0" t="inlineStr">
        <is>
          <t>S20</t>
        </is>
      </c>
      <c r="D257" s="0" t="inlineStr">
        <is>
          <t>BLUEBIRD</t>
        </is>
      </c>
      <c r="F257" s="0" t="n">
        <v>1000000</v>
      </c>
    </row>
    <row r="258">
      <c r="A258" s="0" t="inlineStr">
        <is>
          <t>'2177</t>
        </is>
      </c>
      <c r="B258" s="0" t="inlineStr">
        <is>
          <t>PDA &gt; 액세서리/소모품 &gt; 지브라</t>
        </is>
      </c>
      <c r="C258" s="0" t="inlineStr">
        <is>
          <t>MC3300 표준형배터리</t>
        </is>
      </c>
      <c r="D258" s="0" t="inlineStr">
        <is>
          <t>ZEBRA</t>
        </is>
      </c>
      <c r="F258" s="0" t="n">
        <v>55000</v>
      </c>
    </row>
    <row r="259">
      <c r="A259" s="0" t="inlineStr">
        <is>
          <t>'2174</t>
        </is>
      </c>
      <c r="B259" s="0" t="inlineStr">
        <is>
          <t>PDA &gt; 안드로이드OS &gt; 키패드(핸드헬드)</t>
        </is>
      </c>
      <c r="C259" s="0" t="inlineStr">
        <is>
          <t>MC9400</t>
        </is>
      </c>
      <c r="D259" s="0" t="inlineStr">
        <is>
          <t>ZEBRA</t>
        </is>
      </c>
      <c r="F259" s="0" t="n">
        <v>3190000</v>
      </c>
    </row>
    <row r="260" hidden="1" s="12">
      <c r="A260" s="0" t="inlineStr">
        <is>
          <t>'2173</t>
        </is>
      </c>
      <c r="B260" s="0" t="inlineStr">
        <is>
          <t>PDA &gt; 안드로이드OS &gt; 프리미엄풀터치</t>
        </is>
      </c>
      <c r="C260" s="0" t="inlineStr">
        <is>
          <t>S50</t>
        </is>
      </c>
      <c r="D260" s="0" t="inlineStr">
        <is>
          <t>BLUEBIRD</t>
        </is>
      </c>
      <c r="F260" s="0" t="n">
        <v>1430000</v>
      </c>
    </row>
    <row r="261">
      <c r="A261" s="0" t="inlineStr">
        <is>
          <t>'2160</t>
        </is>
      </c>
      <c r="B261" s="0" t="inlineStr">
        <is>
          <t>PDA &gt; 안드로이드OS &gt; 키패드(핸드헬드)</t>
        </is>
      </c>
      <c r="C261" s="0" t="inlineStr">
        <is>
          <t>MC3400</t>
        </is>
      </c>
      <c r="D261" s="0" t="inlineStr">
        <is>
          <t>ZEBRA</t>
        </is>
      </c>
      <c r="F261" s="0" t="n">
        <v>2750000</v>
      </c>
    </row>
    <row r="262" hidden="1" s="12">
      <c r="A262" s="0" t="inlineStr">
        <is>
          <t>'2154</t>
        </is>
      </c>
      <c r="B262" s="0" t="inlineStr">
        <is>
          <t>PDA &gt; 안드로이드OS &gt; 프리미엄풀터치</t>
        </is>
      </c>
      <c r="C262" s="0" t="inlineStr">
        <is>
          <t>CT60NI</t>
        </is>
      </c>
      <c r="D262" s="0" t="inlineStr">
        <is>
          <t>Honeywell</t>
        </is>
      </c>
      <c r="F262" s="0" t="n">
        <v>3850000</v>
      </c>
    </row>
    <row r="263" hidden="1" s="12">
      <c r="A263" s="0" t="inlineStr">
        <is>
          <t>'2086</t>
        </is>
      </c>
      <c r="B263" s="0" t="inlineStr">
        <is>
          <t>PDA &gt; 안드로이드OS &gt; 키패드(핸드헬드)</t>
        </is>
      </c>
      <c r="C263" s="0" t="inlineStr">
        <is>
          <t>DS50</t>
        </is>
      </c>
      <c r="D263" s="0" t="inlineStr">
        <is>
          <t>DSIC</t>
        </is>
      </c>
      <c r="F263" s="0" t="n">
        <v>960000</v>
      </c>
    </row>
    <row r="264" hidden="1" s="12">
      <c r="A264" s="0" t="inlineStr">
        <is>
          <t>'2071</t>
        </is>
      </c>
      <c r="B264" s="0" t="inlineStr">
        <is>
          <t>PDA &gt; 액세서리/소모품 &gt; 포인트모바일</t>
        </is>
      </c>
      <c r="C264" s="0" t="inlineStr">
        <is>
          <t>PM95 싱글슬롯크래들</t>
        </is>
      </c>
      <c r="D264" s="0" t="inlineStr">
        <is>
          <t>PointMobile</t>
        </is>
      </c>
      <c r="F264" s="0" t="n">
        <v>82500</v>
      </c>
    </row>
    <row r="265" hidden="1" s="12">
      <c r="A265" s="0" t="inlineStr">
        <is>
          <t>'2070</t>
        </is>
      </c>
      <c r="B265" s="0" t="inlineStr">
        <is>
          <t>PDA &gt; 액세서리/소모품 &gt; 포인트모바일</t>
        </is>
      </c>
      <c r="C265" s="0" t="inlineStr">
        <is>
          <t>PM86 표준형/대용량배터리</t>
        </is>
      </c>
      <c r="D265" s="0" t="inlineStr">
        <is>
          <t>PointMobile</t>
        </is>
      </c>
      <c r="F265" s="0" t="n">
        <v>66000</v>
      </c>
    </row>
    <row r="266" hidden="1" s="12">
      <c r="A266" s="0" t="inlineStr">
        <is>
          <t>'2069</t>
        </is>
      </c>
      <c r="B266" s="0" t="inlineStr">
        <is>
          <t>PDA &gt; 액세서리/소모품 &gt; 포인트모바일</t>
        </is>
      </c>
      <c r="C266" s="0" t="inlineStr">
        <is>
          <t>PM86 스타일러스펜</t>
        </is>
      </c>
      <c r="D266" s="0" t="inlineStr">
        <is>
          <t>PointMobile</t>
        </is>
      </c>
      <c r="F266" s="0" t="n">
        <v>8800</v>
      </c>
    </row>
    <row r="267" hidden="1" s="12">
      <c r="A267" s="0" t="inlineStr">
        <is>
          <t>'2068</t>
        </is>
      </c>
      <c r="B267" s="0" t="inlineStr">
        <is>
          <t>PDA &gt; RFID리더기</t>
        </is>
      </c>
      <c r="C267" s="0" t="inlineStr">
        <is>
          <t>RF88 RFID 리더기</t>
        </is>
      </c>
      <c r="D267" s="0" t="inlineStr">
        <is>
          <t>PointMobile</t>
        </is>
      </c>
      <c r="F267" s="0" t="n">
        <v>880000</v>
      </c>
    </row>
    <row r="268" hidden="1" s="12">
      <c r="A268" s="0" t="inlineStr">
        <is>
          <t>'2067</t>
        </is>
      </c>
      <c r="B268" s="0" t="inlineStr">
        <is>
          <t>PDA &gt; 액세서리/소모품 &gt; 포인트모바일</t>
        </is>
      </c>
      <c r="C268" s="0" t="inlineStr">
        <is>
          <t>PM84 스타일러스펜</t>
        </is>
      </c>
      <c r="D268" s="0" t="inlineStr">
        <is>
          <t>PointMobile</t>
        </is>
      </c>
      <c r="F268" s="0" t="n">
        <v>8800</v>
      </c>
    </row>
    <row r="269" hidden="1" s="12">
      <c r="A269" s="0" t="inlineStr">
        <is>
          <t>'2062</t>
        </is>
      </c>
      <c r="B269" s="0" t="inlineStr">
        <is>
          <t>PDA &gt; 액세서리/소모품 &gt; M3모바일</t>
        </is>
      </c>
      <c r="C269" s="0" t="inlineStr">
        <is>
          <t>UL20 GUN</t>
        </is>
      </c>
      <c r="D269" s="0" t="inlineStr">
        <is>
          <t>M3mobile</t>
        </is>
      </c>
      <c r="F269" s="0" t="n">
        <v>88000</v>
      </c>
    </row>
    <row r="270" hidden="1" s="12">
      <c r="A270" s="0" t="inlineStr">
        <is>
          <t>'2046</t>
        </is>
      </c>
      <c r="B270" s="0" t="inlineStr">
        <is>
          <t>PDA &gt; 액세서리/소모품 &gt; M3모바일</t>
        </is>
      </c>
      <c r="C270" s="0" t="inlineStr">
        <is>
          <t>US20 표준형 배터리</t>
        </is>
      </c>
      <c r="D270" s="0" t="inlineStr">
        <is>
          <t>M3mobile</t>
        </is>
      </c>
      <c r="F270" s="0" t="n">
        <v>45000</v>
      </c>
    </row>
    <row r="271" hidden="1" s="12">
      <c r="A271" s="0" t="inlineStr">
        <is>
          <t>'2045</t>
        </is>
      </c>
      <c r="B271" s="0" t="inlineStr">
        <is>
          <t>PDA &gt; 액세서리/소모품 &gt; M3모바일</t>
        </is>
      </c>
      <c r="C271" s="0" t="inlineStr">
        <is>
          <t>UL20 표준형 배터리</t>
        </is>
      </c>
      <c r="D271" s="0" t="inlineStr">
        <is>
          <t>M3mobile</t>
        </is>
      </c>
      <c r="F271" s="0" t="n">
        <v>45000</v>
      </c>
    </row>
    <row r="272" hidden="1" s="12">
      <c r="A272" s="0" t="inlineStr">
        <is>
          <t>'2032</t>
        </is>
      </c>
      <c r="B272" s="0" t="inlineStr">
        <is>
          <t>PDA &gt; RFID리더기</t>
        </is>
      </c>
      <c r="C272" s="0" t="inlineStr">
        <is>
          <t>RF750 RFID 리더기</t>
        </is>
      </c>
      <c r="D272" s="0" t="inlineStr">
        <is>
          <t>PointMobile</t>
        </is>
      </c>
      <c r="F272" s="0" t="n">
        <v>880000</v>
      </c>
    </row>
    <row r="273" hidden="1" s="12">
      <c r="A273" s="0" t="inlineStr">
        <is>
          <t>'2026</t>
        </is>
      </c>
      <c r="B273" s="0" t="inlineStr">
        <is>
          <t>PDA &gt; 액세서리/소모품 &gt; 포인트모바일</t>
        </is>
      </c>
      <c r="C273" s="0" t="inlineStr">
        <is>
          <t>PM84 표준형/대용량배터리</t>
        </is>
      </c>
      <c r="D273" s="0" t="inlineStr">
        <is>
          <t>PointMobile</t>
        </is>
      </c>
      <c r="F273" s="0" t="n">
        <v>60500</v>
      </c>
    </row>
    <row r="274" hidden="1" s="12">
      <c r="A274" s="0" t="inlineStr">
        <is>
          <t>'2021</t>
        </is>
      </c>
      <c r="B274" s="0" t="inlineStr">
        <is>
          <t>PDA &gt; 안드로이드OS &gt; 롱레인지타입</t>
        </is>
      </c>
      <c r="C274" s="0" t="inlineStr">
        <is>
          <t>CT45XP(단종)</t>
        </is>
      </c>
      <c r="D274" s="0" t="inlineStr">
        <is>
          <t>Honeywell</t>
        </is>
      </c>
      <c r="F274" s="0" t="n">
        <v>2000000</v>
      </c>
    </row>
    <row r="275">
      <c r="A275" s="0" t="inlineStr">
        <is>
          <t>'2019</t>
        </is>
      </c>
      <c r="B275" s="0" t="inlineStr">
        <is>
          <t>PDA &gt; 안드로이드OS &gt; 프리미엄풀터치</t>
        </is>
      </c>
      <c r="C275" s="0" t="inlineStr">
        <is>
          <t>TC22 / TC27</t>
        </is>
      </c>
      <c r="D275" s="0" t="inlineStr">
        <is>
          <t>ZEBRA</t>
        </is>
      </c>
      <c r="F275" s="0" t="n">
        <v>979000</v>
      </c>
    </row>
    <row r="276" hidden="1" s="12">
      <c r="A276" s="0" t="inlineStr">
        <is>
          <t>'2017</t>
        </is>
      </c>
      <c r="B276" s="0" t="inlineStr">
        <is>
          <t>PDA &gt; 액세서리/소모품 &gt; 포인트모바일</t>
        </is>
      </c>
      <c r="C276" s="0" t="inlineStr">
        <is>
          <t>PM84 GUN</t>
        </is>
      </c>
      <c r="D276" s="0" t="inlineStr">
        <is>
          <t>PointMobile</t>
        </is>
      </c>
      <c r="F276" s="0" t="n">
        <v>71500</v>
      </c>
    </row>
    <row r="277" hidden="1" s="12">
      <c r="A277" s="0" t="inlineStr">
        <is>
          <t>'2016</t>
        </is>
      </c>
      <c r="B277" s="0" t="inlineStr">
        <is>
          <t>PDA &gt; 액세서리/소모품 &gt; 포인트모바일</t>
        </is>
      </c>
      <c r="C277" s="0" t="inlineStr">
        <is>
          <t>PM84 싱글슬롯크래들</t>
        </is>
      </c>
      <c r="D277" s="0" t="inlineStr">
        <is>
          <t>PointMobile</t>
        </is>
      </c>
      <c r="F277" s="0" t="n">
        <v>82500</v>
      </c>
    </row>
    <row r="278" hidden="1" s="12">
      <c r="A278" s="0" t="inlineStr">
        <is>
          <t>'1991</t>
        </is>
      </c>
      <c r="B278" s="0" t="inlineStr">
        <is>
          <t>PDA &gt; 안드로이드OS &gt; 프리미엄풀터치</t>
        </is>
      </c>
      <c r="C278" s="0" t="inlineStr">
        <is>
          <t>PM95(2D)</t>
        </is>
      </c>
      <c r="D278" s="0" t="inlineStr">
        <is>
          <t>PointMobile</t>
        </is>
      </c>
      <c r="F278" s="0" t="n">
        <v>1000000</v>
      </c>
    </row>
    <row r="279" hidden="1" s="12">
      <c r="A279" s="0" t="inlineStr">
        <is>
          <t>'1981</t>
        </is>
      </c>
      <c r="B279" s="0" t="inlineStr">
        <is>
          <t>PDA &gt; 액세서리/소모품 &gt; 포인트모바일</t>
        </is>
      </c>
      <c r="C279" s="0" t="inlineStr">
        <is>
          <t>PM80 싱글슬롯크래들 (단종)</t>
        </is>
      </c>
      <c r="F279" s="0" t="n">
        <v>0</v>
      </c>
    </row>
    <row r="280" hidden="1" s="12">
      <c r="A280" s="0" t="inlineStr">
        <is>
          <t>'1980</t>
        </is>
      </c>
      <c r="B280" s="0" t="inlineStr">
        <is>
          <t>PDA &gt; 안드로이드OS &gt; 풀터치(가성비)</t>
        </is>
      </c>
      <c r="C280" s="0" t="inlineStr">
        <is>
          <t>PM84(2D)</t>
        </is>
      </c>
      <c r="D280" s="0" t="inlineStr">
        <is>
          <t>PointMobile</t>
        </is>
      </c>
      <c r="F280" s="0" t="n">
        <v>800000</v>
      </c>
    </row>
    <row r="281" hidden="1" s="12">
      <c r="A281" s="0" t="inlineStr">
        <is>
          <t>'1977</t>
        </is>
      </c>
      <c r="B281" s="0" t="inlineStr">
        <is>
          <t>PDA &gt; 안드로이드OS &gt; 프리미엄풀터치</t>
        </is>
      </c>
      <c r="C281" s="0" t="inlineStr">
        <is>
          <t>DS60S</t>
        </is>
      </c>
      <c r="D281" s="0" t="inlineStr">
        <is>
          <t>DSIC</t>
        </is>
      </c>
      <c r="F281" s="0" t="n">
        <v>940000</v>
      </c>
    </row>
    <row r="282" hidden="1" s="12">
      <c r="A282" s="0" t="inlineStr">
        <is>
          <t>'1972</t>
        </is>
      </c>
      <c r="B282" s="0" t="inlineStr">
        <is>
          <t>PDA &gt; 액세서리/소모품 &gt; 하니웰</t>
        </is>
      </c>
      <c r="C282" s="0" t="inlineStr">
        <is>
          <t>EDA52 베터리</t>
        </is>
      </c>
      <c r="D282" s="0" t="inlineStr">
        <is>
          <t>Honeywell</t>
        </is>
      </c>
      <c r="F282" s="0" t="n">
        <v>99000</v>
      </c>
    </row>
    <row r="283" hidden="1" s="12">
      <c r="A283" s="0" t="inlineStr">
        <is>
          <t>'1971</t>
        </is>
      </c>
      <c r="B283" s="0" t="inlineStr">
        <is>
          <t>PDA &gt; 액세서리/소모품 &gt; 하니웰</t>
        </is>
      </c>
      <c r="C283" s="0" t="inlineStr">
        <is>
          <t>EDA52 크래들</t>
        </is>
      </c>
      <c r="D283" s="0" t="inlineStr">
        <is>
          <t>Honeywell</t>
        </is>
      </c>
      <c r="F283" s="0" t="n">
        <v>165000</v>
      </c>
    </row>
    <row r="284" hidden="1" s="12">
      <c r="A284" s="0" t="inlineStr">
        <is>
          <t>'1969</t>
        </is>
      </c>
      <c r="B284" s="0" t="inlineStr">
        <is>
          <t>PDA &gt; RFID리더기</t>
        </is>
      </c>
      <c r="C284" s="0" t="inlineStr">
        <is>
          <t>M3 RFID GUN</t>
        </is>
      </c>
      <c r="D284" s="0" t="inlineStr">
        <is>
          <t>M3mobile</t>
        </is>
      </c>
      <c r="F284" s="0" t="n">
        <v>660000</v>
      </c>
    </row>
    <row r="285" hidden="1" s="12">
      <c r="A285" s="0" t="inlineStr">
        <is>
          <t>'1966</t>
        </is>
      </c>
      <c r="B285" s="0" t="inlineStr">
        <is>
          <t>PDA &gt; 액세서리/소모품 &gt; 하니웰</t>
        </is>
      </c>
      <c r="C285" s="0" t="inlineStr">
        <is>
          <t>EDA52 전용 GUN</t>
        </is>
      </c>
      <c r="D285" s="0" t="inlineStr">
        <is>
          <t>Honeywell</t>
        </is>
      </c>
      <c r="F285" s="0" t="n">
        <v>110000</v>
      </c>
    </row>
    <row r="286">
      <c r="A286" s="0" t="inlineStr">
        <is>
          <t>'1960</t>
        </is>
      </c>
      <c r="B286" s="0" t="inlineStr">
        <is>
          <t>PDA &gt; 안드로이드OS &gt; 방폭형</t>
        </is>
      </c>
      <c r="C286" s="0" t="inlineStr">
        <is>
          <t>TC77ex-NI</t>
        </is>
      </c>
      <c r="D286" s="0" t="inlineStr">
        <is>
          <t>ZEBRA</t>
        </is>
      </c>
      <c r="F286" s="0" t="n">
        <v>3850000</v>
      </c>
    </row>
    <row r="287">
      <c r="A287" s="0" t="inlineStr">
        <is>
          <t>'1959</t>
        </is>
      </c>
      <c r="B287" s="0" t="inlineStr">
        <is>
          <t>PDA &gt; RFID리더기</t>
        </is>
      </c>
      <c r="C287" s="0" t="inlineStr">
        <is>
          <t>RFD40 RFID 리더기</t>
        </is>
      </c>
      <c r="D287" s="0" t="inlineStr">
        <is>
          <t>ZEBRA</t>
        </is>
      </c>
      <c r="F287" s="0" t="n">
        <v>1650000</v>
      </c>
    </row>
    <row r="288" hidden="1" s="12">
      <c r="A288" s="0" t="inlineStr">
        <is>
          <t>'1955</t>
        </is>
      </c>
      <c r="B288" s="0" t="inlineStr">
        <is>
          <t>PDA &gt; 액세서리/소모품 &gt; 포인트모바일</t>
        </is>
      </c>
      <c r="C288" s="0" t="inlineStr">
        <is>
          <t>PM75/85/90 표준형배터리</t>
        </is>
      </c>
      <c r="D288" s="0" t="inlineStr">
        <is>
          <t>PointMobile</t>
        </is>
      </c>
      <c r="F288" s="0" t="n">
        <v>88000</v>
      </c>
    </row>
    <row r="289">
      <c r="A289" s="0" t="inlineStr">
        <is>
          <t>'1368</t>
        </is>
      </c>
      <c r="B289" s="0" t="inlineStr">
        <is>
          <t>PDA</t>
        </is>
      </c>
      <c r="C289" s="0" t="inlineStr">
        <is>
          <t>TC15</t>
        </is>
      </c>
      <c r="D289" s="0" t="inlineStr">
        <is>
          <t>ZEBRA</t>
        </is>
      </c>
      <c r="F289" s="0" t="n">
        <v>0</v>
      </c>
    </row>
    <row r="290" hidden="1" s="12">
      <c r="A290" s="0" t="inlineStr">
        <is>
          <t>'</t>
        </is>
      </c>
    </row>
    <row r="291" hidden="1" s="12">
      <c r="A291" s="0" t="inlineStr">
        <is>
          <t>'</t>
        </is>
      </c>
    </row>
    <row r="292" hidden="1" s="12">
      <c r="A292" s="0" t="inlineStr">
        <is>
          <t>'</t>
        </is>
      </c>
    </row>
    <row r="293" hidden="1" s="12">
      <c r="A293" s="0" t="inlineStr">
        <is>
          <t>'</t>
        </is>
      </c>
    </row>
    <row r="294" hidden="1" s="12">
      <c r="A294" s="0" t="inlineStr">
        <is>
          <t>'</t>
        </is>
      </c>
    </row>
    <row r="295" hidden="1" s="12">
      <c r="A295" s="0" t="inlineStr">
        <is>
          <t>'</t>
        </is>
      </c>
    </row>
    <row r="296" hidden="1" s="12">
      <c r="A296" s="0" t="inlineStr">
        <is>
          <t>'</t>
        </is>
      </c>
    </row>
    <row r="297" hidden="1" s="12">
      <c r="A297" s="0" t="inlineStr">
        <is>
          <t>'</t>
        </is>
      </c>
    </row>
    <row r="298" hidden="1" s="12">
      <c r="A298" s="0" t="inlineStr">
        <is>
          <t>'</t>
        </is>
      </c>
    </row>
    <row r="299" hidden="1" s="12">
      <c r="A299" s="0" t="inlineStr">
        <is>
          <t>'</t>
        </is>
      </c>
    </row>
    <row r="300" hidden="1" s="12">
      <c r="A300" s="0" t="inlineStr">
        <is>
          <t>'</t>
        </is>
      </c>
    </row>
    <row r="301" hidden="1" s="12">
      <c r="A301" s="0" t="inlineStr">
        <is>
          <t>'</t>
        </is>
      </c>
    </row>
    <row r="302" hidden="1" s="12">
      <c r="A302" s="0" t="inlineStr">
        <is>
          <t>'</t>
        </is>
      </c>
    </row>
    <row r="303" hidden="1" s="12">
      <c r="A303" s="0" t="inlineStr">
        <is>
          <t>'</t>
        </is>
      </c>
    </row>
    <row r="304" hidden="1" s="12">
      <c r="A304" s="0" t="inlineStr">
        <is>
          <t>'</t>
        </is>
      </c>
    </row>
    <row r="305" hidden="1" s="12">
      <c r="A305" s="0" t="inlineStr">
        <is>
          <t>'</t>
        </is>
      </c>
    </row>
    <row r="306" hidden="1" s="12">
      <c r="A306" s="0" t="inlineStr">
        <is>
          <t>'</t>
        </is>
      </c>
    </row>
    <row r="307" hidden="1" s="12">
      <c r="A307" s="0" t="inlineStr">
        <is>
          <t>'</t>
        </is>
      </c>
    </row>
    <row r="308" hidden="1" s="12">
      <c r="A308" s="0" t="inlineStr">
        <is>
          <t>'</t>
        </is>
      </c>
    </row>
    <row r="309" hidden="1" s="12">
      <c r="A309" s="0" t="inlineStr">
        <is>
          <t>'</t>
        </is>
      </c>
    </row>
    <row r="310" hidden="1" s="12">
      <c r="A310" s="0" t="inlineStr">
        <is>
          <t>'</t>
        </is>
      </c>
    </row>
    <row r="311" hidden="1" s="12">
      <c r="A311" s="0" t="inlineStr">
        <is>
          <t>'</t>
        </is>
      </c>
    </row>
    <row r="312" hidden="1" s="12">
      <c r="A312" s="0" t="inlineStr">
        <is>
          <t>'</t>
        </is>
      </c>
    </row>
    <row r="313" hidden="1" s="12">
      <c r="A313" s="0" t="inlineStr">
        <is>
          <t>'</t>
        </is>
      </c>
    </row>
    <row r="314" hidden="1" s="12">
      <c r="A314" s="0" t="inlineStr">
        <is>
          <t>'</t>
        </is>
      </c>
    </row>
    <row r="315" hidden="1" s="12">
      <c r="A315" s="0" t="inlineStr">
        <is>
          <t>'</t>
        </is>
      </c>
    </row>
    <row r="316" hidden="1" s="12">
      <c r="A316" s="0" t="inlineStr">
        <is>
          <t>'</t>
        </is>
      </c>
    </row>
    <row r="317" hidden="1" s="12">
      <c r="A317" s="0" t="inlineStr">
        <is>
          <t>'</t>
        </is>
      </c>
    </row>
    <row r="318" hidden="1" s="12">
      <c r="A318" s="0" t="inlineStr">
        <is>
          <t>'</t>
        </is>
      </c>
    </row>
    <row r="319" hidden="1" s="12">
      <c r="A319" s="0" t="inlineStr">
        <is>
          <t>'</t>
        </is>
      </c>
    </row>
    <row r="320" hidden="1" s="12">
      <c r="A320" s="0" t="inlineStr">
        <is>
          <t>'</t>
        </is>
      </c>
    </row>
    <row r="321" hidden="1" s="12">
      <c r="A321" s="0" t="inlineStr">
        <is>
          <t>'</t>
        </is>
      </c>
    </row>
    <row r="322" hidden="1" s="12">
      <c r="A322" s="0" t="inlineStr">
        <is>
          <t>'</t>
        </is>
      </c>
    </row>
    <row r="323" hidden="1" s="12">
      <c r="A323" s="0" t="inlineStr">
        <is>
          <t>'</t>
        </is>
      </c>
    </row>
    <row r="324" hidden="1" s="12">
      <c r="A324" s="0" t="inlineStr">
        <is>
          <t>'</t>
        </is>
      </c>
    </row>
    <row r="325" hidden="1" s="12">
      <c r="A325" s="0" t="inlineStr">
        <is>
          <t>'</t>
        </is>
      </c>
    </row>
    <row r="326" hidden="1" s="12">
      <c r="A326" s="0" t="inlineStr">
        <is>
          <t>'</t>
        </is>
      </c>
    </row>
    <row r="327" hidden="1" s="12">
      <c r="A327" s="0" t="inlineStr">
        <is>
          <t>'</t>
        </is>
      </c>
    </row>
    <row r="328" hidden="1" s="12">
      <c r="A328" s="0" t="inlineStr">
        <is>
          <t>'</t>
        </is>
      </c>
    </row>
    <row r="329" hidden="1" s="12">
      <c r="A329" s="0" t="inlineStr">
        <is>
          <t>'</t>
        </is>
      </c>
    </row>
    <row r="330" hidden="1" s="12">
      <c r="A330" s="0" t="inlineStr">
        <is>
          <t>'</t>
        </is>
      </c>
    </row>
    <row r="331" hidden="1" s="12">
      <c r="A331" s="0" t="inlineStr">
        <is>
          <t>'</t>
        </is>
      </c>
    </row>
    <row r="332" hidden="1" s="12">
      <c r="A332" s="0" t="inlineStr">
        <is>
          <t>'</t>
        </is>
      </c>
    </row>
    <row r="333" hidden="1" s="12">
      <c r="A333" s="0" t="inlineStr">
        <is>
          <t>'</t>
        </is>
      </c>
    </row>
    <row r="334" hidden="1" s="12">
      <c r="A334" s="0" t="inlineStr">
        <is>
          <t>'</t>
        </is>
      </c>
    </row>
    <row r="335" hidden="1" s="12">
      <c r="A335" s="0" t="inlineStr">
        <is>
          <t>'</t>
        </is>
      </c>
    </row>
    <row r="336" hidden="1" s="12">
      <c r="A336" s="0" t="inlineStr">
        <is>
          <t>'</t>
        </is>
      </c>
    </row>
    <row r="337" hidden="1" s="12">
      <c r="A337" s="0" t="inlineStr">
        <is>
          <t>'</t>
        </is>
      </c>
    </row>
    <row r="338" hidden="1" s="12">
      <c r="A338" s="0" t="inlineStr">
        <is>
          <t>'</t>
        </is>
      </c>
    </row>
    <row r="339" hidden="1" s="12">
      <c r="A339" s="0" t="inlineStr">
        <is>
          <t>'</t>
        </is>
      </c>
    </row>
    <row r="340" hidden="1" s="12">
      <c r="A340" s="0" t="inlineStr">
        <is>
          <t>'</t>
        </is>
      </c>
    </row>
    <row r="341" hidden="1" s="12">
      <c r="A341" s="0" t="inlineStr">
        <is>
          <t>'</t>
        </is>
      </c>
    </row>
    <row r="342" hidden="1" s="12">
      <c r="A342" s="0" t="inlineStr">
        <is>
          <t>'</t>
        </is>
      </c>
    </row>
    <row r="343" hidden="1" s="12">
      <c r="A343" s="0" t="inlineStr">
        <is>
          <t>'</t>
        </is>
      </c>
    </row>
    <row r="344" hidden="1" s="12">
      <c r="A344" s="0" t="inlineStr">
        <is>
          <t>'</t>
        </is>
      </c>
    </row>
    <row r="345" hidden="1" s="12">
      <c r="A345" s="0" t="inlineStr">
        <is>
          <t>'</t>
        </is>
      </c>
    </row>
    <row r="346" hidden="1" s="12">
      <c r="A346" s="0" t="inlineStr">
        <is>
          <t>'</t>
        </is>
      </c>
    </row>
    <row r="347" hidden="1" s="12">
      <c r="A347" s="0" t="inlineStr">
        <is>
          <t>'</t>
        </is>
      </c>
    </row>
    <row r="348" hidden="1" s="12">
      <c r="A348" s="0" t="inlineStr">
        <is>
          <t>'</t>
        </is>
      </c>
    </row>
    <row r="349" hidden="1" s="12">
      <c r="A349" s="0" t="inlineStr">
        <is>
          <t>'</t>
        </is>
      </c>
    </row>
    <row r="350" hidden="1" s="12">
      <c r="A350" s="0" t="inlineStr">
        <is>
          <t>'</t>
        </is>
      </c>
    </row>
    <row r="351" hidden="1" s="12">
      <c r="A351" s="0" t="inlineStr">
        <is>
          <t>'</t>
        </is>
      </c>
    </row>
    <row r="352" hidden="1" s="12">
      <c r="A352" s="0" t="inlineStr">
        <is>
          <t>'</t>
        </is>
      </c>
    </row>
    <row r="353" hidden="1" s="12">
      <c r="A353" s="0" t="inlineStr">
        <is>
          <t>'</t>
        </is>
      </c>
    </row>
    <row r="354" hidden="1" s="12">
      <c r="A354" s="0" t="inlineStr">
        <is>
          <t>'</t>
        </is>
      </c>
    </row>
    <row r="355" hidden="1" s="12">
      <c r="A355" s="0" t="inlineStr">
        <is>
          <t>'</t>
        </is>
      </c>
    </row>
    <row r="356" hidden="1" s="12">
      <c r="A356" s="0" t="inlineStr">
        <is>
          <t>'</t>
        </is>
      </c>
    </row>
    <row r="357" hidden="1" s="12">
      <c r="A357" s="0" t="inlineStr">
        <is>
          <t>'</t>
        </is>
      </c>
    </row>
    <row r="358" hidden="1" s="12">
      <c r="A358" s="0" t="inlineStr">
        <is>
          <t>'</t>
        </is>
      </c>
    </row>
    <row r="359" hidden="1" s="12">
      <c r="A359" s="0" t="inlineStr">
        <is>
          <t>'</t>
        </is>
      </c>
    </row>
    <row r="360" hidden="1" s="12">
      <c r="A360" s="0" t="inlineStr">
        <is>
          <t>'</t>
        </is>
      </c>
    </row>
    <row r="361" hidden="1" s="12">
      <c r="A361" s="0" t="inlineStr">
        <is>
          <t>'</t>
        </is>
      </c>
    </row>
    <row r="362" hidden="1" s="12">
      <c r="A362" s="0" t="inlineStr">
        <is>
          <t>'</t>
        </is>
      </c>
    </row>
    <row r="363" hidden="1" s="12">
      <c r="A363" s="0" t="inlineStr">
        <is>
          <t>'</t>
        </is>
      </c>
    </row>
    <row r="364" hidden="1" s="12">
      <c r="A364" s="0" t="inlineStr">
        <is>
          <t>'</t>
        </is>
      </c>
    </row>
    <row r="365" hidden="1" s="12">
      <c r="A365" s="0" t="inlineStr">
        <is>
          <t>'</t>
        </is>
      </c>
    </row>
    <row r="366" hidden="1" s="12">
      <c r="A366" s="0" t="inlineStr">
        <is>
          <t>'</t>
        </is>
      </c>
    </row>
    <row r="367" hidden="1" s="12">
      <c r="A367" s="0" t="inlineStr">
        <is>
          <t>'</t>
        </is>
      </c>
    </row>
    <row r="368" hidden="1" s="12">
      <c r="A368" s="0" t="inlineStr">
        <is>
          <t>'</t>
        </is>
      </c>
    </row>
    <row r="369" hidden="1" s="12">
      <c r="A369" s="0" t="inlineStr">
        <is>
          <t>'</t>
        </is>
      </c>
    </row>
    <row r="370" hidden="1" s="12">
      <c r="A370" s="0" t="inlineStr">
        <is>
          <t>'</t>
        </is>
      </c>
    </row>
    <row r="371" hidden="1" s="12">
      <c r="A371" s="0" t="inlineStr">
        <is>
          <t>'</t>
        </is>
      </c>
    </row>
    <row r="372" hidden="1" s="12">
      <c r="A372" s="0" t="inlineStr">
        <is>
          <t>'</t>
        </is>
      </c>
    </row>
    <row r="373" hidden="1" s="12">
      <c r="A373" s="0" t="inlineStr">
        <is>
          <t>'</t>
        </is>
      </c>
    </row>
    <row r="374" hidden="1" s="12">
      <c r="A374" s="0" t="inlineStr">
        <is>
          <t>'</t>
        </is>
      </c>
    </row>
    <row r="375" hidden="1" s="12">
      <c r="A375" s="0" t="inlineStr">
        <is>
          <t>'</t>
        </is>
      </c>
    </row>
    <row r="376" hidden="1" s="12">
      <c r="A376" s="0" t="inlineStr">
        <is>
          <t>'</t>
        </is>
      </c>
    </row>
    <row r="377" hidden="1" s="12">
      <c r="A377" s="0" t="inlineStr">
        <is>
          <t>'</t>
        </is>
      </c>
    </row>
    <row r="378" hidden="1" s="12">
      <c r="A378" s="0" t="inlineStr">
        <is>
          <t>'</t>
        </is>
      </c>
    </row>
    <row r="379" hidden="1" s="12">
      <c r="A379" s="0" t="inlineStr">
        <is>
          <t>'</t>
        </is>
      </c>
    </row>
    <row r="380" hidden="1" s="12">
      <c r="A380" s="0" t="inlineStr">
        <is>
          <t>'</t>
        </is>
      </c>
    </row>
    <row r="381" hidden="1" s="12">
      <c r="A381" s="0" t="inlineStr">
        <is>
          <t>'</t>
        </is>
      </c>
    </row>
    <row r="382" hidden="1" s="12">
      <c r="A382" s="0" t="inlineStr">
        <is>
          <t>'</t>
        </is>
      </c>
    </row>
    <row r="383" hidden="1" s="12">
      <c r="A383" s="0" t="inlineStr">
        <is>
          <t>'</t>
        </is>
      </c>
    </row>
    <row r="384" hidden="1" s="12">
      <c r="A384" s="0" t="inlineStr">
        <is>
          <t>'</t>
        </is>
      </c>
    </row>
    <row r="385" hidden="1" s="12">
      <c r="A385" s="0" t="inlineStr">
        <is>
          <t>'</t>
        </is>
      </c>
    </row>
    <row r="386" hidden="1" s="12">
      <c r="A386" s="0" t="inlineStr">
        <is>
          <t>'</t>
        </is>
      </c>
    </row>
    <row r="387" hidden="1" s="12">
      <c r="A387" s="0" t="inlineStr">
        <is>
          <t>'</t>
        </is>
      </c>
    </row>
    <row r="388" hidden="1" s="12">
      <c r="A388" s="0" t="inlineStr">
        <is>
          <t>'</t>
        </is>
      </c>
    </row>
    <row r="389" hidden="1" s="12">
      <c r="A389" s="0" t="inlineStr">
        <is>
          <t>'</t>
        </is>
      </c>
    </row>
    <row r="390" hidden="1" s="12">
      <c r="A390" s="0" t="inlineStr">
        <is>
          <t>'</t>
        </is>
      </c>
    </row>
    <row r="391" hidden="1" s="12">
      <c r="A391" s="0" t="inlineStr">
        <is>
          <t>'</t>
        </is>
      </c>
    </row>
    <row r="392" hidden="1" s="12">
      <c r="A392" s="0" t="inlineStr">
        <is>
          <t>'</t>
        </is>
      </c>
    </row>
    <row r="393" hidden="1" s="12">
      <c r="A393" s="0" t="inlineStr">
        <is>
          <t>'</t>
        </is>
      </c>
    </row>
    <row r="394" hidden="1" s="12">
      <c r="A394" s="0" t="inlineStr">
        <is>
          <t>'</t>
        </is>
      </c>
    </row>
    <row r="395" hidden="1" s="12">
      <c r="A395" s="0" t="inlineStr">
        <is>
          <t>'</t>
        </is>
      </c>
    </row>
    <row r="396" hidden="1" s="12">
      <c r="A396" s="0" t="inlineStr">
        <is>
          <t>'</t>
        </is>
      </c>
    </row>
    <row r="397" hidden="1" s="12">
      <c r="A397" s="0" t="inlineStr">
        <is>
          <t>'</t>
        </is>
      </c>
    </row>
    <row r="398" hidden="1" s="12">
      <c r="A398" s="0" t="inlineStr">
        <is>
          <t>'</t>
        </is>
      </c>
    </row>
    <row r="399" hidden="1" s="12">
      <c r="A399" s="0" t="inlineStr">
        <is>
          <t>'</t>
        </is>
      </c>
    </row>
    <row r="400" hidden="1" s="12">
      <c r="A400" s="0" t="inlineStr">
        <is>
          <t>'</t>
        </is>
      </c>
    </row>
    <row r="401" hidden="1" s="12">
      <c r="A401" s="0" t="inlineStr">
        <is>
          <t>'</t>
        </is>
      </c>
    </row>
    <row r="402" hidden="1" s="12">
      <c r="A402" s="0" t="inlineStr">
        <is>
          <t>'</t>
        </is>
      </c>
    </row>
    <row r="403" hidden="1" s="12">
      <c r="A403" s="0" t="inlineStr">
        <is>
          <t>'</t>
        </is>
      </c>
    </row>
    <row r="404" hidden="1" s="12">
      <c r="A404" s="0" t="inlineStr">
        <is>
          <t>'</t>
        </is>
      </c>
    </row>
    <row r="405" hidden="1" s="12">
      <c r="A405" s="0" t="inlineStr">
        <is>
          <t>'</t>
        </is>
      </c>
    </row>
    <row r="406" hidden="1" s="12">
      <c r="A406" s="0" t="inlineStr">
        <is>
          <t>'</t>
        </is>
      </c>
    </row>
    <row r="407" hidden="1" s="12">
      <c r="A407" s="0" t="inlineStr">
        <is>
          <t>'</t>
        </is>
      </c>
    </row>
    <row r="408" hidden="1" s="12">
      <c r="A408" s="0" t="inlineStr">
        <is>
          <t>'</t>
        </is>
      </c>
    </row>
    <row r="409" hidden="1" s="12">
      <c r="A409" s="0" t="inlineStr">
        <is>
          <t>'</t>
        </is>
      </c>
    </row>
    <row r="410" hidden="1" s="12">
      <c r="A410" s="0" t="inlineStr">
        <is>
          <t>'</t>
        </is>
      </c>
    </row>
    <row r="411" hidden="1" s="12">
      <c r="A411" s="0" t="inlineStr">
        <is>
          <t>'</t>
        </is>
      </c>
    </row>
    <row r="412" hidden="1" s="12">
      <c r="A412" s="0" t="inlineStr">
        <is>
          <t>'</t>
        </is>
      </c>
    </row>
    <row r="413" hidden="1" s="12">
      <c r="A413" s="0" t="inlineStr">
        <is>
          <t>'</t>
        </is>
      </c>
    </row>
    <row r="414" hidden="1" s="12">
      <c r="A414" s="0" t="inlineStr">
        <is>
          <t>'</t>
        </is>
      </c>
    </row>
    <row r="415" hidden="1" s="12">
      <c r="A415" s="0" t="inlineStr">
        <is>
          <t>'</t>
        </is>
      </c>
    </row>
    <row r="416" hidden="1" s="12">
      <c r="A416" s="0" t="inlineStr">
        <is>
          <t>'</t>
        </is>
      </c>
    </row>
    <row r="417" hidden="1" s="12">
      <c r="A417" s="0" t="inlineStr">
        <is>
          <t>'</t>
        </is>
      </c>
    </row>
    <row r="418" hidden="1" s="12">
      <c r="A418" s="0" t="inlineStr">
        <is>
          <t>'</t>
        </is>
      </c>
    </row>
    <row r="419" hidden="1" s="12">
      <c r="A419" s="0" t="inlineStr">
        <is>
          <t>'</t>
        </is>
      </c>
    </row>
    <row r="420" hidden="1" s="12">
      <c r="A420" s="0" t="inlineStr">
        <is>
          <t>'</t>
        </is>
      </c>
    </row>
    <row r="421" hidden="1" s="12">
      <c r="A421" s="0" t="inlineStr">
        <is>
          <t>'</t>
        </is>
      </c>
    </row>
    <row r="422" hidden="1" s="12">
      <c r="A422" s="0" t="inlineStr">
        <is>
          <t>'</t>
        </is>
      </c>
    </row>
    <row r="423" hidden="1" s="12">
      <c r="A423" s="0" t="inlineStr">
        <is>
          <t>'</t>
        </is>
      </c>
    </row>
    <row r="424" hidden="1" s="12">
      <c r="A424" s="0" t="inlineStr">
        <is>
          <t>'</t>
        </is>
      </c>
    </row>
    <row r="425" hidden="1" s="12">
      <c r="A425" s="0" t="inlineStr">
        <is>
          <t>'</t>
        </is>
      </c>
    </row>
    <row r="426" hidden="1" s="12">
      <c r="A426" s="0" t="inlineStr">
        <is>
          <t>'</t>
        </is>
      </c>
    </row>
    <row r="427" hidden="1" s="12">
      <c r="A427" s="0" t="inlineStr">
        <is>
          <t>'</t>
        </is>
      </c>
    </row>
    <row r="428" hidden="1" s="12">
      <c r="A428" s="0" t="inlineStr">
        <is>
          <t>'</t>
        </is>
      </c>
    </row>
    <row r="429" hidden="1" s="12">
      <c r="A429" s="0" t="inlineStr">
        <is>
          <t>'</t>
        </is>
      </c>
    </row>
    <row r="430" hidden="1" s="12">
      <c r="A430" s="0" t="inlineStr">
        <is>
          <t>'</t>
        </is>
      </c>
    </row>
    <row r="431" hidden="1" s="12">
      <c r="A431" s="0" t="inlineStr">
        <is>
          <t>'</t>
        </is>
      </c>
    </row>
    <row r="432" hidden="1" s="12">
      <c r="A432" s="0" t="inlineStr">
        <is>
          <t>'</t>
        </is>
      </c>
    </row>
    <row r="433" hidden="1" s="12">
      <c r="A433" s="0" t="inlineStr">
        <is>
          <t>'</t>
        </is>
      </c>
    </row>
    <row r="434" hidden="1" s="12">
      <c r="A434" s="0" t="inlineStr">
        <is>
          <t>'</t>
        </is>
      </c>
    </row>
    <row r="435" hidden="1" s="12">
      <c r="A435" s="0" t="inlineStr">
        <is>
          <t>'</t>
        </is>
      </c>
    </row>
    <row r="436" hidden="1" s="12">
      <c r="A436" s="0" t="inlineStr">
        <is>
          <t>'</t>
        </is>
      </c>
    </row>
    <row r="437" hidden="1" s="12">
      <c r="A437" s="0" t="inlineStr">
        <is>
          <t>'</t>
        </is>
      </c>
    </row>
    <row r="438" hidden="1" s="12">
      <c r="A438" s="0" t="inlineStr">
        <is>
          <t>'</t>
        </is>
      </c>
    </row>
    <row r="439" hidden="1" s="12">
      <c r="A439" s="0" t="inlineStr">
        <is>
          <t>'</t>
        </is>
      </c>
    </row>
    <row r="440" hidden="1" s="12">
      <c r="A440" s="0" t="inlineStr">
        <is>
          <t>'</t>
        </is>
      </c>
    </row>
    <row r="441" hidden="1" s="12">
      <c r="A441" s="0" t="inlineStr">
        <is>
          <t>'</t>
        </is>
      </c>
    </row>
    <row r="442" hidden="1" s="12">
      <c r="A442" s="0" t="inlineStr">
        <is>
          <t>'</t>
        </is>
      </c>
    </row>
    <row r="443" hidden="1" s="12">
      <c r="A443" s="0" t="inlineStr">
        <is>
          <t>'</t>
        </is>
      </c>
    </row>
    <row r="444" hidden="1" s="12">
      <c r="A444" s="0" t="inlineStr">
        <is>
          <t>'</t>
        </is>
      </c>
    </row>
    <row r="445" hidden="1" s="12">
      <c r="A445" s="0" t="inlineStr">
        <is>
          <t>'</t>
        </is>
      </c>
    </row>
    <row r="446" hidden="1" s="12">
      <c r="A446" s="0" t="inlineStr">
        <is>
          <t>'</t>
        </is>
      </c>
    </row>
    <row r="447" hidden="1" s="12">
      <c r="A447" s="0" t="inlineStr">
        <is>
          <t>'</t>
        </is>
      </c>
    </row>
    <row r="448" hidden="1" s="12">
      <c r="A448" s="0" t="inlineStr">
        <is>
          <t>'</t>
        </is>
      </c>
    </row>
    <row r="449" hidden="1" s="12">
      <c r="A449" s="0" t="inlineStr">
        <is>
          <t>'</t>
        </is>
      </c>
    </row>
    <row r="450" hidden="1" s="12">
      <c r="A450" s="0" t="inlineStr">
        <is>
          <t>'</t>
        </is>
      </c>
    </row>
    <row r="451" hidden="1" s="12">
      <c r="A451" s="0" t="inlineStr">
        <is>
          <t>'</t>
        </is>
      </c>
    </row>
    <row r="452" hidden="1" s="12">
      <c r="A452" s="0" t="inlineStr">
        <is>
          <t>'</t>
        </is>
      </c>
    </row>
    <row r="453" hidden="1" s="12">
      <c r="A453" s="0" t="inlineStr">
        <is>
          <t>'</t>
        </is>
      </c>
    </row>
    <row r="454" hidden="1" s="12">
      <c r="A454" s="0" t="inlineStr">
        <is>
          <t>'</t>
        </is>
      </c>
    </row>
    <row r="455" hidden="1" s="12">
      <c r="A455" s="0" t="inlineStr">
        <is>
          <t>'</t>
        </is>
      </c>
    </row>
    <row r="456" hidden="1" s="12">
      <c r="A456" s="0" t="inlineStr">
        <is>
          <t>'</t>
        </is>
      </c>
    </row>
    <row r="457" hidden="1" s="12">
      <c r="A457" s="0" t="inlineStr">
        <is>
          <t>'</t>
        </is>
      </c>
    </row>
    <row r="458" hidden="1" s="12">
      <c r="A458" s="0" t="inlineStr">
        <is>
          <t>'</t>
        </is>
      </c>
    </row>
    <row r="459" hidden="1" s="12">
      <c r="A459" s="0" t="inlineStr">
        <is>
          <t>'</t>
        </is>
      </c>
    </row>
    <row r="460" hidden="1" s="12">
      <c r="A460" s="0" t="inlineStr">
        <is>
          <t>'</t>
        </is>
      </c>
    </row>
    <row r="461" hidden="1" s="12">
      <c r="A461" s="0" t="inlineStr">
        <is>
          <t>'</t>
        </is>
      </c>
    </row>
    <row r="462" hidden="1" s="12">
      <c r="A462" s="0" t="inlineStr">
        <is>
          <t>'</t>
        </is>
      </c>
    </row>
    <row r="463" hidden="1" s="12">
      <c r="A463" s="0" t="inlineStr">
        <is>
          <t>'</t>
        </is>
      </c>
    </row>
    <row r="464" hidden="1" s="12">
      <c r="A464" s="0" t="inlineStr">
        <is>
          <t>'</t>
        </is>
      </c>
    </row>
    <row r="465" hidden="1" s="12">
      <c r="A465" s="0" t="inlineStr">
        <is>
          <t>'</t>
        </is>
      </c>
    </row>
    <row r="466" hidden="1" s="12">
      <c r="A466" s="0" t="inlineStr">
        <is>
          <t>'</t>
        </is>
      </c>
    </row>
    <row r="467" hidden="1" s="12">
      <c r="A467" s="0" t="inlineStr">
        <is>
          <t>'</t>
        </is>
      </c>
    </row>
    <row r="468" hidden="1" s="12">
      <c r="A468" s="0" t="inlineStr">
        <is>
          <t>'</t>
        </is>
      </c>
    </row>
    <row r="469" hidden="1" s="12">
      <c r="A469" s="0" t="inlineStr">
        <is>
          <t>'</t>
        </is>
      </c>
    </row>
    <row r="470" hidden="1" s="12">
      <c r="A470" s="0" t="inlineStr">
        <is>
          <t>'</t>
        </is>
      </c>
    </row>
    <row r="471" hidden="1" s="12">
      <c r="A471" s="0" t="inlineStr">
        <is>
          <t>'</t>
        </is>
      </c>
    </row>
    <row r="472" hidden="1" s="12">
      <c r="A472" s="0" t="inlineStr">
        <is>
          <t>'</t>
        </is>
      </c>
    </row>
    <row r="473" hidden="1" s="12">
      <c r="A473" s="0" t="inlineStr">
        <is>
          <t>'</t>
        </is>
      </c>
    </row>
    <row r="474" hidden="1" s="12">
      <c r="A474" s="0" t="inlineStr">
        <is>
          <t>'</t>
        </is>
      </c>
    </row>
    <row r="475" hidden="1" s="12">
      <c r="A475" s="0" t="inlineStr">
        <is>
          <t>'</t>
        </is>
      </c>
    </row>
    <row r="476" hidden="1" s="12">
      <c r="A476" s="0" t="inlineStr">
        <is>
          <t>'</t>
        </is>
      </c>
    </row>
  </sheetData>
  <autoFilter ref="A1:K476">
    <filterColumn colId="3" hiddenButton="0" showButton="1">
      <filters>
        <filter val="ZEB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xSplit="2" ySplit="2" topLeftCell="E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6.5"/>
  <cols>
    <col width="3.5" customWidth="1" style="12" min="1" max="1"/>
    <col width="11.875" customWidth="1" style="12" min="2" max="2"/>
    <col hidden="1" width="8.875" customWidth="1" style="12" min="3" max="3"/>
    <col width="11.625" customWidth="1" style="12" min="4" max="4"/>
    <col width="13.875" customWidth="1" style="12" min="5" max="5"/>
    <col width="14.625" customWidth="1" style="12" min="6" max="6"/>
    <col width="14.25" customWidth="1" style="12" min="7" max="7"/>
    <col width="14" customWidth="1" style="12" min="8" max="8"/>
    <col width="12.75" customWidth="1" style="12" min="9" max="9"/>
    <col hidden="1" width="13.25" customWidth="1" style="12" min="10" max="10"/>
    <col width="10.5" customWidth="1" style="12" min="11" max="11"/>
    <col width="15.875" customWidth="1" style="12" min="12" max="12"/>
    <col width="14.875" customWidth="1" style="12" min="13" max="14"/>
    <col width="14.5" customWidth="1" style="12" min="15" max="15"/>
    <col width="11.25" customWidth="1" style="12" min="16" max="16"/>
    <col width="12.25" customWidth="1" style="12" min="17" max="17"/>
    <col width="11.125" customWidth="1" style="12" min="18" max="19"/>
    <col width="12.25" customWidth="1" style="12" min="20" max="20"/>
    <col width="13.5" customWidth="1" style="12" min="21" max="21"/>
    <col width="14" customWidth="1" style="12" min="22" max="22"/>
    <col width="13" customWidth="1" style="12" min="23" max="23"/>
    <col width="12" customWidth="1" style="12" min="24" max="24"/>
    <col width="16" customWidth="1" style="12" min="25" max="25"/>
    <col width="13" customWidth="1" style="12" min="26" max="26"/>
    <col width="12" customWidth="1" style="12" min="27" max="27"/>
    <col width="12" customWidth="1" style="12" min="28" max="28"/>
    <col width="10" customWidth="1" style="12" min="29" max="29"/>
    <col hidden="1" width="18.125" customWidth="1" style="12" min="30" max="30"/>
    <col hidden="1" width="19.875" customWidth="1" style="12" min="31" max="31"/>
    <col hidden="1" width="13" customWidth="1" style="12" min="32" max="32"/>
    <col hidden="1" width="48" customWidth="1" style="12" min="33" max="33"/>
  </cols>
  <sheetData>
    <row r="1" ht="21.95" customHeight="1" s="12">
      <c r="A1" s="63" t="n"/>
      <c r="B1" s="72" t="n"/>
      <c r="C1" s="73" t="n"/>
      <c r="D1" s="64" t="inlineStr">
        <is>
          <t>코스모스몰</t>
        </is>
      </c>
      <c r="E1" s="72" t="n"/>
      <c r="F1" s="72" t="n"/>
      <c r="G1" s="72" t="n"/>
      <c r="H1" s="72" t="n"/>
      <c r="I1" s="72" t="n"/>
      <c r="J1" s="72" t="n"/>
      <c r="K1" s="73" t="n"/>
      <c r="L1" s="66" t="inlineStr">
        <is>
          <t>최저가업체</t>
        </is>
      </c>
      <c r="M1" s="72" t="n"/>
      <c r="N1" s="72" t="n"/>
      <c r="O1" s="72" t="n"/>
      <c r="P1" s="73" t="n"/>
      <c r="Q1" s="68" t="inlineStr">
        <is>
          <t>기타업체</t>
        </is>
      </c>
      <c r="R1" s="72" t="n"/>
      <c r="S1" s="72" t="n"/>
      <c r="T1" s="72" t="n"/>
      <c r="U1" s="73" t="n"/>
      <c r="V1" s="103" t="inlineStr">
        <is>
          <t>옵션장난 업체 (노출가 + 추가옵션)</t>
        </is>
      </c>
      <c r="W1" s="104" t="n"/>
      <c r="X1" s="104" t="n"/>
      <c r="Y1" s="104" t="n"/>
      <c r="Z1" s="104" t="n"/>
      <c r="AA1" s="104" t="n"/>
      <c r="AB1" s="104" t="n"/>
      <c r="AC1" s="105" t="n"/>
      <c r="AD1" s="70" t="inlineStr">
        <is>
          <t>참고</t>
        </is>
      </c>
      <c r="AE1" s="72" t="n"/>
      <c r="AF1" s="72" t="n"/>
      <c r="AG1" s="73" t="n"/>
    </row>
    <row r="2" ht="51" customHeight="1" s="12">
      <c r="A2" s="14" t="inlineStr">
        <is>
          <t>번호</t>
        </is>
      </c>
      <c r="B2" s="14" t="inlineStr">
        <is>
          <t>제품명</t>
        </is>
      </c>
      <c r="C2" s="14" t="inlineStr">
        <is>
          <t>USB케이블 (O/X)</t>
        </is>
      </c>
      <c r="D2" s="15" t="inlineStr">
        <is>
          <t>코스모스몰
구성</t>
        </is>
      </c>
      <c r="E2" s="76" t="inlineStr">
        <is>
          <t>매입가(VAT별도)</t>
        </is>
      </c>
      <c r="F2" s="76" t="inlineStr">
        <is>
          <t>매입가(VAT포함)</t>
        </is>
      </c>
      <c r="G2" s="76" t="inlineStr">
        <is>
          <t>판매가(VAT포함)</t>
        </is>
      </c>
      <c r="H2" s="76" t="inlineStr">
        <is>
          <t>판매가(VAT별도)</t>
        </is>
      </c>
      <c r="I2" s="17" t="inlineStr">
        <is>
          <t>USB포함가(18,000원 기준)</t>
        </is>
      </c>
      <c r="J2" s="17" t="inlineStr">
        <is>
          <t>USB포함 매입가
(VAT별도)</t>
        </is>
      </c>
      <c r="K2" s="17" t="inlineStr">
        <is>
          <t>현재 마진율(USB포함)</t>
        </is>
      </c>
      <c r="L2" s="18" t="inlineStr">
        <is>
          <t>최저가업체</t>
        </is>
      </c>
      <c r="M2" s="19" t="inlineStr">
        <is>
          <t>최저가업체
구성</t>
        </is>
      </c>
      <c r="N2" s="77" t="inlineStr">
        <is>
          <t>최저가(VAT포함)</t>
        </is>
      </c>
      <c r="O2" s="77" t="inlineStr">
        <is>
          <t>최저가(VAT별도)</t>
        </is>
      </c>
      <c r="P2" s="21" t="inlineStr">
        <is>
          <t>최저가 마진율</t>
        </is>
      </c>
      <c r="Q2" s="22" t="inlineStr">
        <is>
          <t>기타 업체</t>
        </is>
      </c>
      <c r="R2" s="23" t="inlineStr">
        <is>
          <t>기타업체 구성</t>
        </is>
      </c>
      <c r="S2" s="50" t="inlineStr">
        <is>
          <t>기타업체 
마진율</t>
        </is>
      </c>
      <c r="T2" s="50" t="inlineStr">
        <is>
          <t>기타 업체 가격
(VAT별도)</t>
        </is>
      </c>
      <c r="U2" s="78" t="inlineStr">
        <is>
          <t>기타 업체 가격
(VAT포함)</t>
        </is>
      </c>
      <c r="V2" s="106" t="inlineStr">
        <is>
          <t>옵션장난 업체</t>
        </is>
      </c>
      <c r="W2" s="107" t="inlineStr">
        <is>
          <t>구성
(옵션 포함)</t>
        </is>
      </c>
      <c r="X2" s="107" t="inlineStr">
        <is>
          <t>노출가
(VAT포함)</t>
        </is>
      </c>
      <c r="Y2" s="107" t="inlineStr">
        <is>
          <t>추가옵션 내용</t>
        </is>
      </c>
      <c r="Z2" s="107" t="inlineStr">
        <is>
          <t>추가옵션 금액
(VAT포함)</t>
        </is>
      </c>
      <c r="AA2" s="107" t="inlineStr">
        <is>
          <t>실구매가
(VAT포함)</t>
        </is>
      </c>
      <c r="AB2" s="107" t="inlineStr">
        <is>
          <t>실구매가
(VAT별도)</t>
        </is>
      </c>
      <c r="AC2" s="107" t="inlineStr">
        <is>
          <t>실구매가
마진율</t>
        </is>
      </c>
      <c r="AD2" s="24" t="inlineStr">
        <is>
          <t>현재 마진율(VAT별도)</t>
        </is>
      </c>
      <c r="AE2" s="25" t="inlineStr">
        <is>
          <t>최저가 마진율(VAT별도)</t>
        </is>
      </c>
      <c r="AF2" s="25" t="inlineStr">
        <is>
          <t>전달사항</t>
        </is>
      </c>
      <c r="AG2" s="25" t="inlineStr">
        <is>
          <t>옵션(USB 제외, 추가금액)</t>
        </is>
      </c>
    </row>
    <row r="3" ht="15" customHeight="1" s="12">
      <c r="A3" s="26" t="n">
        <v>1</v>
      </c>
      <c r="B3" s="27" t="inlineStr">
        <is>
          <t xml:space="preserve">LS2208 SR </t>
        </is>
      </c>
      <c r="C3" s="26" t="inlineStr">
        <is>
          <t>X</t>
        </is>
      </c>
      <c r="D3" s="35" t="inlineStr">
        <is>
          <t>본체</t>
        </is>
      </c>
      <c r="E3" s="36" t="n">
        <v>63000</v>
      </c>
      <c r="F3" s="36">
        <f>E3*110%</f>
        <v/>
      </c>
      <c r="G3" s="45" t="n">
        <v>99000</v>
      </c>
      <c r="H3" s="36">
        <f>G3/110%</f>
        <v/>
      </c>
      <c r="I3" s="37">
        <f>G3+18000</f>
        <v/>
      </c>
      <c r="J3" s="37">
        <f>E3+9000</f>
        <v/>
      </c>
      <c r="K3" s="38">
        <f>1-(J3/(I3/110%))</f>
        <v/>
      </c>
      <c r="L3" s="39" t="inlineStr">
        <is>
          <t>미르스캔몰</t>
        </is>
      </c>
      <c r="M3" s="40" t="inlineStr">
        <is>
          <t>본체</t>
        </is>
      </c>
      <c r="N3" s="46" t="n">
        <v>81990</v>
      </c>
      <c r="O3" s="36">
        <f>N3/110%</f>
        <v/>
      </c>
      <c r="P3" s="49">
        <f>1-(E3/O3)</f>
        <v/>
      </c>
      <c r="Q3" s="41" t="inlineStr">
        <is>
          <t>지맥스코리아</t>
        </is>
      </c>
      <c r="R3" s="40" t="inlineStr">
        <is>
          <t>본체</t>
        </is>
      </c>
      <c r="S3" s="49">
        <f>1-(H3/T3)</f>
        <v/>
      </c>
      <c r="T3" s="81">
        <f>U3/110%</f>
        <v/>
      </c>
      <c r="U3" s="48" t="n">
        <v>87000</v>
      </c>
      <c r="V3" s="82" t="n"/>
      <c r="W3" s="83" t="n"/>
      <c r="X3" s="84" t="n"/>
      <c r="Y3" s="85" t="n"/>
      <c r="Z3" s="84" t="n"/>
      <c r="AA3" s="84">
        <f>X3+Z3</f>
        <v/>
      </c>
      <c r="AB3" s="84">
        <f>AA3/110%</f>
        <v/>
      </c>
      <c r="AC3" s="86">
        <f>1-(E3/AB3)</f>
        <v/>
      </c>
      <c r="AD3" s="28">
        <f>1-(E3/H3)</f>
        <v/>
      </c>
      <c r="AE3" s="29">
        <f>1-(E3/O3)</f>
        <v/>
      </c>
      <c r="AF3" s="30" t="n"/>
      <c r="AG3" s="31" t="inlineStr">
        <is>
          <t>RS232C (+24,200원)
본체만(케이블없음) (+0원)</t>
        </is>
      </c>
    </row>
    <row r="4" ht="15" customHeight="1" s="12">
      <c r="A4" s="26" t="n">
        <v>2</v>
      </c>
      <c r="B4" s="27" t="inlineStr">
        <is>
          <t>DS2278</t>
        </is>
      </c>
      <c r="C4" s="26" t="inlineStr">
        <is>
          <t>X</t>
        </is>
      </c>
      <c r="D4" s="35" t="inlineStr">
        <is>
          <t>본+크</t>
        </is>
      </c>
      <c r="E4" s="36" t="n">
        <v>305000</v>
      </c>
      <c r="F4" s="36">
        <f>E4*110%</f>
        <v/>
      </c>
      <c r="G4" s="45" t="n">
        <v>348250</v>
      </c>
      <c r="H4" s="36">
        <f>G4/110%</f>
        <v/>
      </c>
      <c r="I4" s="37">
        <f>G4+18000</f>
        <v/>
      </c>
      <c r="J4" s="37">
        <f>E4+9000</f>
        <v/>
      </c>
      <c r="K4" s="38">
        <f>1-(J4/(I4/110%))</f>
        <v/>
      </c>
      <c r="L4" s="87" t="inlineStr">
        <is>
          <t>에이치에스스토어</t>
        </is>
      </c>
      <c r="M4" s="40" t="inlineStr">
        <is>
          <t>본+크+USB</t>
        </is>
      </c>
      <c r="N4" s="45" t="n">
        <v>335540</v>
      </c>
      <c r="O4" s="36">
        <f>N4/110%</f>
        <v/>
      </c>
      <c r="P4" s="49">
        <f>1-(E4/O4)</f>
        <v/>
      </c>
      <c r="Q4" s="41" t="inlineStr">
        <is>
          <t>원인터</t>
        </is>
      </c>
      <c r="R4" s="40" t="inlineStr">
        <is>
          <t>본+크+USB</t>
        </is>
      </c>
      <c r="S4" s="49">
        <f>1-(H4/T4)</f>
        <v/>
      </c>
      <c r="T4" s="81">
        <f>U4/110%</f>
        <v/>
      </c>
      <c r="U4" s="48" t="n">
        <v>400000</v>
      </c>
      <c r="V4" s="82" t="n"/>
      <c r="W4" s="83" t="n"/>
      <c r="X4" s="84" t="n"/>
      <c r="Y4" s="85" t="n"/>
      <c r="Z4" s="84" t="n"/>
      <c r="AA4" s="84">
        <f>X4+Z4</f>
        <v/>
      </c>
      <c r="AB4" s="84">
        <f>AA4/110%</f>
        <v/>
      </c>
      <c r="AC4" s="86">
        <f>1-(E4/AB4)</f>
        <v/>
      </c>
      <c r="AD4" s="28">
        <f>1-(E4/H4)</f>
        <v/>
      </c>
      <c r="AE4" s="29">
        <f>1-(E4/O4)</f>
        <v/>
      </c>
      <c r="AF4" s="30" t="n"/>
      <c r="AG4" s="31" t="inlineStr">
        <is>
          <t>RS232C (+24,200원)
본체+크래들만(케이블없음) (+0원)</t>
        </is>
      </c>
    </row>
    <row r="5" ht="15" customHeight="1" s="12">
      <c r="A5" s="26" t="n">
        <v>3</v>
      </c>
      <c r="B5" s="27" t="inlineStr">
        <is>
          <t>DS2208</t>
        </is>
      </c>
      <c r="C5" s="26" t="inlineStr">
        <is>
          <t>X</t>
        </is>
      </c>
      <c r="D5" s="35" t="inlineStr">
        <is>
          <t>본체</t>
        </is>
      </c>
      <c r="E5" s="36" t="n">
        <v>96000</v>
      </c>
      <c r="F5" s="36">
        <f>E5*110%</f>
        <v/>
      </c>
      <c r="G5" s="45" t="n">
        <v>125000</v>
      </c>
      <c r="H5" s="36">
        <f>G5/110%</f>
        <v/>
      </c>
      <c r="I5" s="37">
        <f>G5+18000</f>
        <v/>
      </c>
      <c r="J5" s="37">
        <f>E5+9000</f>
        <v/>
      </c>
      <c r="K5" s="38">
        <f>1-(J5/(I5/110%))</f>
        <v/>
      </c>
      <c r="L5" s="87" t="inlineStr">
        <is>
          <t>마켓굿초이스</t>
        </is>
      </c>
      <c r="M5" s="40" t="inlineStr">
        <is>
          <t>본체</t>
        </is>
      </c>
      <c r="N5" s="45" t="n">
        <v>85900</v>
      </c>
      <c r="O5" s="36">
        <f>N5/110%</f>
        <v/>
      </c>
      <c r="P5" s="49">
        <f>1-(E5/O5)</f>
        <v/>
      </c>
      <c r="Q5" s="41" t="inlineStr">
        <is>
          <t>원인터</t>
        </is>
      </c>
      <c r="R5" s="40" t="inlineStr">
        <is>
          <t>본체</t>
        </is>
      </c>
      <c r="S5" s="49">
        <f>1-(H5/T5)</f>
        <v/>
      </c>
      <c r="T5" s="81">
        <f>U5/110%</f>
        <v/>
      </c>
      <c r="U5" s="48" t="n">
        <v>120000</v>
      </c>
      <c r="V5" s="82" t="n"/>
      <c r="W5" s="83" t="n"/>
      <c r="X5" s="84" t="n"/>
      <c r="Y5" s="85" t="n"/>
      <c r="Z5" s="84" t="n"/>
      <c r="AA5" s="84">
        <f>X5+Z5</f>
        <v/>
      </c>
      <c r="AB5" s="84">
        <f>AA5/110%</f>
        <v/>
      </c>
      <c r="AC5" s="86">
        <f>1-(E5/AB5)</f>
        <v/>
      </c>
      <c r="AD5" s="28">
        <f>1-(E5/H5)</f>
        <v/>
      </c>
      <c r="AE5" s="29">
        <f>1-(E5/O5)</f>
        <v/>
      </c>
      <c r="AF5" s="30" t="n"/>
      <c r="AG5" s="31" t="inlineStr">
        <is>
          <t>RS232C / 선택안함 (+24,200원)
RS232C / 스탠드거치대 (+79,200원)
본체만(케이블없음) / 선택안함 (+0원)
본체만(케이블없음) / 스탠드거치대 (+55,000원)</t>
        </is>
      </c>
    </row>
    <row r="6" ht="15" customHeight="1" s="12">
      <c r="A6" s="26" t="n">
        <v>4</v>
      </c>
      <c r="B6" s="27" t="inlineStr">
        <is>
          <t>DS8108</t>
        </is>
      </c>
      <c r="C6" s="26" t="inlineStr">
        <is>
          <t>X</t>
        </is>
      </c>
      <c r="D6" s="35" t="inlineStr">
        <is>
          <t>본체</t>
        </is>
      </c>
      <c r="E6" s="36" t="n">
        <v>210000</v>
      </c>
      <c r="F6" s="36">
        <f>E6*110%</f>
        <v/>
      </c>
      <c r="G6" s="45" t="n">
        <v>300000</v>
      </c>
      <c r="H6" s="36">
        <f>G6/110%</f>
        <v/>
      </c>
      <c r="I6" s="37">
        <f>G6+18000</f>
        <v/>
      </c>
      <c r="J6" s="37">
        <f>E6+9000</f>
        <v/>
      </c>
      <c r="K6" s="38">
        <f>1-(J6/(I6/110%))</f>
        <v/>
      </c>
      <c r="L6" s="87" t="inlineStr">
        <is>
          <t>바코드다판다</t>
        </is>
      </c>
      <c r="M6" s="40" t="inlineStr">
        <is>
          <t>본체</t>
        </is>
      </c>
      <c r="N6" s="45" t="n">
        <v>239000</v>
      </c>
      <c r="O6" s="36">
        <f>N6/110%</f>
        <v/>
      </c>
      <c r="P6" s="49">
        <f>1-(E6/O6)</f>
        <v/>
      </c>
      <c r="Q6" s="41" t="inlineStr">
        <is>
          <t>바코드싸다구</t>
        </is>
      </c>
      <c r="R6" s="40" t="inlineStr">
        <is>
          <t>본체</t>
        </is>
      </c>
      <c r="S6" s="49">
        <f>1-(H6/T6)</f>
        <v/>
      </c>
      <c r="T6" s="81">
        <f>U6/110%</f>
        <v/>
      </c>
      <c r="U6" s="48" t="n">
        <v>240000</v>
      </c>
      <c r="V6" s="82" t="n"/>
      <c r="W6" s="83" t="n"/>
      <c r="X6" s="84" t="n"/>
      <c r="Y6" s="85" t="n"/>
      <c r="Z6" s="84" t="n"/>
      <c r="AA6" s="84">
        <f>X6+Z6</f>
        <v/>
      </c>
      <c r="AB6" s="84">
        <f>AA6/110%</f>
        <v/>
      </c>
      <c r="AC6" s="86">
        <f>1-(E6/AB6)</f>
        <v/>
      </c>
      <c r="AD6" s="28">
        <f>1-(E6/H6)</f>
        <v/>
      </c>
      <c r="AE6" s="29">
        <f>1-(E6/O6)</f>
        <v/>
      </c>
      <c r="AF6" s="30" t="n"/>
      <c r="AG6" s="31" t="inlineStr">
        <is>
          <t>RS232C (+24,200원)
본체만 (+0원)</t>
        </is>
      </c>
    </row>
    <row r="7" ht="15" customHeight="1" s="12">
      <c r="A7" s="26" t="n">
        <v>5</v>
      </c>
      <c r="B7" s="27" t="inlineStr">
        <is>
          <t>DS4608 SR</t>
        </is>
      </c>
      <c r="C7" s="26" t="inlineStr">
        <is>
          <t>X</t>
        </is>
      </c>
      <c r="D7" s="35" t="inlineStr">
        <is>
          <t>본체</t>
        </is>
      </c>
      <c r="E7" s="36" t="n">
        <v>165000</v>
      </c>
      <c r="F7" s="36">
        <f>E7*110%</f>
        <v/>
      </c>
      <c r="G7" s="45" t="n">
        <v>207500</v>
      </c>
      <c r="H7" s="36">
        <f>G7/110%</f>
        <v/>
      </c>
      <c r="I7" s="37">
        <f>G7+18000</f>
        <v/>
      </c>
      <c r="J7" s="37">
        <f>E7+9000</f>
        <v/>
      </c>
      <c r="K7" s="38">
        <f>1-(J7/(I7/110%))</f>
        <v/>
      </c>
      <c r="L7" s="87" t="inlineStr">
        <is>
          <t>에이치에스스토어</t>
        </is>
      </c>
      <c r="M7" s="40" t="inlineStr">
        <is>
          <t>본체</t>
        </is>
      </c>
      <c r="N7" s="45" t="n">
        <v>138700</v>
      </c>
      <c r="O7" s="36">
        <f>N7/110%</f>
        <v/>
      </c>
      <c r="P7" s="49">
        <f>1-(E7/O7)</f>
        <v/>
      </c>
      <c r="Q7" s="41" t="inlineStr">
        <is>
          <t>바코드싸다구</t>
        </is>
      </c>
      <c r="R7" s="40" t="inlineStr">
        <is>
          <t>본체+USB</t>
        </is>
      </c>
      <c r="S7" s="49">
        <f>1-(H7/T7)</f>
        <v/>
      </c>
      <c r="T7" s="81">
        <f>U7/110%</f>
        <v/>
      </c>
      <c r="U7" s="48" t="n">
        <v>217000</v>
      </c>
      <c r="V7" s="82" t="n"/>
      <c r="W7" s="83" t="n"/>
      <c r="X7" s="84" t="n"/>
      <c r="Y7" s="85" t="n"/>
      <c r="Z7" s="84" t="n"/>
      <c r="AA7" s="84">
        <f>X7+Z7</f>
        <v/>
      </c>
      <c r="AB7" s="84">
        <f>AA7/110%</f>
        <v/>
      </c>
      <c r="AC7" s="86">
        <f>1-(E7/AB7)</f>
        <v/>
      </c>
      <c r="AD7" s="28">
        <f>1-(E7/H7)</f>
        <v/>
      </c>
      <c r="AE7" s="29">
        <f>1-(E7/O7)</f>
        <v/>
      </c>
      <c r="AF7" s="30" t="n"/>
      <c r="AG7" s="31" t="inlineStr">
        <is>
          <t>RS232C / 선택안함 (+24,200원)
RS232C / 스탠드거치대 (+79,200원)
본체만(케이블없음) / 선택안함 (+0원)
본체만(케이블없음) / 스탠드거치대 (+55,000원)</t>
        </is>
      </c>
    </row>
    <row r="8" ht="15" customHeight="1" s="12">
      <c r="A8" s="26" t="n">
        <v>6</v>
      </c>
      <c r="B8" s="32" t="inlineStr">
        <is>
          <t>LI2208</t>
        </is>
      </c>
      <c r="C8" s="26" t="inlineStr">
        <is>
          <t>X</t>
        </is>
      </c>
      <c r="D8" s="35" t="inlineStr">
        <is>
          <t>본체</t>
        </is>
      </c>
      <c r="E8" s="37" t="n"/>
      <c r="F8" s="36">
        <f>E8*110%</f>
        <v/>
      </c>
      <c r="G8" s="45" t="n">
        <v>220000</v>
      </c>
      <c r="H8" s="36">
        <f>G8/110%</f>
        <v/>
      </c>
      <c r="I8" s="37">
        <f>G8+18000</f>
        <v/>
      </c>
      <c r="J8" s="37">
        <f>E8+9000</f>
        <v/>
      </c>
      <c r="K8" s="38">
        <f>1-(J8/(I8/110%))</f>
        <v/>
      </c>
      <c r="L8" s="88" t="inlineStr">
        <is>
          <t>컴엔더</t>
        </is>
      </c>
      <c r="M8" s="40" t="inlineStr">
        <is>
          <t>본체</t>
        </is>
      </c>
      <c r="N8" s="45" t="n">
        <v>80000</v>
      </c>
      <c r="O8" s="36">
        <f>N8/110%</f>
        <v/>
      </c>
      <c r="P8" s="49">
        <f>1-(E8/O8)</f>
        <v/>
      </c>
      <c r="Q8" s="41" t="n"/>
      <c r="R8" s="40" t="n"/>
      <c r="S8" s="49" t="n"/>
      <c r="T8" s="81">
        <f>U8/110%</f>
        <v/>
      </c>
      <c r="U8" s="47" t="n"/>
      <c r="V8" s="89" t="n"/>
      <c r="W8" s="90" t="n"/>
      <c r="X8" s="91" t="n"/>
      <c r="Y8" s="92" t="n"/>
      <c r="Z8" s="91" t="n"/>
      <c r="AA8" s="91">
        <f>X8+Z8</f>
        <v/>
      </c>
      <c r="AB8" s="91">
        <f>AA8/110%</f>
        <v/>
      </c>
      <c r="AC8" s="93">
        <f>1-(E8/AB8)</f>
        <v/>
      </c>
      <c r="AD8" s="28">
        <f>1-(E8/H8)</f>
        <v/>
      </c>
      <c r="AE8" s="29">
        <f>1-(E8/O8)</f>
        <v/>
      </c>
      <c r="AF8" s="30" t="n"/>
      <c r="AG8" s="31" t="inlineStr">
        <is>
          <t>RS232C (+24,200원)</t>
        </is>
      </c>
    </row>
    <row r="9" ht="15" customHeight="1" s="12">
      <c r="A9" s="26" t="n">
        <v>7</v>
      </c>
      <c r="B9" s="27" t="inlineStr">
        <is>
          <t>LI3608 SR</t>
        </is>
      </c>
      <c r="C9" s="26" t="inlineStr">
        <is>
          <t>O</t>
        </is>
      </c>
      <c r="D9" s="35" t="inlineStr">
        <is>
          <t>본+USB</t>
        </is>
      </c>
      <c r="E9" s="36" t="n">
        <v>70000</v>
      </c>
      <c r="F9" s="36">
        <f>E9*110%</f>
        <v/>
      </c>
      <c r="G9" s="45" t="n">
        <v>396000</v>
      </c>
      <c r="H9" s="36">
        <f>G9/110%</f>
        <v/>
      </c>
      <c r="I9" s="37">
        <f>G9</f>
        <v/>
      </c>
      <c r="J9" s="37">
        <f>E9</f>
        <v/>
      </c>
      <c r="K9" s="38">
        <f>1-(J9/(I9/110%))</f>
        <v/>
      </c>
      <c r="L9" s="87" t="inlineStr">
        <is>
          <t>유니정보</t>
        </is>
      </c>
      <c r="M9" s="40" t="inlineStr">
        <is>
          <t>본+USB</t>
        </is>
      </c>
      <c r="N9" s="45" t="n">
        <v>359000</v>
      </c>
      <c r="O9" s="36">
        <f>N9/110%</f>
        <v/>
      </c>
      <c r="P9" s="49">
        <f>1-(E9/O9)</f>
        <v/>
      </c>
      <c r="Q9" s="41" t="inlineStr">
        <is>
          <t>하이하이몰</t>
        </is>
      </c>
      <c r="R9" s="40" t="inlineStr">
        <is>
          <t>본체+USB</t>
        </is>
      </c>
      <c r="S9" s="49">
        <f>1-(H9/T9)</f>
        <v/>
      </c>
      <c r="T9" s="81">
        <f>U9/110%</f>
        <v/>
      </c>
      <c r="U9" s="48" t="n">
        <v>390000</v>
      </c>
      <c r="V9" s="82" t="n"/>
      <c r="W9" s="83" t="n"/>
      <c r="X9" s="84" t="n"/>
      <c r="Y9" s="85" t="n"/>
      <c r="Z9" s="84" t="n"/>
      <c r="AA9" s="84">
        <f>X9+Z9</f>
        <v/>
      </c>
      <c r="AB9" s="84">
        <f>AA9/110%</f>
        <v/>
      </c>
      <c r="AC9" s="86">
        <f>1-(E9/AB9)</f>
        <v/>
      </c>
      <c r="AD9" s="28">
        <f>1-(E9/H9)</f>
        <v/>
      </c>
      <c r="AE9" s="29">
        <f>1-(E9/O9)</f>
        <v/>
      </c>
      <c r="AF9" s="30" t="n"/>
      <c r="AG9" s="31" t="inlineStr">
        <is>
          <t>없음</t>
        </is>
      </c>
    </row>
    <row r="10" ht="15" customHeight="1" s="12">
      <c r="A10" s="26" t="n">
        <v>8</v>
      </c>
      <c r="B10" s="27" t="inlineStr">
        <is>
          <t>DS3608 SR</t>
        </is>
      </c>
      <c r="C10" s="26" t="inlineStr">
        <is>
          <t>O</t>
        </is>
      </c>
      <c r="D10" s="35" t="inlineStr">
        <is>
          <t>본+USB</t>
        </is>
      </c>
      <c r="E10" s="36" t="n">
        <v>470000</v>
      </c>
      <c r="F10" s="36">
        <f>E10*110%</f>
        <v/>
      </c>
      <c r="G10" s="45" t="n">
        <v>660000</v>
      </c>
      <c r="H10" s="36">
        <f>G10/110%</f>
        <v/>
      </c>
      <c r="I10" s="37">
        <f>G10</f>
        <v/>
      </c>
      <c r="J10" s="37">
        <f>E10</f>
        <v/>
      </c>
      <c r="K10" s="38">
        <f>1-(J10/(I10/110%))</f>
        <v/>
      </c>
      <c r="L10" s="87" t="inlineStr">
        <is>
          <t>한국바코드시스템</t>
        </is>
      </c>
      <c r="M10" s="40" t="inlineStr">
        <is>
          <t>본체(미기재)</t>
        </is>
      </c>
      <c r="N10" s="45" t="n">
        <v>514700</v>
      </c>
      <c r="O10" s="36">
        <f>N10/110%</f>
        <v/>
      </c>
      <c r="P10" s="49">
        <f>1-(E10/O10)</f>
        <v/>
      </c>
      <c r="Q10" s="41" t="inlineStr">
        <is>
          <t>더원시스</t>
        </is>
      </c>
      <c r="R10" s="40" t="inlineStr">
        <is>
          <t>본체+USB</t>
        </is>
      </c>
      <c r="S10" s="49">
        <f>1-(H10/T10)</f>
        <v/>
      </c>
      <c r="T10" s="81">
        <f>U10/110%</f>
        <v/>
      </c>
      <c r="U10" s="48" t="n">
        <v>516000</v>
      </c>
      <c r="V10" s="82" t="n"/>
      <c r="W10" s="83" t="n"/>
      <c r="X10" s="84" t="n"/>
      <c r="Y10" s="85" t="n"/>
      <c r="Z10" s="84" t="n"/>
      <c r="AA10" s="84">
        <f>X10+Z10</f>
        <v/>
      </c>
      <c r="AB10" s="84">
        <f>AA10/110%</f>
        <v/>
      </c>
      <c r="AC10" s="86">
        <f>1-(E10/AB10)</f>
        <v/>
      </c>
      <c r="AD10" s="28">
        <f>1-(E10/H10)</f>
        <v/>
      </c>
      <c r="AE10" s="29">
        <f>1-(E10/O10)</f>
        <v/>
      </c>
      <c r="AF10" s="30" t="n"/>
      <c r="AG10" s="31" t="inlineStr">
        <is>
          <t>RS232C (+24,200원)</t>
        </is>
      </c>
    </row>
    <row r="11" ht="15" customHeight="1" s="12">
      <c r="A11" s="26" t="n">
        <v>9</v>
      </c>
      <c r="B11" s="27" t="inlineStr">
        <is>
          <t>LI3678</t>
        </is>
      </c>
      <c r="C11" s="26" t="inlineStr">
        <is>
          <t>O</t>
        </is>
      </c>
      <c r="D11" s="35" t="inlineStr">
        <is>
          <t>본+크+USB</t>
        </is>
      </c>
      <c r="E11" s="37" t="n"/>
      <c r="F11" s="36">
        <f>E11*110%</f>
        <v/>
      </c>
      <c r="G11" s="45" t="n">
        <v>1210000</v>
      </c>
      <c r="H11" s="36">
        <f>G11/110%</f>
        <v/>
      </c>
      <c r="I11" s="37">
        <f>G11</f>
        <v/>
      </c>
      <c r="J11" s="37">
        <f>E11</f>
        <v/>
      </c>
      <c r="K11" s="38">
        <f>1-(J11/(I11/110%))</f>
        <v/>
      </c>
      <c r="L11" s="87" t="inlineStr">
        <is>
          <t>착한라벨</t>
        </is>
      </c>
      <c r="M11" s="40" t="inlineStr">
        <is>
          <t>본+USB</t>
        </is>
      </c>
      <c r="N11" s="45" t="n">
        <v>680000</v>
      </c>
      <c r="O11" s="36">
        <f>N11/110%</f>
        <v/>
      </c>
      <c r="P11" s="49">
        <f>1-(E11/O11)</f>
        <v/>
      </c>
      <c r="Q11" s="41" t="inlineStr">
        <is>
          <t>바이라벨</t>
        </is>
      </c>
      <c r="R11" s="40" t="inlineStr">
        <is>
          <t>본체(미기재)</t>
        </is>
      </c>
      <c r="S11" s="49">
        <f>1-(H11/T11)</f>
        <v/>
      </c>
      <c r="T11" s="81">
        <f>U11/110%</f>
        <v/>
      </c>
      <c r="U11" s="48" t="n">
        <v>770000</v>
      </c>
      <c r="V11" s="82" t="n"/>
      <c r="W11" s="83" t="n"/>
      <c r="X11" s="84" t="n"/>
      <c r="Y11" s="85" t="n"/>
      <c r="Z11" s="84" t="n"/>
      <c r="AA11" s="84">
        <f>X11+Z11</f>
        <v/>
      </c>
      <c r="AB11" s="84">
        <f>AA11/110%</f>
        <v/>
      </c>
      <c r="AC11" s="86">
        <f>1-(E11/AB11)</f>
        <v/>
      </c>
      <c r="AD11" s="28">
        <f>1-(E11/H11)</f>
        <v/>
      </c>
      <c r="AE11" s="29">
        <f>1-(E11/O11)</f>
        <v/>
      </c>
      <c r="AF11" s="30" t="n"/>
      <c r="AG11" s="31" t="inlineStr">
        <is>
          <t>RS232C (+33,000원)</t>
        </is>
      </c>
    </row>
    <row r="12" ht="15" customHeight="1" s="12">
      <c r="A12" s="26" t="n">
        <v>10</v>
      </c>
      <c r="B12" s="27" t="inlineStr">
        <is>
          <t>DS9908</t>
        </is>
      </c>
      <c r="C12" s="26" t="inlineStr">
        <is>
          <t>X</t>
        </is>
      </c>
      <c r="D12" s="35" t="inlineStr">
        <is>
          <t>본체</t>
        </is>
      </c>
      <c r="E12" s="36" t="n">
        <v>290000</v>
      </c>
      <c r="F12" s="36">
        <f>E12*110%</f>
        <v/>
      </c>
      <c r="G12" s="45" t="n">
        <v>385000</v>
      </c>
      <c r="H12" s="36">
        <f>G12/110%</f>
        <v/>
      </c>
      <c r="I12" s="37">
        <f>G12+18000</f>
        <v/>
      </c>
      <c r="J12" s="37">
        <f>E12+9000</f>
        <v/>
      </c>
      <c r="K12" s="38">
        <f>1-(J12/(I12/110%))</f>
        <v/>
      </c>
      <c r="L12" s="87" t="inlineStr">
        <is>
          <t>디앤에스테크</t>
        </is>
      </c>
      <c r="M12" s="40" t="inlineStr">
        <is>
          <t>본체</t>
        </is>
      </c>
      <c r="N12" s="45" t="n">
        <v>295000</v>
      </c>
      <c r="O12" s="36">
        <f>N12/110%</f>
        <v/>
      </c>
      <c r="P12" s="49">
        <f>1-(E12/O12)</f>
        <v/>
      </c>
      <c r="Q12" s="41" t="inlineStr">
        <is>
          <t>비타민씨엔씨</t>
        </is>
      </c>
      <c r="R12" s="94" t="inlineStr">
        <is>
          <t>본체</t>
        </is>
      </c>
      <c r="S12" s="49">
        <f>1-(H12/T12)</f>
        <v/>
      </c>
      <c r="T12" s="81">
        <f>U12/110%</f>
        <v/>
      </c>
      <c r="U12" s="48" t="n">
        <v>330000</v>
      </c>
      <c r="V12" s="82" t="n"/>
      <c r="W12" s="83" t="n"/>
      <c r="X12" s="84" t="n"/>
      <c r="Y12" s="85" t="n"/>
      <c r="Z12" s="84" t="n"/>
      <c r="AA12" s="84">
        <f>X12+Z12</f>
        <v/>
      </c>
      <c r="AB12" s="84">
        <f>AA12/110%</f>
        <v/>
      </c>
      <c r="AC12" s="86">
        <f>1-(E12/AB12)</f>
        <v/>
      </c>
      <c r="AD12" s="28">
        <f>1-(E12/H12)</f>
        <v/>
      </c>
      <c r="AE12" s="29">
        <f>1-(E12/O12)</f>
        <v/>
      </c>
      <c r="AF12" s="30" t="n"/>
      <c r="AG12" s="31" t="inlineStr">
        <is>
          <t>RS232C (+24,200원)</t>
        </is>
      </c>
    </row>
    <row r="13" ht="15" customHeight="1" s="12">
      <c r="A13" s="26" t="n">
        <v>11</v>
      </c>
      <c r="B13" s="34" t="inlineStr">
        <is>
          <t>CS6080</t>
        </is>
      </c>
      <c r="C13" s="33" t="inlineStr">
        <is>
          <t>-</t>
        </is>
      </c>
      <c r="D13" s="51" t="inlineStr">
        <is>
          <t>본체</t>
        </is>
      </c>
      <c r="E13" s="52" t="n">
        <v>380000</v>
      </c>
      <c r="F13" s="52">
        <f>E13*110%</f>
        <v/>
      </c>
      <c r="G13" s="53" t="n">
        <v>820000</v>
      </c>
      <c r="H13" s="52">
        <f>G13/110%</f>
        <v/>
      </c>
      <c r="I13" s="59" t="n"/>
      <c r="J13" s="54" t="n"/>
      <c r="K13" s="55" t="n"/>
      <c r="L13" s="95" t="inlineStr">
        <is>
          <t>코스모스몰</t>
        </is>
      </c>
      <c r="M13" s="33" t="inlineStr">
        <is>
          <t>본체</t>
        </is>
      </c>
      <c r="N13" s="53" t="n">
        <v>820000</v>
      </c>
      <c r="O13" s="52">
        <f>N13/110%</f>
        <v/>
      </c>
      <c r="P13" s="55">
        <f>1-(E13/O13)</f>
        <v/>
      </c>
      <c r="Q13" s="57" t="n"/>
      <c r="R13" s="96" t="n"/>
      <c r="S13" s="55" t="n"/>
      <c r="T13" s="97">
        <f>U13/110%</f>
        <v/>
      </c>
      <c r="U13" s="54" t="n"/>
      <c r="V13" s="89" t="n"/>
      <c r="W13" s="90" t="n"/>
      <c r="X13" s="91" t="n"/>
      <c r="Y13" s="92" t="n"/>
      <c r="Z13" s="91" t="n"/>
      <c r="AA13" s="91">
        <f>X13+Z13</f>
        <v/>
      </c>
      <c r="AB13" s="91">
        <f>AA13/110%</f>
        <v/>
      </c>
      <c r="AC13" s="93">
        <f>1-(E13/AB13)</f>
        <v/>
      </c>
      <c r="AD13" s="28">
        <f>1-(E13/H13)</f>
        <v/>
      </c>
      <c r="AE13" s="29">
        <f>1-(E13/O13)</f>
        <v/>
      </c>
      <c r="AF13" s="30" t="n"/>
      <c r="AG13" s="31" t="inlineStr">
        <is>
          <t>2D (+0원)</t>
        </is>
      </c>
    </row>
    <row r="14" ht="15" customHeight="1" s="12">
      <c r="A14" s="26" t="n">
        <v>12</v>
      </c>
      <c r="B14" s="27" t="inlineStr">
        <is>
          <t>DS3678 SR</t>
        </is>
      </c>
      <c r="C14" s="26" t="inlineStr">
        <is>
          <t>O</t>
        </is>
      </c>
      <c r="D14" s="35" t="inlineStr">
        <is>
          <t>본+크+USB</t>
        </is>
      </c>
      <c r="E14" s="36" t="n">
        <v>750000</v>
      </c>
      <c r="F14" s="36">
        <f>E14*110%</f>
        <v/>
      </c>
      <c r="G14" s="45" t="n">
        <v>980000</v>
      </c>
      <c r="H14" s="36">
        <f>G14/110%</f>
        <v/>
      </c>
      <c r="I14" s="37">
        <f>G14</f>
        <v/>
      </c>
      <c r="J14" s="37">
        <f>E14</f>
        <v/>
      </c>
      <c r="K14" s="38">
        <f>1-(J14/(I14/110%))</f>
        <v/>
      </c>
      <c r="L14" s="87" t="inlineStr">
        <is>
          <t>바코스토어</t>
        </is>
      </c>
      <c r="M14" s="40" t="inlineStr">
        <is>
          <t>본+크(미기재)</t>
        </is>
      </c>
      <c r="N14" s="45" t="n">
        <v>925000</v>
      </c>
      <c r="O14" s="36">
        <f>N14/110%</f>
        <v/>
      </c>
      <c r="P14" s="49">
        <f>1-(E14/O14)</f>
        <v/>
      </c>
      <c r="Q14" s="41" t="inlineStr">
        <is>
          <t>더원시스</t>
        </is>
      </c>
      <c r="R14" s="40" t="inlineStr">
        <is>
          <t>본체+USB</t>
        </is>
      </c>
      <c r="S14" s="49">
        <f>1-(H14/T14)</f>
        <v/>
      </c>
      <c r="T14" s="81">
        <f>U14/110%</f>
        <v/>
      </c>
      <c r="U14" s="48" t="n">
        <v>980000</v>
      </c>
      <c r="V14" s="82" t="n"/>
      <c r="W14" s="83" t="n"/>
      <c r="X14" s="84" t="n"/>
      <c r="Y14" s="85" t="n"/>
      <c r="Z14" s="84" t="n"/>
      <c r="AA14" s="84">
        <f>X14+Z14</f>
        <v/>
      </c>
      <c r="AB14" s="84">
        <f>AA14/110%</f>
        <v/>
      </c>
      <c r="AC14" s="86">
        <f>1-(E14/AB14)</f>
        <v/>
      </c>
      <c r="AD14" s="28">
        <f>1-(E14/H14)</f>
        <v/>
      </c>
      <c r="AE14" s="29">
        <f>1-(E14/O14)</f>
        <v/>
      </c>
      <c r="AF14" s="30" t="n"/>
      <c r="AG14" s="31" t="inlineStr">
        <is>
          <t>SR버전+USB케이블 (+0원)
HD버전+USB케이블 (+220,000원)
SR버전+RS232C케이블 (+33,000원)
HD버전+RS232C케이블 (+275,000원)</t>
        </is>
      </c>
    </row>
    <row r="15" ht="15" customHeight="1" s="12">
      <c r="A15" s="26" t="n">
        <v>13</v>
      </c>
      <c r="B15" s="27" t="inlineStr">
        <is>
          <t>DS3678 HD</t>
        </is>
      </c>
      <c r="C15" s="26" t="inlineStr">
        <is>
          <t>O</t>
        </is>
      </c>
      <c r="D15" s="35" t="inlineStr">
        <is>
          <t>본+크+USB</t>
        </is>
      </c>
      <c r="E15" s="36" t="n">
        <v>790000</v>
      </c>
      <c r="F15" s="36">
        <f>E15*110%</f>
        <v/>
      </c>
      <c r="G15" s="45" t="n">
        <v>1200000</v>
      </c>
      <c r="H15" s="36">
        <f>G15/110%</f>
        <v/>
      </c>
      <c r="I15" s="37">
        <f>G15</f>
        <v/>
      </c>
      <c r="J15" s="37">
        <f>E15</f>
        <v/>
      </c>
      <c r="K15" s="38">
        <f>1-(J15/(I15/110%))</f>
        <v/>
      </c>
      <c r="L15" s="87" t="inlineStr">
        <is>
          <t>아크메시스</t>
        </is>
      </c>
      <c r="M15" s="40" t="inlineStr">
        <is>
          <t>본+아답타+USB</t>
        </is>
      </c>
      <c r="N15" s="45" t="n">
        <v>1060000</v>
      </c>
      <c r="O15" s="36">
        <f>N15/110%</f>
        <v/>
      </c>
      <c r="P15" s="49">
        <f>1-(E15/O15)</f>
        <v/>
      </c>
      <c r="Q15" s="41" t="inlineStr">
        <is>
          <t>유니정보</t>
        </is>
      </c>
      <c r="R15" s="40" t="inlineStr">
        <is>
          <t>본체+USB</t>
        </is>
      </c>
      <c r="S15" s="49">
        <f>1-(H15/T15)</f>
        <v/>
      </c>
      <c r="T15" s="81">
        <f>U15/110%</f>
        <v/>
      </c>
      <c r="U15" s="48" t="n">
        <v>1090000</v>
      </c>
      <c r="V15" s="82" t="n"/>
      <c r="W15" s="83" t="n"/>
      <c r="X15" s="84" t="n"/>
      <c r="Y15" s="85" t="n"/>
      <c r="Z15" s="84" t="n"/>
      <c r="AA15" s="84">
        <f>X15+Z15</f>
        <v/>
      </c>
      <c r="AB15" s="84">
        <f>AA15/110%</f>
        <v/>
      </c>
      <c r="AC15" s="86">
        <f>1-(E15/AB15)</f>
        <v/>
      </c>
      <c r="AD15" s="28">
        <f>1-(E15/H15)</f>
        <v/>
      </c>
      <c r="AE15" s="29">
        <f>1-(E15/O15)</f>
        <v/>
      </c>
      <c r="AF15" s="30" t="n"/>
      <c r="AG15" s="31" t="n"/>
    </row>
    <row r="16" ht="15" customHeight="1" s="12">
      <c r="A16" s="26" t="n">
        <v>14</v>
      </c>
      <c r="B16" s="27" t="inlineStr">
        <is>
          <t>DS4608 XD</t>
        </is>
      </c>
      <c r="C16" s="26" t="inlineStr">
        <is>
          <t>X</t>
        </is>
      </c>
      <c r="D16" s="35" t="inlineStr">
        <is>
          <t>본체</t>
        </is>
      </c>
      <c r="E16" s="36" t="n">
        <v>280000</v>
      </c>
      <c r="F16" s="36">
        <f>E16*110%</f>
        <v/>
      </c>
      <c r="G16" s="45" t="n">
        <v>495000</v>
      </c>
      <c r="H16" s="36">
        <f>G16/110%</f>
        <v/>
      </c>
      <c r="I16" s="37">
        <f>G16+18000</f>
        <v/>
      </c>
      <c r="J16" s="37">
        <f>E16+9000</f>
        <v/>
      </c>
      <c r="K16" s="38">
        <f>1-(J16/(I16/110%))</f>
        <v/>
      </c>
      <c r="L16" s="87" t="inlineStr">
        <is>
          <t>한국바코드시스템</t>
        </is>
      </c>
      <c r="M16" s="40" t="inlineStr">
        <is>
          <t>본체</t>
        </is>
      </c>
      <c r="N16" s="45" t="n">
        <v>297000</v>
      </c>
      <c r="O16" s="36">
        <f>N16/110%</f>
        <v/>
      </c>
      <c r="P16" s="49">
        <f>1-(E16/O16)</f>
        <v/>
      </c>
      <c r="Q16" s="41" t="inlineStr">
        <is>
          <t>아크메시스</t>
        </is>
      </c>
      <c r="R16" s="40" t="inlineStr">
        <is>
          <t>본체+USB</t>
        </is>
      </c>
      <c r="S16" s="49">
        <f>1-(H16/T16)</f>
        <v/>
      </c>
      <c r="T16" s="81">
        <f>U16/110%</f>
        <v/>
      </c>
      <c r="U16" s="48" t="n">
        <v>340000</v>
      </c>
      <c r="V16" s="82" t="n"/>
      <c r="W16" s="83" t="n"/>
      <c r="X16" s="84" t="n"/>
      <c r="Y16" s="85" t="n"/>
      <c r="Z16" s="84" t="n"/>
      <c r="AA16" s="84">
        <f>X16+Z16</f>
        <v/>
      </c>
      <c r="AB16" s="84">
        <f>AA16/110%</f>
        <v/>
      </c>
      <c r="AC16" s="86">
        <f>1-(E16/AB16)</f>
        <v/>
      </c>
      <c r="AD16" s="28">
        <f>1-(E16/H16)</f>
        <v/>
      </c>
      <c r="AE16" s="29">
        <f>1-(E16/O16)</f>
        <v/>
      </c>
      <c r="AF16" s="30" t="n"/>
      <c r="AG16" s="31" t="inlineStr">
        <is>
          <t>RS232C / 선택안함 (+24,200원)
RS232C / 스탠드거치대 (+79,200원)
본체만(케이블없음) / 선택안함 (+0원)
본체만(케이블없음) / 스탠드거치대 (+55,000원)</t>
        </is>
      </c>
    </row>
    <row r="17" ht="15" customHeight="1" s="12">
      <c r="A17" s="26" t="n">
        <v>15</v>
      </c>
      <c r="B17" s="34" t="inlineStr">
        <is>
          <t>DS8288/타업체없음</t>
        </is>
      </c>
      <c r="C17" s="33" t="inlineStr">
        <is>
          <t>O</t>
        </is>
      </c>
      <c r="D17" s="51" t="inlineStr">
        <is>
          <t>본+USB</t>
        </is>
      </c>
      <c r="E17" s="52" t="n">
        <v>700000</v>
      </c>
      <c r="F17" s="52">
        <f>E17*110%</f>
        <v/>
      </c>
      <c r="G17" s="53" t="n">
        <v>1058200</v>
      </c>
      <c r="H17" s="52">
        <f>G17/110%</f>
        <v/>
      </c>
      <c r="I17" s="54">
        <f>G17</f>
        <v/>
      </c>
      <c r="J17" s="54">
        <f>E17</f>
        <v/>
      </c>
      <c r="K17" s="55">
        <f>1-(J17/(I17/110%))</f>
        <v/>
      </c>
      <c r="L17" s="95" t="inlineStr">
        <is>
          <t>코스모스몰</t>
        </is>
      </c>
      <c r="M17" s="33" t="inlineStr">
        <is>
          <t>본+USB</t>
        </is>
      </c>
      <c r="N17" s="53" t="n">
        <v>1058200</v>
      </c>
      <c r="O17" s="52">
        <f>N17/110%</f>
        <v/>
      </c>
      <c r="P17" s="55">
        <f>1-(E17/O17)</f>
        <v/>
      </c>
      <c r="Q17" s="57" t="n"/>
      <c r="R17" s="33" t="n"/>
      <c r="S17" s="55" t="n"/>
      <c r="T17" s="97">
        <f>U17/110%</f>
        <v/>
      </c>
      <c r="U17" s="54" t="n"/>
      <c r="V17" s="89" t="n"/>
      <c r="W17" s="90" t="n"/>
      <c r="X17" s="91" t="n"/>
      <c r="Y17" s="92" t="n"/>
      <c r="Z17" s="91" t="n"/>
      <c r="AA17" s="91">
        <f>X17+Z17</f>
        <v/>
      </c>
      <c r="AB17" s="91">
        <f>AA17/110%</f>
        <v/>
      </c>
      <c r="AC17" s="93">
        <f>1-(E17/AB17)</f>
        <v/>
      </c>
      <c r="AD17" s="28">
        <f>1-(E17/H17)</f>
        <v/>
      </c>
      <c r="AE17" s="29">
        <f>1-(E17/O17)</f>
        <v/>
      </c>
      <c r="AF17" s="30" t="n"/>
      <c r="AG17" s="31" t="inlineStr">
        <is>
          <t>RS232C (+24,200원)</t>
        </is>
      </c>
    </row>
    <row r="18" ht="15" customHeight="1" s="12">
      <c r="A18" s="26" t="n">
        <v>16</v>
      </c>
      <c r="B18" s="34" t="inlineStr">
        <is>
          <t>DS8208/타업체없음</t>
        </is>
      </c>
      <c r="C18" s="33" t="inlineStr">
        <is>
          <t>O</t>
        </is>
      </c>
      <c r="D18" s="51" t="inlineStr">
        <is>
          <t>본+USB</t>
        </is>
      </c>
      <c r="E18" s="52" t="n"/>
      <c r="F18" s="52">
        <f>E18*110%</f>
        <v/>
      </c>
      <c r="G18" s="53" t="n">
        <v>577500</v>
      </c>
      <c r="H18" s="52">
        <f>G18/110%</f>
        <v/>
      </c>
      <c r="I18" s="54">
        <f>G18</f>
        <v/>
      </c>
      <c r="J18" s="54">
        <f>E18</f>
        <v/>
      </c>
      <c r="K18" s="55">
        <f>1-(J18/(I18/110%))</f>
        <v/>
      </c>
      <c r="L18" s="95" t="inlineStr">
        <is>
          <t>코스모스몰</t>
        </is>
      </c>
      <c r="M18" s="33" t="inlineStr">
        <is>
          <t>본+USB</t>
        </is>
      </c>
      <c r="N18" s="53" t="n">
        <v>577500</v>
      </c>
      <c r="O18" s="52">
        <f>N18/110%</f>
        <v/>
      </c>
      <c r="P18" s="55">
        <f>1-(E18/O18)</f>
        <v/>
      </c>
      <c r="Q18" s="57" t="n"/>
      <c r="R18" s="33" t="n"/>
      <c r="S18" s="55" t="n"/>
      <c r="T18" s="97">
        <f>U18/110%</f>
        <v/>
      </c>
      <c r="U18" s="54" t="n"/>
      <c r="V18" s="89" t="n"/>
      <c r="W18" s="90" t="n"/>
      <c r="X18" s="91" t="n"/>
      <c r="Y18" s="92" t="n"/>
      <c r="Z18" s="91" t="n"/>
      <c r="AA18" s="91">
        <f>X18+Z18</f>
        <v/>
      </c>
      <c r="AB18" s="91">
        <f>AA18/110%</f>
        <v/>
      </c>
      <c r="AC18" s="93">
        <f>1-(E18/AB18)</f>
        <v/>
      </c>
      <c r="AD18" s="28">
        <f>1-(E18/H18)</f>
        <v/>
      </c>
      <c r="AE18" s="29">
        <f>1-(E18/O18)</f>
        <v/>
      </c>
      <c r="AF18" s="30" t="n"/>
      <c r="AG18" s="31" t="inlineStr">
        <is>
          <t>RS232C (+24,200원)</t>
        </is>
      </c>
    </row>
    <row r="19" ht="16.5" customHeight="1" s="12">
      <c r="A19" s="26" t="n">
        <v>17</v>
      </c>
      <c r="B19" s="34" t="inlineStr">
        <is>
          <t>DS3608 ER</t>
        </is>
      </c>
      <c r="C19" s="33" t="inlineStr">
        <is>
          <t>O</t>
        </is>
      </c>
      <c r="D19" s="51" t="inlineStr">
        <is>
          <t>본+USB</t>
        </is>
      </c>
      <c r="E19" s="52" t="n">
        <v>65000</v>
      </c>
      <c r="F19" s="52">
        <f>E19*110%</f>
        <v/>
      </c>
      <c r="G19" s="53" t="n">
        <v>660000</v>
      </c>
      <c r="H19" s="52">
        <f>G19/110%</f>
        <v/>
      </c>
      <c r="I19" s="54">
        <f>G19</f>
        <v/>
      </c>
      <c r="J19" s="54">
        <f>E19</f>
        <v/>
      </c>
      <c r="K19" s="55">
        <f>1-(J19/(I19/110%))</f>
        <v/>
      </c>
      <c r="L19" s="95" t="inlineStr">
        <is>
          <t>코스모스몰</t>
        </is>
      </c>
      <c r="M19" s="33" t="inlineStr">
        <is>
          <t>본+USB</t>
        </is>
      </c>
      <c r="N19" s="53" t="n">
        <v>200000</v>
      </c>
      <c r="O19" s="52">
        <f>N19/110%</f>
        <v/>
      </c>
      <c r="P19" s="55">
        <f>1-(E19/O19)</f>
        <v/>
      </c>
      <c r="Q19" s="57" t="n"/>
      <c r="R19" s="33" t="n"/>
      <c r="S19" s="55" t="n"/>
      <c r="T19" s="97">
        <f>U19/110%</f>
        <v/>
      </c>
      <c r="U19" s="54" t="n"/>
      <c r="V19" s="89" t="n"/>
      <c r="W19" s="90" t="n"/>
      <c r="X19" s="91" t="n"/>
      <c r="Y19" s="92" t="n"/>
      <c r="Z19" s="91" t="n"/>
      <c r="AA19" s="91">
        <f>X19+Z19</f>
        <v/>
      </c>
      <c r="AB19" s="91">
        <f>AA19/110%</f>
        <v/>
      </c>
      <c r="AC19" s="93">
        <f>1-(E19/AB19)</f>
        <v/>
      </c>
      <c r="AD19" s="28">
        <f>1-(E19/H19)</f>
        <v/>
      </c>
      <c r="AE19" s="29">
        <f>1-(E19/O19)</f>
        <v/>
      </c>
      <c r="AF19" s="30" t="n"/>
      <c r="AG19" s="31" t="inlineStr">
        <is>
          <t>없음</t>
        </is>
      </c>
    </row>
    <row r="20" ht="15" customHeight="1" s="12">
      <c r="A20" s="26" t="n">
        <v>18</v>
      </c>
      <c r="B20" s="32" t="inlineStr">
        <is>
          <t>LI3608 ER</t>
        </is>
      </c>
      <c r="C20" s="26" t="inlineStr">
        <is>
          <t>O</t>
        </is>
      </c>
      <c r="D20" s="35" t="inlineStr">
        <is>
          <t>본+USB</t>
        </is>
      </c>
      <c r="E20" s="36" t="n">
        <v>70000</v>
      </c>
      <c r="F20" s="36">
        <f>E20*110%</f>
        <v/>
      </c>
      <c r="G20" s="45" t="n">
        <v>572000</v>
      </c>
      <c r="H20" s="36">
        <f>G20/110%</f>
        <v/>
      </c>
      <c r="I20" s="37">
        <f>G20</f>
        <v/>
      </c>
      <c r="J20" s="37">
        <f>E20</f>
        <v/>
      </c>
      <c r="K20" s="38">
        <f>1-(J20/(I20/110%))</f>
        <v/>
      </c>
      <c r="L20" s="88" t="inlineStr">
        <is>
          <t>유니정보</t>
        </is>
      </c>
      <c r="M20" s="40" t="inlineStr">
        <is>
          <t>본+USB</t>
        </is>
      </c>
      <c r="N20" s="45" t="n">
        <v>359000</v>
      </c>
      <c r="O20" s="36">
        <f>N20/110%</f>
        <v/>
      </c>
      <c r="P20" s="49">
        <f>1-(E20/O20)</f>
        <v/>
      </c>
      <c r="Q20" s="41" t="n"/>
      <c r="R20" s="40" t="n"/>
      <c r="S20" s="49" t="n"/>
      <c r="T20" s="81">
        <f>U20/110%</f>
        <v/>
      </c>
      <c r="U20" s="47" t="n"/>
      <c r="V20" s="89" t="n"/>
      <c r="W20" s="90" t="n"/>
      <c r="X20" s="91" t="n"/>
      <c r="Y20" s="92" t="n"/>
      <c r="Z20" s="91" t="n"/>
      <c r="AA20" s="91">
        <f>X20+Z20</f>
        <v/>
      </c>
      <c r="AB20" s="91">
        <f>AA20/110%</f>
        <v/>
      </c>
      <c r="AC20" s="93">
        <f>1-(E20/AB20)</f>
        <v/>
      </c>
      <c r="AD20" s="28">
        <f>1-(E20/H20)</f>
        <v/>
      </c>
      <c r="AE20" s="29">
        <f>1-(E20/O20)</f>
        <v/>
      </c>
      <c r="AF20" s="30" t="n"/>
      <c r="AG20" s="31" t="inlineStr">
        <is>
          <t>없음</t>
        </is>
      </c>
    </row>
    <row r="21" ht="15" customHeight="1" s="12">
      <c r="A21" s="26" t="n">
        <v>19</v>
      </c>
      <c r="B21" s="32" t="inlineStr">
        <is>
          <t>DS3678 XR</t>
        </is>
      </c>
      <c r="C21" s="26" t="inlineStr">
        <is>
          <t>O</t>
        </is>
      </c>
      <c r="D21" s="35" t="inlineStr">
        <is>
          <t>본+USB</t>
        </is>
      </c>
      <c r="E21" s="37" t="n"/>
      <c r="F21" s="36">
        <f>E21*110%</f>
        <v/>
      </c>
      <c r="G21" s="45" t="n">
        <v>1628000</v>
      </c>
      <c r="H21" s="36">
        <f>G21/110%</f>
        <v/>
      </c>
      <c r="I21" s="37">
        <f>G21</f>
        <v/>
      </c>
      <c r="J21" s="37">
        <f>E21</f>
        <v/>
      </c>
      <c r="K21" s="38">
        <f>1-(J21/(I21/110%))</f>
        <v/>
      </c>
      <c r="L21" s="88" t="inlineStr">
        <is>
          <t>코스모스몰</t>
        </is>
      </c>
      <c r="M21" s="40" t="inlineStr">
        <is>
          <t>본+USB</t>
        </is>
      </c>
      <c r="N21" s="45" t="n">
        <v>1628000</v>
      </c>
      <c r="O21" s="36">
        <f>N21/110%</f>
        <v/>
      </c>
      <c r="P21" s="49">
        <f>1-(E21/O21)</f>
        <v/>
      </c>
      <c r="Q21" s="41" t="n"/>
      <c r="R21" s="40" t="n"/>
      <c r="S21" s="49" t="n"/>
      <c r="T21" s="81">
        <f>U21/110%</f>
        <v/>
      </c>
      <c r="U21" s="47" t="n"/>
      <c r="V21" s="89" t="n"/>
      <c r="W21" s="90" t="n"/>
      <c r="X21" s="91" t="n"/>
      <c r="Y21" s="92" t="n"/>
      <c r="Z21" s="91" t="n"/>
      <c r="AA21" s="91">
        <f>X21+Z21</f>
        <v/>
      </c>
      <c r="AB21" s="91">
        <f>AA21/110%</f>
        <v/>
      </c>
      <c r="AC21" s="93">
        <f>1-(E21/AB21)</f>
        <v/>
      </c>
      <c r="AD21" s="28">
        <f>1-(E21/H21)</f>
        <v/>
      </c>
      <c r="AE21" s="29">
        <f>1-(E21/O21)</f>
        <v/>
      </c>
      <c r="AF21" s="30" t="n"/>
      <c r="AG21" s="31" t="inlineStr">
        <is>
          <t>RS232C (+24,200원)</t>
        </is>
      </c>
    </row>
    <row r="22" ht="15" customHeight="1" s="12">
      <c r="A22" s="26" t="n">
        <v>20</v>
      </c>
      <c r="B22" s="32" t="inlineStr">
        <is>
          <t>DS5502</t>
        </is>
      </c>
      <c r="C22" s="26" t="inlineStr">
        <is>
          <t>O</t>
        </is>
      </c>
      <c r="D22" s="35" t="inlineStr">
        <is>
          <t>본+USB</t>
        </is>
      </c>
      <c r="E22" s="37" t="n"/>
      <c r="F22" s="36">
        <f>E22*110%</f>
        <v/>
      </c>
      <c r="G22" s="45" t="n">
        <v>418000</v>
      </c>
      <c r="H22" s="36">
        <f>G22/110%</f>
        <v/>
      </c>
      <c r="I22" s="37">
        <f>G22</f>
        <v/>
      </c>
      <c r="J22" s="37">
        <f>E22</f>
        <v/>
      </c>
      <c r="K22" s="38">
        <f>1-(J22/(I22/110%))</f>
        <v/>
      </c>
      <c r="L22" s="88" t="inlineStr">
        <is>
          <t>유니정보,착한라벨,우주사무기</t>
        </is>
      </c>
      <c r="M22" s="40" t="inlineStr">
        <is>
          <t>본+USB</t>
        </is>
      </c>
      <c r="N22" s="45" t="n">
        <v>390000</v>
      </c>
      <c r="O22" s="36">
        <f>N22/110%</f>
        <v/>
      </c>
      <c r="P22" s="49">
        <f>1-(E22/O22)</f>
        <v/>
      </c>
      <c r="Q22" s="41" t="n"/>
      <c r="R22" s="40" t="n"/>
      <c r="S22" s="49" t="n"/>
      <c r="T22" s="81">
        <f>U22/110%</f>
        <v/>
      </c>
      <c r="U22" s="47" t="n"/>
      <c r="V22" s="89" t="n"/>
      <c r="W22" s="90" t="n"/>
      <c r="X22" s="91" t="n"/>
      <c r="Y22" s="92" t="n"/>
      <c r="Z22" s="91" t="n"/>
      <c r="AA22" s="91">
        <f>X22+Z22</f>
        <v/>
      </c>
      <c r="AB22" s="91">
        <f>AA22/110%</f>
        <v/>
      </c>
      <c r="AC22" s="93">
        <f>1-(E22/AB22)</f>
        <v/>
      </c>
      <c r="AD22" s="28">
        <f>1-(E22/H22)</f>
        <v/>
      </c>
      <c r="AE22" s="29">
        <f>1-(E22/O22)</f>
        <v/>
      </c>
      <c r="AF22" s="30" t="n"/>
      <c r="AG22" s="31" t="inlineStr">
        <is>
          <t>RS232C (+49,500원)</t>
        </is>
      </c>
    </row>
    <row r="23" ht="15" customHeight="1" s="12">
      <c r="A23" s="26" t="n">
        <v>21</v>
      </c>
      <c r="B23" s="27" t="inlineStr">
        <is>
          <t>DS4678</t>
        </is>
      </c>
      <c r="C23" s="26" t="inlineStr">
        <is>
          <t>X</t>
        </is>
      </c>
      <c r="D23" s="35" t="inlineStr">
        <is>
          <t>본+크</t>
        </is>
      </c>
      <c r="E23" s="36" t="n">
        <v>440000</v>
      </c>
      <c r="F23" s="36">
        <f>E23*110%</f>
        <v/>
      </c>
      <c r="G23" s="45" t="n">
        <v>566500</v>
      </c>
      <c r="H23" s="36">
        <f>G23/110%</f>
        <v/>
      </c>
      <c r="I23" s="37">
        <f>G23+18000</f>
        <v/>
      </c>
      <c r="J23" s="37">
        <f>E23+9000</f>
        <v/>
      </c>
      <c r="K23" s="38">
        <f>1-(J23/(I23/110%))</f>
        <v/>
      </c>
      <c r="L23" s="87" t="inlineStr">
        <is>
          <t>주노바코드스토어</t>
        </is>
      </c>
      <c r="M23" s="40" t="inlineStr">
        <is>
          <t>본+크+USB</t>
        </is>
      </c>
      <c r="N23" s="45" t="n">
        <v>530000</v>
      </c>
      <c r="O23" s="36">
        <f>N23/110%</f>
        <v/>
      </c>
      <c r="P23" s="49">
        <f>1-(E23/O23)</f>
        <v/>
      </c>
      <c r="Q23" s="41" t="inlineStr">
        <is>
          <t>바코드랩</t>
        </is>
      </c>
      <c r="R23" s="40" t="inlineStr">
        <is>
          <t>본+크</t>
        </is>
      </c>
      <c r="S23" s="49">
        <f>1-(H23/T23)</f>
        <v/>
      </c>
      <c r="T23" s="81">
        <f>U23/110%</f>
        <v/>
      </c>
      <c r="U23" s="48" t="n">
        <v>530000</v>
      </c>
      <c r="V23" s="82" t="n"/>
      <c r="W23" s="83" t="n"/>
      <c r="X23" s="84" t="n"/>
      <c r="Y23" s="85" t="n"/>
      <c r="Z23" s="84" t="n"/>
      <c r="AA23" s="84">
        <f>X23+Z23</f>
        <v/>
      </c>
      <c r="AB23" s="84">
        <f>AA23/110%</f>
        <v/>
      </c>
      <c r="AC23" s="86">
        <f>1-(E23/AB23)</f>
        <v/>
      </c>
      <c r="AD23" s="28">
        <f>1-(E23/H23)</f>
        <v/>
      </c>
      <c r="AE23" s="29">
        <f>1-(E23/O23)</f>
        <v/>
      </c>
      <c r="AF23" s="30" t="n"/>
      <c r="AG23" s="31" t="inlineStr">
        <is>
          <t>본체+크래들만(케이블없음) (+0원)
RS232C (+24,200원)</t>
        </is>
      </c>
    </row>
    <row r="24" ht="15" customHeight="1" s="12">
      <c r="A24" s="26" t="n">
        <v>22</v>
      </c>
      <c r="B24" s="32" t="inlineStr">
        <is>
          <t>SP72</t>
        </is>
      </c>
      <c r="C24" s="26" t="inlineStr">
        <is>
          <t>O</t>
        </is>
      </c>
      <c r="D24" s="35" t="inlineStr">
        <is>
          <t>본+USB</t>
        </is>
      </c>
      <c r="E24" s="36" t="n">
        <v>448000</v>
      </c>
      <c r="F24" s="36">
        <f>E24*110%</f>
        <v/>
      </c>
      <c r="G24" s="45" t="n">
        <v>980000</v>
      </c>
      <c r="H24" s="36">
        <f>G24/110%</f>
        <v/>
      </c>
      <c r="I24" s="37">
        <f>G24</f>
        <v/>
      </c>
      <c r="J24" s="37">
        <f>E24</f>
        <v/>
      </c>
      <c r="K24" s="38">
        <f>1-(J24/(I24/110%))</f>
        <v/>
      </c>
      <c r="L24" s="88" t="inlineStr">
        <is>
          <t>코스모스몰,더원시스</t>
        </is>
      </c>
      <c r="M24" s="40" t="inlineStr">
        <is>
          <t>본+USB</t>
        </is>
      </c>
      <c r="N24" s="47" t="n">
        <v>980000</v>
      </c>
      <c r="O24" s="36">
        <f>N24/110%</f>
        <v/>
      </c>
      <c r="P24" s="49">
        <f>1-(E24/O24)</f>
        <v/>
      </c>
      <c r="Q24" s="41" t="n"/>
      <c r="R24" s="40" t="n"/>
      <c r="S24" s="49" t="n"/>
      <c r="T24" s="81">
        <f>U24/110%</f>
        <v/>
      </c>
      <c r="U24" s="47" t="n"/>
      <c r="V24" s="89" t="n"/>
      <c r="W24" s="90" t="n"/>
      <c r="X24" s="91" t="n"/>
      <c r="Y24" s="92" t="n"/>
      <c r="Z24" s="91" t="n"/>
      <c r="AA24" s="91">
        <f>X24+Z24</f>
        <v/>
      </c>
      <c r="AB24" s="91">
        <f>AA24/110%</f>
        <v/>
      </c>
      <c r="AC24" s="93">
        <f>1-(E24/AB24)</f>
        <v/>
      </c>
      <c r="AD24" s="28">
        <f>1-(E24/H24)</f>
        <v/>
      </c>
      <c r="AE24" s="29">
        <f>1-(E24/O24)</f>
        <v/>
      </c>
      <c r="AF24" s="30" t="n"/>
      <c r="AG24" s="31" t="inlineStr">
        <is>
          <t>없음</t>
        </is>
      </c>
    </row>
    <row r="25" ht="15" customHeight="1" s="12">
      <c r="A25" s="26" t="n">
        <v>23</v>
      </c>
      <c r="B25" s="27" t="inlineStr">
        <is>
          <t>DS9308</t>
        </is>
      </c>
      <c r="C25" s="26" t="inlineStr">
        <is>
          <t>X</t>
        </is>
      </c>
      <c r="D25" s="35" t="inlineStr">
        <is>
          <t>본체</t>
        </is>
      </c>
      <c r="E25" s="36" t="n">
        <v>182000</v>
      </c>
      <c r="F25" s="36">
        <f>E25*110%</f>
        <v/>
      </c>
      <c r="G25" s="45" t="n">
        <v>246000</v>
      </c>
      <c r="H25" s="36">
        <f>G25/110%</f>
        <v/>
      </c>
      <c r="I25" s="37">
        <f>G25+18000</f>
        <v/>
      </c>
      <c r="J25" s="37">
        <f>E25+9000</f>
        <v/>
      </c>
      <c r="K25" s="38">
        <f>1-(J25/(I25/110%))</f>
        <v/>
      </c>
      <c r="L25" s="87" t="inlineStr">
        <is>
          <t>에이치앤아이디지탈</t>
        </is>
      </c>
      <c r="M25" s="40" t="inlineStr">
        <is>
          <t>본체</t>
        </is>
      </c>
      <c r="N25" s="45" t="n">
        <v>149500</v>
      </c>
      <c r="O25" s="36">
        <f>N25/110%</f>
        <v/>
      </c>
      <c r="P25" s="49">
        <f>1-(E25/O25)</f>
        <v/>
      </c>
      <c r="Q25" s="41" t="inlineStr">
        <is>
          <t>바코드랩</t>
        </is>
      </c>
      <c r="R25" s="40" t="inlineStr">
        <is>
          <t>본체</t>
        </is>
      </c>
      <c r="S25" s="49">
        <f>1-(H25/T25)</f>
        <v/>
      </c>
      <c r="T25" s="81">
        <f>U25/110%</f>
        <v/>
      </c>
      <c r="U25" s="48" t="n">
        <v>215000</v>
      </c>
      <c r="V25" s="82" t="n"/>
      <c r="W25" s="83" t="n"/>
      <c r="X25" s="84" t="n"/>
      <c r="Y25" s="85" t="n"/>
      <c r="Z25" s="84" t="n"/>
      <c r="AA25" s="84">
        <f>X25+Z25</f>
        <v/>
      </c>
      <c r="AB25" s="84">
        <f>AA25/110%</f>
        <v/>
      </c>
      <c r="AC25" s="86">
        <f>1-(E25/AB25)</f>
        <v/>
      </c>
      <c r="AD25" s="28" t="n"/>
      <c r="AE25" s="29" t="n"/>
      <c r="AF25" s="30" t="n"/>
      <c r="AG25" s="31" t="inlineStr">
        <is>
          <t>RS232C (+24,200원)
본체만(케이블없음) (+0원)</t>
        </is>
      </c>
    </row>
    <row r="26" ht="15" customHeight="1" s="12">
      <c r="A26" s="26" t="n">
        <v>24</v>
      </c>
      <c r="B26" s="27" t="inlineStr">
        <is>
          <t>DS8178</t>
        </is>
      </c>
      <c r="C26" s="26" t="inlineStr">
        <is>
          <t>X</t>
        </is>
      </c>
      <c r="D26" s="35" t="inlineStr">
        <is>
          <t>본+크</t>
        </is>
      </c>
      <c r="E26" s="36" t="n">
        <v>510000</v>
      </c>
      <c r="F26" s="36">
        <f>E26*110%</f>
        <v/>
      </c>
      <c r="G26" s="45" t="n">
        <v>660000</v>
      </c>
      <c r="H26" s="36">
        <f>G26/110%</f>
        <v/>
      </c>
      <c r="I26" s="37">
        <f>G26+18000</f>
        <v/>
      </c>
      <c r="J26" s="37">
        <f>E26+9000</f>
        <v/>
      </c>
      <c r="K26" s="38">
        <f>1-(J26/(I26/110%))</f>
        <v/>
      </c>
      <c r="L26" s="87" t="inlineStr">
        <is>
          <t>BA인터네셔널</t>
        </is>
      </c>
      <c r="M26" s="40" t="inlineStr">
        <is>
          <t>본+크+USB</t>
        </is>
      </c>
      <c r="N26" s="45" t="n">
        <v>555000</v>
      </c>
      <c r="O26" s="36">
        <f>N26/110%</f>
        <v/>
      </c>
      <c r="P26" s="49">
        <f>1-(E26/O26)</f>
        <v/>
      </c>
      <c r="Q26" s="41" t="inlineStr">
        <is>
          <t>더원시스</t>
        </is>
      </c>
      <c r="R26" s="40" t="inlineStr">
        <is>
          <t>본+크+USB</t>
        </is>
      </c>
      <c r="S26" s="49">
        <f>1-(H26/T26)</f>
        <v/>
      </c>
      <c r="T26" s="81">
        <f>U26/110%</f>
        <v/>
      </c>
      <c r="U26" s="48" t="n">
        <v>654610</v>
      </c>
      <c r="V26" s="82" t="n"/>
      <c r="W26" s="83" t="n"/>
      <c r="X26" s="84" t="n"/>
      <c r="Y26" s="85" t="n"/>
      <c r="Z26" s="84" t="n"/>
      <c r="AA26" s="84">
        <f>X26+Z26</f>
        <v/>
      </c>
      <c r="AB26" s="84">
        <f>AA26/110%</f>
        <v/>
      </c>
      <c r="AC26" s="86">
        <f>1-(E26/AB26)</f>
        <v/>
      </c>
      <c r="AD26" s="28" t="n"/>
      <c r="AE26" s="29" t="n"/>
      <c r="AF26" s="30" t="n"/>
      <c r="AG26" s="31" t="inlineStr">
        <is>
          <t>RS232C (+24,200원)
본체+크래들만(케이블없음) (+0원)</t>
        </is>
      </c>
    </row>
    <row r="27" ht="15" customHeight="1" s="12">
      <c r="A27" s="26" t="n">
        <v>25</v>
      </c>
      <c r="B27" s="27" t="inlineStr">
        <is>
          <t>LI4278</t>
        </is>
      </c>
      <c r="C27" s="26" t="inlineStr">
        <is>
          <t>X</t>
        </is>
      </c>
      <c r="D27" s="35" t="inlineStr">
        <is>
          <t>본+크</t>
        </is>
      </c>
      <c r="E27" s="36" t="n">
        <v>305000</v>
      </c>
      <c r="F27" s="36">
        <f>E27*110%</f>
        <v/>
      </c>
      <c r="G27" s="45" t="n">
        <v>380000</v>
      </c>
      <c r="H27" s="36">
        <f>G27/110%</f>
        <v/>
      </c>
      <c r="I27" s="37">
        <f>G27+18000</f>
        <v/>
      </c>
      <c r="J27" s="37">
        <f>E27+9000</f>
        <v/>
      </c>
      <c r="K27" s="38">
        <f>1-(J27/(I27/110%))</f>
        <v/>
      </c>
      <c r="L27" s="87" t="inlineStr">
        <is>
          <t>아크메시스</t>
        </is>
      </c>
      <c r="M27" s="40" t="inlineStr">
        <is>
          <t>본+크+USB</t>
        </is>
      </c>
      <c r="N27" s="45" t="n">
        <v>360000</v>
      </c>
      <c r="O27" s="36">
        <f>N27/110%</f>
        <v/>
      </c>
      <c r="P27" s="49">
        <f>1-(E27/O27)</f>
        <v/>
      </c>
      <c r="Q27" s="41" t="inlineStr">
        <is>
          <t>더원시스</t>
        </is>
      </c>
      <c r="R27" s="40" t="inlineStr">
        <is>
          <t>본+크+USB</t>
        </is>
      </c>
      <c r="S27" s="49">
        <f>1-(H27/T27)</f>
        <v/>
      </c>
      <c r="T27" s="81">
        <f>U27/110%</f>
        <v/>
      </c>
      <c r="U27" s="48" t="n">
        <v>393400</v>
      </c>
      <c r="V27" s="82" t="n"/>
      <c r="W27" s="83" t="n"/>
      <c r="X27" s="84" t="n"/>
      <c r="Y27" s="85" t="n"/>
      <c r="Z27" s="84" t="n"/>
      <c r="AA27" s="84">
        <f>X27+Z27</f>
        <v/>
      </c>
      <c r="AB27" s="84">
        <f>AA27/110%</f>
        <v/>
      </c>
      <c r="AC27" s="86">
        <f>1-(E27/AB27)</f>
        <v/>
      </c>
      <c r="AD27" s="28" t="n"/>
      <c r="AE27" s="29" t="n"/>
      <c r="AF27" s="30" t="n"/>
      <c r="AG27" s="31" t="inlineStr">
        <is>
          <t>RS232C (+24,200원)
본체+크래들만(케이블없음) (+0원)</t>
        </is>
      </c>
    </row>
    <row r="28" ht="15" customHeight="1" s="12">
      <c r="A28" s="26" t="n">
        <v>26</v>
      </c>
      <c r="B28" s="34" t="inlineStr">
        <is>
          <t>RS6100/견적요청</t>
        </is>
      </c>
      <c r="C28" s="33" t="inlineStr">
        <is>
          <t>-</t>
        </is>
      </c>
      <c r="D28" s="51" t="n"/>
      <c r="E28" s="52" t="n"/>
      <c r="F28" s="52" t="n"/>
      <c r="G28" s="53" t="n"/>
      <c r="H28" s="52" t="n"/>
      <c r="I28" s="54" t="n"/>
      <c r="J28" s="54" t="n"/>
      <c r="K28" s="55" t="n"/>
      <c r="L28" s="95" t="n"/>
      <c r="M28" s="33" t="n"/>
      <c r="N28" s="53" t="n"/>
      <c r="O28" s="54" t="n"/>
      <c r="P28" s="55" t="n"/>
      <c r="Q28" s="57" t="n"/>
      <c r="R28" s="33" t="n"/>
      <c r="S28" s="52" t="n"/>
      <c r="T28" s="97">
        <f>U28/110%</f>
        <v/>
      </c>
      <c r="U28" s="54" t="n"/>
      <c r="V28" s="89" t="n"/>
      <c r="W28" s="90" t="n"/>
      <c r="X28" s="91" t="n"/>
      <c r="Y28" s="92" t="n"/>
      <c r="Z28" s="91" t="n"/>
      <c r="AA28" s="91">
        <f>X28+Z28</f>
        <v/>
      </c>
      <c r="AB28" s="91">
        <f>AA28/110%</f>
        <v/>
      </c>
      <c r="AC28" s="93">
        <f>1-(E28/AB28)</f>
        <v/>
      </c>
      <c r="AD28" s="28" t="n"/>
      <c r="AE28" s="29" t="n"/>
      <c r="AF28" s="30" t="n"/>
      <c r="AG28" s="31" t="inlineStr">
        <is>
          <t>링트리거 (+0원)</t>
        </is>
      </c>
    </row>
    <row r="29" ht="15" customHeight="1" s="12">
      <c r="A29" s="26" t="n">
        <v>27</v>
      </c>
      <c r="B29" s="34" t="inlineStr">
        <is>
          <t>FS10/견적요청</t>
        </is>
      </c>
      <c r="C29" s="33" t="inlineStr">
        <is>
          <t>-</t>
        </is>
      </c>
      <c r="D29" s="51" t="n"/>
      <c r="E29" s="52" t="n"/>
      <c r="F29" s="52" t="n"/>
      <c r="G29" s="53" t="n"/>
      <c r="H29" s="52" t="n"/>
      <c r="I29" s="54" t="n"/>
      <c r="J29" s="54" t="n"/>
      <c r="K29" s="55" t="n"/>
      <c r="L29" s="95" t="n"/>
      <c r="M29" s="33" t="n"/>
      <c r="N29" s="53" t="n"/>
      <c r="O29" s="54" t="n"/>
      <c r="P29" s="55" t="n"/>
      <c r="Q29" s="57" t="n"/>
      <c r="R29" s="33" t="n"/>
      <c r="S29" s="52" t="n"/>
      <c r="T29" s="97">
        <f>U29/110%</f>
        <v/>
      </c>
      <c r="U29" s="54" t="n"/>
      <c r="V29" s="89" t="n"/>
      <c r="W29" s="90" t="n"/>
      <c r="X29" s="91" t="n"/>
      <c r="Y29" s="92" t="n"/>
      <c r="Z29" s="91" t="n"/>
      <c r="AA29" s="91">
        <f>X29+Z29</f>
        <v/>
      </c>
      <c r="AB29" s="91">
        <f>AA29/110%</f>
        <v/>
      </c>
      <c r="AC29" s="93">
        <f>1-(E29/AB29)</f>
        <v/>
      </c>
      <c r="AD29" s="28" t="n"/>
      <c r="AE29" s="29" t="n"/>
      <c r="AF29" s="30" t="n"/>
      <c r="AG29" s="31" t="inlineStr">
        <is>
          <t>본체 (+0원)</t>
        </is>
      </c>
    </row>
    <row r="30" ht="15" customHeight="1" s="12">
      <c r="A30" s="26" t="n">
        <v>28</v>
      </c>
      <c r="B30" s="34" t="inlineStr">
        <is>
          <t>FS20/견적요청</t>
        </is>
      </c>
      <c r="C30" s="33" t="inlineStr">
        <is>
          <t>-</t>
        </is>
      </c>
      <c r="D30" s="51" t="n"/>
      <c r="E30" s="52" t="n"/>
      <c r="F30" s="52" t="n"/>
      <c r="G30" s="53" t="n"/>
      <c r="H30" s="52" t="n"/>
      <c r="I30" s="54" t="n"/>
      <c r="J30" s="54" t="n"/>
      <c r="K30" s="55" t="n"/>
      <c r="L30" s="95" t="n"/>
      <c r="M30" s="33" t="n"/>
      <c r="N30" s="53" t="n"/>
      <c r="O30" s="54" t="n"/>
      <c r="P30" s="55" t="n"/>
      <c r="Q30" s="57" t="n"/>
      <c r="R30" s="33" t="n"/>
      <c r="S30" s="52" t="n"/>
      <c r="T30" s="97">
        <f>U30/110%</f>
        <v/>
      </c>
      <c r="U30" s="54" t="n"/>
      <c r="V30" s="89" t="n"/>
      <c r="W30" s="90" t="n"/>
      <c r="X30" s="91" t="n"/>
      <c r="Y30" s="92" t="n"/>
      <c r="Z30" s="91" t="n"/>
      <c r="AA30" s="91">
        <f>X30+Z30</f>
        <v/>
      </c>
      <c r="AB30" s="91">
        <f>AA30/110%</f>
        <v/>
      </c>
      <c r="AC30" s="93">
        <f>1-(E30/AB30)</f>
        <v/>
      </c>
      <c r="AD30" s="28" t="n"/>
      <c r="AE30" s="29" t="n"/>
      <c r="AF30" s="30" t="n"/>
      <c r="AG30" s="31" t="inlineStr">
        <is>
          <t>본체 (+0원)</t>
        </is>
      </c>
    </row>
    <row r="31" ht="15" customHeight="1" s="12">
      <c r="A31" s="26" t="n">
        <v>29</v>
      </c>
      <c r="B31" s="34" t="inlineStr">
        <is>
          <t>FS40/견적요청</t>
        </is>
      </c>
      <c r="C31" s="33" t="inlineStr">
        <is>
          <t>-</t>
        </is>
      </c>
      <c r="D31" s="51" t="n"/>
      <c r="E31" s="52" t="n"/>
      <c r="F31" s="52" t="n"/>
      <c r="G31" s="53" t="n"/>
      <c r="H31" s="52" t="n"/>
      <c r="I31" s="54" t="n"/>
      <c r="J31" s="54" t="n"/>
      <c r="K31" s="55" t="n"/>
      <c r="L31" s="95" t="n"/>
      <c r="M31" s="33" t="n"/>
      <c r="N31" s="53" t="n"/>
      <c r="O31" s="54" t="n"/>
      <c r="P31" s="55" t="n"/>
      <c r="Q31" s="57" t="n"/>
      <c r="R31" s="33" t="n"/>
      <c r="S31" s="52" t="n"/>
      <c r="T31" s="97">
        <f>U31/110%</f>
        <v/>
      </c>
      <c r="U31" s="54" t="n"/>
      <c r="V31" s="89" t="n"/>
      <c r="W31" s="90" t="n"/>
      <c r="X31" s="91" t="n"/>
      <c r="Y31" s="92" t="n"/>
      <c r="Z31" s="91" t="n"/>
      <c r="AA31" s="91">
        <f>X31+Z31</f>
        <v/>
      </c>
      <c r="AB31" s="91">
        <f>AA31/110%</f>
        <v/>
      </c>
      <c r="AC31" s="93">
        <f>1-(E31/AB31)</f>
        <v/>
      </c>
      <c r="AD31" s="28" t="n"/>
      <c r="AE31" s="29" t="n"/>
      <c r="AF31" s="30" t="n"/>
      <c r="AG31" s="31" t="inlineStr">
        <is>
          <t>본체 (+0원)</t>
        </is>
      </c>
    </row>
    <row r="32" ht="15" customHeight="1" s="12">
      <c r="A32" s="26" t="n">
        <v>30</v>
      </c>
      <c r="B32" s="34" t="inlineStr">
        <is>
          <t>FS70/견적요청</t>
        </is>
      </c>
      <c r="C32" s="33" t="inlineStr">
        <is>
          <t>-</t>
        </is>
      </c>
      <c r="D32" s="51" t="n"/>
      <c r="E32" s="52" t="n"/>
      <c r="F32" s="52" t="n"/>
      <c r="G32" s="53" t="n"/>
      <c r="H32" s="52" t="n"/>
      <c r="I32" s="54" t="n"/>
      <c r="J32" s="54" t="n"/>
      <c r="K32" s="55" t="n"/>
      <c r="L32" s="95" t="n"/>
      <c r="M32" s="33" t="n"/>
      <c r="N32" s="53" t="n"/>
      <c r="O32" s="54" t="n"/>
      <c r="P32" s="55" t="n"/>
      <c r="Q32" s="57" t="n"/>
      <c r="R32" s="33" t="n"/>
      <c r="S32" s="52" t="n"/>
      <c r="T32" s="97">
        <f>U32/110%</f>
        <v/>
      </c>
      <c r="U32" s="54" t="n"/>
      <c r="V32" s="89" t="n"/>
      <c r="W32" s="90" t="n"/>
      <c r="X32" s="91" t="n"/>
      <c r="Y32" s="92" t="n"/>
      <c r="Z32" s="91" t="n"/>
      <c r="AA32" s="91">
        <f>X32+Z32</f>
        <v/>
      </c>
      <c r="AB32" s="91">
        <f>AA32/110%</f>
        <v/>
      </c>
      <c r="AC32" s="93">
        <f>1-(E32/AB32)</f>
        <v/>
      </c>
      <c r="AD32" s="28" t="n"/>
      <c r="AE32" s="29" t="n"/>
      <c r="AF32" s="30" t="n"/>
      <c r="AG32" s="31" t="inlineStr">
        <is>
          <t>본체 (+0원)</t>
        </is>
      </c>
    </row>
    <row r="41" ht="15" customHeight="1" s="12">
      <c r="J41" s="11" t="n"/>
    </row>
  </sheetData>
  <autoFilter ref="A2:AC32"/>
  <mergeCells count="6">
    <mergeCell ref="A1:C1"/>
    <mergeCell ref="D1:K1"/>
    <mergeCell ref="Q1:U1"/>
    <mergeCell ref="L1:P1"/>
    <mergeCell ref="V1:AC1"/>
    <mergeCell ref="AD1:AG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23" r:id="rId13"/>
    <hyperlink xmlns:r="http://schemas.openxmlformats.org/officeDocument/2006/relationships" ref="L25" r:id="rId14"/>
    <hyperlink xmlns:r="http://schemas.openxmlformats.org/officeDocument/2006/relationships" ref="L26" r:id="rId15"/>
    <hyperlink xmlns:r="http://schemas.openxmlformats.org/officeDocument/2006/relationships" ref="L27" r:id="rId16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tabSelected="1" workbookViewId="0">
      <selection activeCell="F10" sqref="F10"/>
    </sheetView>
  </sheetViews>
  <sheetFormatPr baseColWidth="8" defaultRowHeight="16.5"/>
  <cols>
    <col width="6" customWidth="1" style="12" min="1" max="1"/>
    <col width="16.125" customWidth="1" style="12" min="2" max="2"/>
    <col hidden="1" width="16.75" customWidth="1" style="12" min="3" max="3"/>
    <col width="13.625" customWidth="1" style="12" min="4" max="4"/>
    <col width="13.5" customWidth="1" style="12" min="5" max="5"/>
    <col width="14.375" customWidth="1" style="12" min="6" max="6"/>
    <col width="13.875" customWidth="1" style="12" min="7" max="9"/>
    <col width="14.875" customWidth="1" style="12" min="10" max="10"/>
    <col width="14.75" customWidth="1" style="12" min="11" max="11"/>
    <col width="19.875" customWidth="1" style="12" min="12" max="12"/>
    <col width="18.125" customWidth="1" style="12" min="13" max="13"/>
    <col width="19.625" customWidth="1" style="12" min="14" max="14"/>
  </cols>
  <sheetData>
    <row r="1" ht="18.75" customHeight="1" s="12">
      <c r="A1" s="1" t="inlineStr">
        <is>
          <t>번호</t>
        </is>
      </c>
      <c r="B1" s="1" t="inlineStr">
        <is>
          <t>제품명</t>
        </is>
      </c>
      <c r="C1" s="1" t="inlineStr">
        <is>
          <t>카테고리</t>
        </is>
      </c>
      <c r="D1" s="1" t="inlineStr">
        <is>
          <t>매입가(VAT별도)</t>
        </is>
      </c>
      <c r="E1" s="1" t="inlineStr">
        <is>
          <t>매입가(VAT포함)</t>
        </is>
      </c>
      <c r="F1" s="1" t="inlineStr">
        <is>
          <t>판매가(VAT포함)</t>
        </is>
      </c>
      <c r="G1" s="1" t="inlineStr">
        <is>
          <t>판매가(VAT별도)</t>
        </is>
      </c>
      <c r="H1" s="1" t="n"/>
      <c r="I1" s="1" t="n"/>
      <c r="J1" s="1" t="inlineStr">
        <is>
          <t>최저가(VAT포함)</t>
        </is>
      </c>
      <c r="K1" s="1" t="inlineStr">
        <is>
          <t>최저가(VAT별도)</t>
        </is>
      </c>
      <c r="L1" s="1" t="inlineStr">
        <is>
          <t>최저가업체</t>
        </is>
      </c>
      <c r="M1" s="1" t="inlineStr">
        <is>
          <t>현재 마진율(VAT별도)</t>
        </is>
      </c>
      <c r="N1" s="1" t="inlineStr">
        <is>
          <t>최저가 마진율(VAT별도)</t>
        </is>
      </c>
      <c r="O1" s="4" t="inlineStr">
        <is>
          <t>전달사항</t>
        </is>
      </c>
    </row>
    <row r="2">
      <c r="A2" s="0" t="n">
        <v>1</v>
      </c>
      <c r="B2" s="9" t="inlineStr">
        <is>
          <t>TC21(단종)</t>
        </is>
      </c>
      <c r="C2" s="0" t="inlineStr">
        <is>
          <t xml:space="preserve"> 풀터치(가성비)</t>
        </is>
      </c>
      <c r="D2" s="98" t="n">
        <v>470000</v>
      </c>
      <c r="E2" s="98">
        <f>D2*1.1</f>
        <v/>
      </c>
      <c r="F2" s="98" t="n">
        <v>800000</v>
      </c>
      <c r="G2" s="98">
        <f>F2/110%</f>
        <v/>
      </c>
      <c r="H2" s="98" t="n"/>
      <c r="I2" s="98" t="n"/>
      <c r="J2" s="98" t="n">
        <v>746630</v>
      </c>
      <c r="K2" s="98">
        <f>J2/1.1</f>
        <v/>
      </c>
      <c r="L2" s="98" t="inlineStr">
        <is>
          <t>나우픽스</t>
        </is>
      </c>
      <c r="M2" s="3">
        <f>1-(D2/G2)</f>
        <v/>
      </c>
      <c r="N2" s="3">
        <f>1-(D2/K2)</f>
        <v/>
      </c>
      <c r="O2" s="0" t="inlineStr">
        <is>
          <t>단종</t>
        </is>
      </c>
    </row>
    <row r="3">
      <c r="A3" s="0" t="n">
        <v>2</v>
      </c>
      <c r="B3" s="9" t="inlineStr">
        <is>
          <t>MC9300</t>
        </is>
      </c>
      <c r="C3" s="0" t="inlineStr">
        <is>
          <t xml:space="preserve"> 키패드(핸드헬드)</t>
        </is>
      </c>
      <c r="D3" s="98" t="n">
        <v>2266000</v>
      </c>
      <c r="E3" s="98">
        <f>D3*1.1</f>
        <v/>
      </c>
      <c r="F3" s="98" t="n">
        <v>2600000</v>
      </c>
      <c r="G3" s="98">
        <f>F3/110%</f>
        <v/>
      </c>
      <c r="H3" s="98" t="n"/>
      <c r="I3" s="98" t="n"/>
      <c r="J3" s="98" t="n">
        <v>2600000</v>
      </c>
      <c r="K3" s="98">
        <f>J3/1.1</f>
        <v/>
      </c>
      <c r="L3" s="98" t="inlineStr">
        <is>
          <t>코스모스몰</t>
        </is>
      </c>
      <c r="M3" s="3">
        <f>1-(D3/G3)</f>
        <v/>
      </c>
      <c r="N3" s="3">
        <f>1-(D3/K3)</f>
        <v/>
      </c>
      <c r="O3" s="0" t="inlineStr">
        <is>
          <t>단종</t>
        </is>
      </c>
    </row>
    <row r="4" customFormat="1" s="5">
      <c r="A4" s="5" t="n">
        <v>3</v>
      </c>
      <c r="B4" s="5" t="inlineStr">
        <is>
          <t>MC3300</t>
        </is>
      </c>
      <c r="C4" s="5" t="inlineStr">
        <is>
          <t xml:space="preserve"> 키패드(핸드헬드)</t>
        </is>
      </c>
      <c r="D4" s="99" t="n">
        <v>1840000</v>
      </c>
      <c r="E4" s="99">
        <f>D4*1.1</f>
        <v/>
      </c>
      <c r="F4" s="99" t="n">
        <v>2640000</v>
      </c>
      <c r="G4" s="99">
        <f>F4/110%</f>
        <v/>
      </c>
      <c r="H4" s="100" t="n">
        <v>2500000</v>
      </c>
      <c r="I4" s="100">
        <f>ROUND(H4*1.1/0.95,-1)</f>
        <v/>
      </c>
      <c r="J4" s="99" t="n">
        <v>2640000</v>
      </c>
      <c r="K4" s="99">
        <f>J4/1.1</f>
        <v/>
      </c>
      <c r="L4" s="99" t="inlineStr">
        <is>
          <t>코스모스몰</t>
        </is>
      </c>
      <c r="M4" s="7">
        <f>1-(D4/G4)</f>
        <v/>
      </c>
      <c r="N4" s="7">
        <f>1-(D4/K4)</f>
        <v/>
      </c>
    </row>
    <row r="5">
      <c r="A5" s="0" t="n">
        <v>4</v>
      </c>
      <c r="B5" s="9" t="inlineStr">
        <is>
          <t>TC8000</t>
        </is>
      </c>
      <c r="C5" s="0" t="inlineStr">
        <is>
          <t xml:space="preserve"> 프리미엄풀터치</t>
        </is>
      </c>
      <c r="D5" s="98" t="n"/>
      <c r="E5" s="98">
        <f>D5*1.1</f>
        <v/>
      </c>
      <c r="F5" s="98" t="n">
        <v>3300000</v>
      </c>
      <c r="G5" s="98">
        <f>F5/110%</f>
        <v/>
      </c>
      <c r="H5" s="98" t="n"/>
      <c r="I5" s="98" t="n"/>
      <c r="J5" s="98" t="n">
        <v>3250450</v>
      </c>
      <c r="K5" s="98">
        <f>J5/1.1</f>
        <v/>
      </c>
      <c r="L5" s="98" t="inlineStr">
        <is>
          <t>더원시스</t>
        </is>
      </c>
      <c r="M5" s="3">
        <f>1-(D5/G5)</f>
        <v/>
      </c>
      <c r="N5" s="3">
        <f>1-(D5/K5)</f>
        <v/>
      </c>
      <c r="O5" s="0" t="inlineStr">
        <is>
          <t>단종</t>
        </is>
      </c>
    </row>
    <row r="6">
      <c r="A6" s="0" t="n">
        <v>5</v>
      </c>
      <c r="B6" s="9" t="inlineStr">
        <is>
          <t>MC2200</t>
        </is>
      </c>
      <c r="C6" s="0" t="inlineStr">
        <is>
          <t xml:space="preserve"> 키패드(핸드헬드)</t>
        </is>
      </c>
      <c r="D6" s="98" t="n">
        <v>1030000</v>
      </c>
      <c r="E6" s="98">
        <f>D6*1.1</f>
        <v/>
      </c>
      <c r="F6" s="98" t="n">
        <v>1210000</v>
      </c>
      <c r="G6" s="98">
        <f>F6/110%</f>
        <v/>
      </c>
      <c r="H6" s="98" t="n"/>
      <c r="I6" s="98" t="n"/>
      <c r="J6" s="98" t="n">
        <v>1180000</v>
      </c>
      <c r="K6" s="98">
        <f>J6/1.1</f>
        <v/>
      </c>
      <c r="L6" s="98" t="inlineStr">
        <is>
          <t>하이하이몰</t>
        </is>
      </c>
      <c r="M6" s="3">
        <f>1-(D6/G6)</f>
        <v/>
      </c>
      <c r="N6" s="3">
        <f>1-(D6/K6)</f>
        <v/>
      </c>
      <c r="O6" s="0" t="inlineStr">
        <is>
          <t>단종</t>
        </is>
      </c>
    </row>
    <row r="7">
      <c r="A7" s="0" t="n">
        <v>6</v>
      </c>
      <c r="B7" s="0" t="inlineStr">
        <is>
          <t>TC8300</t>
        </is>
      </c>
      <c r="C7" s="0" t="inlineStr">
        <is>
          <t xml:space="preserve"> 프리미엄풀터치</t>
        </is>
      </c>
      <c r="D7" s="98" t="n"/>
      <c r="E7" s="98">
        <f>D7*1.1</f>
        <v/>
      </c>
      <c r="F7" s="98" t="n">
        <v>3300000</v>
      </c>
      <c r="G7" s="98">
        <f>F7/110%</f>
        <v/>
      </c>
      <c r="H7" s="98" t="n"/>
      <c r="I7" s="98" t="n"/>
      <c r="J7" s="98" t="n">
        <v>3249900</v>
      </c>
      <c r="K7" s="98">
        <f>J7/1.1</f>
        <v/>
      </c>
      <c r="L7" s="98" t="inlineStr">
        <is>
          <t>더원시스</t>
        </is>
      </c>
      <c r="M7" s="3">
        <f>1-(D7/G7)</f>
        <v/>
      </c>
      <c r="N7" s="3">
        <f>1-(D7/K7)</f>
        <v/>
      </c>
    </row>
    <row r="8" customFormat="1" s="5">
      <c r="A8" s="5" t="n">
        <v>8</v>
      </c>
      <c r="B8" s="5" t="inlineStr">
        <is>
          <t>TC53</t>
        </is>
      </c>
      <c r="C8" s="5" t="inlineStr">
        <is>
          <t xml:space="preserve"> 프리미엄풀터치</t>
        </is>
      </c>
      <c r="D8" s="99" t="n">
        <v>2500000</v>
      </c>
      <c r="E8" s="99">
        <f>D8*1.1</f>
        <v/>
      </c>
      <c r="F8" s="99" t="n">
        <v>2640000</v>
      </c>
      <c r="G8" s="100" t="n"/>
      <c r="H8" s="100" t="n">
        <v>3000000</v>
      </c>
      <c r="I8" s="100">
        <f>ROUND(H8*1.1/0.95,-1)</f>
        <v/>
      </c>
      <c r="J8" s="99" t="n">
        <v>2577960</v>
      </c>
      <c r="K8" s="99">
        <f>J8/1.1</f>
        <v/>
      </c>
      <c r="L8" s="99" t="inlineStr">
        <is>
          <t>솔바텍지마켓</t>
        </is>
      </c>
      <c r="M8" s="7">
        <f>1-(D8/G8)</f>
        <v/>
      </c>
      <c r="N8" s="7">
        <f>1-(D8/K8)</f>
        <v/>
      </c>
    </row>
    <row r="9">
      <c r="A9" s="0" t="n">
        <v>9</v>
      </c>
      <c r="B9" s="0" t="inlineStr">
        <is>
          <t>MC9400</t>
        </is>
      </c>
      <c r="C9" s="0" t="inlineStr">
        <is>
          <t xml:space="preserve"> 키패드(핸드헬드)</t>
        </is>
      </c>
      <c r="D9" s="98" t="n">
        <v>2470000</v>
      </c>
      <c r="E9" s="98">
        <f>D9*1.1</f>
        <v/>
      </c>
      <c r="F9" s="98" t="n">
        <v>5300000</v>
      </c>
      <c r="G9" s="98">
        <f>F9/110%</f>
        <v/>
      </c>
      <c r="H9" s="98" t="n"/>
      <c r="I9" s="98" t="n"/>
      <c r="J9" s="98" t="n">
        <v>3115040</v>
      </c>
      <c r="K9" s="98">
        <f>J9/1.1</f>
        <v/>
      </c>
      <c r="L9" s="98" t="inlineStr">
        <is>
          <t>솔바텍지마켓</t>
        </is>
      </c>
      <c r="M9" s="3">
        <f>1-(D9/G9)</f>
        <v/>
      </c>
      <c r="N9" s="3">
        <f>1-(D9/K9)</f>
        <v/>
      </c>
    </row>
    <row r="10" customFormat="1" s="5">
      <c r="A10" s="5" t="n">
        <v>10</v>
      </c>
      <c r="B10" s="5" t="inlineStr">
        <is>
          <t>MC3400</t>
        </is>
      </c>
      <c r="C10" s="5" t="inlineStr">
        <is>
          <t xml:space="preserve"> 키패드(핸드헬드)</t>
        </is>
      </c>
      <c r="D10" s="99" t="n">
        <v>1490000</v>
      </c>
      <c r="E10" s="99">
        <f>D10*1.1</f>
        <v/>
      </c>
      <c r="F10" s="99" t="n">
        <v>2750000</v>
      </c>
      <c r="G10" s="99">
        <f>F10/110%</f>
        <v/>
      </c>
      <c r="H10" s="99" t="n"/>
      <c r="I10" s="99" t="n"/>
      <c r="J10" s="99" t="n">
        <v>2750000</v>
      </c>
      <c r="K10" s="99">
        <f>J10/1.1</f>
        <v/>
      </c>
      <c r="L10" s="99" t="inlineStr">
        <is>
          <t>코스모스몰,더원시스</t>
        </is>
      </c>
      <c r="M10" s="7">
        <f>1-(D10/G10)</f>
        <v/>
      </c>
      <c r="N10" s="7">
        <f>1-(D10/K10)</f>
        <v/>
      </c>
    </row>
    <row r="11">
      <c r="A11" s="0" t="n">
        <v>11</v>
      </c>
      <c r="B11" s="0" t="inlineStr">
        <is>
          <t>TC22 / TC27</t>
        </is>
      </c>
      <c r="C11" s="0" t="inlineStr">
        <is>
          <t xml:space="preserve"> 프리미엄풀터치</t>
        </is>
      </c>
      <c r="D11" s="98" t="n">
        <v>560000</v>
      </c>
      <c r="E11" s="98">
        <f>D11*1.1</f>
        <v/>
      </c>
      <c r="F11" s="98" t="n">
        <v>979000</v>
      </c>
      <c r="G11" s="98">
        <f>F11/110%</f>
        <v/>
      </c>
      <c r="H11" s="98" t="n"/>
      <c r="I11" s="98" t="n"/>
      <c r="J11" s="98" t="n">
        <v>929930</v>
      </c>
      <c r="K11" s="98">
        <f>J11/1.1</f>
        <v/>
      </c>
      <c r="L11" s="98" t="inlineStr">
        <is>
          <t>코스모스전문몰(최저가)</t>
        </is>
      </c>
      <c r="M11" s="3">
        <f>1-(D11/G11)</f>
        <v/>
      </c>
      <c r="N11" s="3">
        <f>1-(D11/K11)</f>
        <v/>
      </c>
    </row>
    <row r="12">
      <c r="A12" s="0" t="n">
        <v>12</v>
      </c>
      <c r="B12" s="9" t="inlineStr">
        <is>
          <t>TC77ex-NI</t>
        </is>
      </c>
      <c r="C12" s="0" t="inlineStr">
        <is>
          <t xml:space="preserve"> 방폭형</t>
        </is>
      </c>
      <c r="D12" s="98" t="n"/>
      <c r="E12" s="98">
        <f>D12*1.1</f>
        <v/>
      </c>
      <c r="F12" s="98" t="n">
        <v>3850000</v>
      </c>
      <c r="G12" s="98">
        <f>F12/110%</f>
        <v/>
      </c>
      <c r="H12" s="98" t="n"/>
      <c r="I12" s="98" t="n"/>
      <c r="J12" s="98" t="n">
        <v>3850000</v>
      </c>
      <c r="K12" s="98">
        <f>J12/1.1</f>
        <v/>
      </c>
      <c r="L12" s="98" t="inlineStr">
        <is>
          <t>코스모스몰</t>
        </is>
      </c>
      <c r="M12" s="3">
        <f>1-(D12/G12)</f>
        <v/>
      </c>
      <c r="N12" s="3">
        <f>1-(D12/K12)</f>
        <v/>
      </c>
      <c r="O12" s="0" t="inlineStr">
        <is>
          <t>단종</t>
        </is>
      </c>
    </row>
    <row r="13">
      <c r="A13" s="0" t="n">
        <v>13</v>
      </c>
      <c r="B13" s="0" t="inlineStr">
        <is>
          <t xml:space="preserve">RFD40 </t>
        </is>
      </c>
      <c r="C13" s="0" t="inlineStr">
        <is>
          <t>RFID 리더기</t>
        </is>
      </c>
      <c r="D13" s="98" t="n">
        <v>1150000</v>
      </c>
      <c r="E13" s="98">
        <f>D13*1.1</f>
        <v/>
      </c>
      <c r="F13" s="98" t="n">
        <v>1650000</v>
      </c>
      <c r="G13" s="98">
        <f>F13/110%</f>
        <v/>
      </c>
      <c r="H13" s="98" t="n"/>
      <c r="I13" s="98" t="n"/>
      <c r="J13" s="98" t="n">
        <v>1650000</v>
      </c>
      <c r="K13" s="98">
        <f>J13/1.1</f>
        <v/>
      </c>
      <c r="L13" s="98" t="inlineStr">
        <is>
          <t>코스모스몰</t>
        </is>
      </c>
      <c r="M13" s="3">
        <f>1-(D13/G13)</f>
        <v/>
      </c>
      <c r="N13" s="3">
        <f>1-(D13/K13)</f>
        <v/>
      </c>
    </row>
    <row r="18">
      <c r="I18" s="10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C21" sqref="C21"/>
    </sheetView>
  </sheetViews>
  <sheetFormatPr baseColWidth="8" defaultRowHeight="16.5"/>
  <cols>
    <col width="6" customWidth="1" style="12" min="1" max="1"/>
    <col width="14" customWidth="1" style="12" min="2" max="2"/>
    <col width="18" customWidth="1" style="12" min="3" max="3"/>
    <col width="22" customWidth="1" style="12" min="4" max="4"/>
    <col width="32" customWidth="1" style="12" min="5" max="5"/>
    <col width="14" customWidth="1" style="12" min="6" max="6"/>
    <col width="18" customWidth="1" style="12" min="7" max="8"/>
  </cols>
  <sheetData>
    <row r="1">
      <c r="A1" s="1" t="inlineStr">
        <is>
          <t>번호</t>
        </is>
      </c>
      <c r="B1" s="1" t="inlineStr">
        <is>
          <t>제품명</t>
        </is>
      </c>
      <c r="C1" s="1" t="inlineStr">
        <is>
          <t>기본 판매가(VAT포함)</t>
        </is>
      </c>
      <c r="D1" s="1" t="inlineStr">
        <is>
          <t>옵션명</t>
        </is>
      </c>
      <c r="E1" s="1" t="inlineStr">
        <is>
          <t>옵션값</t>
        </is>
      </c>
      <c r="F1" s="1" t="inlineStr">
        <is>
          <t>옵션 추가금액</t>
        </is>
      </c>
      <c r="G1" s="1" t="inlineStr">
        <is>
          <t>최종 판매가(VAT포함)</t>
        </is>
      </c>
      <c r="H1" s="1" t="inlineStr">
        <is>
          <t>최종 판매가(VAT별도)</t>
        </is>
      </c>
    </row>
    <row r="2">
      <c r="A2" s="0" t="n">
        <v>1</v>
      </c>
      <c r="B2" s="0" t="inlineStr">
        <is>
          <t>LS2208 SR</t>
        </is>
      </c>
      <c r="C2" s="102">
        <f>'지브라-스캐너'!G3</f>
        <v/>
      </c>
      <c r="D2" s="0" t="inlineStr">
        <is>
          <t>인터페이스</t>
        </is>
      </c>
      <c r="E2" s="0" t="inlineStr">
        <is>
          <t>RS232C</t>
        </is>
      </c>
      <c r="F2" s="102" t="n">
        <v>24200</v>
      </c>
      <c r="G2" s="102">
        <f>C2+F2</f>
        <v/>
      </c>
      <c r="H2" s="102">
        <f>G2/110%</f>
        <v/>
      </c>
    </row>
    <row r="3">
      <c r="A3" s="0" t="n">
        <v>2</v>
      </c>
      <c r="B3" s="0" t="inlineStr">
        <is>
          <t>LS2208 SR</t>
        </is>
      </c>
      <c r="C3" s="102">
        <f>'지브라-스캐너'!G3</f>
        <v/>
      </c>
      <c r="D3" s="0" t="inlineStr">
        <is>
          <t>인터페이스</t>
        </is>
      </c>
      <c r="E3" s="0" t="inlineStr">
        <is>
          <t>본체만(케이블없음)</t>
        </is>
      </c>
      <c r="F3" s="102" t="n">
        <v>0</v>
      </c>
      <c r="G3" s="102">
        <f>C3+F3</f>
        <v/>
      </c>
      <c r="H3" s="102">
        <f>G3/110%</f>
        <v/>
      </c>
    </row>
    <row r="4">
      <c r="A4" s="0" t="n">
        <v>3</v>
      </c>
      <c r="B4" s="0" t="inlineStr">
        <is>
          <t>DS2278</t>
        </is>
      </c>
      <c r="C4" s="102">
        <f>'지브라-스캐너'!G4</f>
        <v/>
      </c>
      <c r="D4" s="0" t="inlineStr">
        <is>
          <t>인터페이스</t>
        </is>
      </c>
      <c r="E4" s="0" t="inlineStr">
        <is>
          <t>RS232C</t>
        </is>
      </c>
      <c r="F4" s="102" t="n">
        <v>24200</v>
      </c>
      <c r="G4" s="102">
        <f>C4+F4</f>
        <v/>
      </c>
      <c r="H4" s="102">
        <f>G4/110%</f>
        <v/>
      </c>
    </row>
    <row r="5">
      <c r="A5" s="0" t="n">
        <v>4</v>
      </c>
      <c r="B5" s="0" t="inlineStr">
        <is>
          <t>DS2278</t>
        </is>
      </c>
      <c r="C5" s="102">
        <f>'지브라-스캐너'!G4</f>
        <v/>
      </c>
      <c r="D5" s="0" t="inlineStr">
        <is>
          <t>인터페이스</t>
        </is>
      </c>
      <c r="E5" s="0" t="inlineStr">
        <is>
          <t>본체+크래들만(케이블없음)</t>
        </is>
      </c>
      <c r="F5" s="102" t="n">
        <v>0</v>
      </c>
      <c r="G5" s="102">
        <f>C5+F5</f>
        <v/>
      </c>
      <c r="H5" s="102">
        <f>G5/110%</f>
        <v/>
      </c>
    </row>
    <row r="6">
      <c r="A6" s="0" t="n">
        <v>5</v>
      </c>
      <c r="B6" s="0" t="inlineStr">
        <is>
          <t>DS2208</t>
        </is>
      </c>
      <c r="C6" s="102">
        <f>'지브라-스캐너'!G5</f>
        <v/>
      </c>
      <c r="D6" s="0" t="inlineStr">
        <is>
          <t>인터페이스 / 악세사리</t>
        </is>
      </c>
      <c r="E6" s="0" t="inlineStr">
        <is>
          <t>RS232C / 선택안함</t>
        </is>
      </c>
      <c r="F6" s="102" t="n">
        <v>24200</v>
      </c>
      <c r="G6" s="102">
        <f>C6+F6</f>
        <v/>
      </c>
      <c r="H6" s="102">
        <f>G6/110%</f>
        <v/>
      </c>
    </row>
    <row r="7">
      <c r="A7" s="0" t="n">
        <v>6</v>
      </c>
      <c r="B7" s="0" t="inlineStr">
        <is>
          <t>DS2208</t>
        </is>
      </c>
      <c r="C7" s="102">
        <f>'지브라-스캐너'!G5</f>
        <v/>
      </c>
      <c r="D7" s="0" t="inlineStr">
        <is>
          <t>인터페이스 / 악세사리</t>
        </is>
      </c>
      <c r="E7" s="0" t="inlineStr">
        <is>
          <t>RS232C / 스탠드거치대</t>
        </is>
      </c>
      <c r="F7" s="102" t="n">
        <v>79200</v>
      </c>
      <c r="G7" s="102">
        <f>C7+F7</f>
        <v/>
      </c>
      <c r="H7" s="102">
        <f>G7/110%</f>
        <v/>
      </c>
    </row>
    <row r="8">
      <c r="A8" s="0" t="n">
        <v>7</v>
      </c>
      <c r="B8" s="0" t="inlineStr">
        <is>
          <t>DS2208</t>
        </is>
      </c>
      <c r="C8" s="102">
        <f>'지브라-스캐너'!G5</f>
        <v/>
      </c>
      <c r="D8" s="0" t="inlineStr">
        <is>
          <t>인터페이스 / 악세사리</t>
        </is>
      </c>
      <c r="E8" s="0" t="inlineStr">
        <is>
          <t>본체만(케이블없음) / 선택안함</t>
        </is>
      </c>
      <c r="F8" s="102" t="n">
        <v>0</v>
      </c>
      <c r="G8" s="102">
        <f>C8+F8</f>
        <v/>
      </c>
      <c r="H8" s="102">
        <f>G8/110%</f>
        <v/>
      </c>
    </row>
    <row r="9">
      <c r="A9" s="0" t="n">
        <v>8</v>
      </c>
      <c r="B9" s="0" t="inlineStr">
        <is>
          <t>DS2208</t>
        </is>
      </c>
      <c r="C9" s="102">
        <f>'지브라-스캐너'!G5</f>
        <v/>
      </c>
      <c r="D9" s="0" t="inlineStr">
        <is>
          <t>인터페이스 / 악세사리</t>
        </is>
      </c>
      <c r="E9" s="0" t="inlineStr">
        <is>
          <t>본체만(케이블없음) / 스탠드거치대</t>
        </is>
      </c>
      <c r="F9" s="102" t="n">
        <v>55000</v>
      </c>
      <c r="G9" s="102">
        <f>C9+F9</f>
        <v/>
      </c>
      <c r="H9" s="102">
        <f>G9/110%</f>
        <v/>
      </c>
    </row>
    <row r="10">
      <c r="A10" s="0" t="n">
        <v>9</v>
      </c>
      <c r="B10" s="0" t="inlineStr">
        <is>
          <t>DS8108</t>
        </is>
      </c>
      <c r="C10" s="102">
        <f>'지브라-스캐너'!G6</f>
        <v/>
      </c>
      <c r="D10" s="0" t="inlineStr">
        <is>
          <t>인터페이스</t>
        </is>
      </c>
      <c r="E10" s="0" t="inlineStr">
        <is>
          <t>RS232C</t>
        </is>
      </c>
      <c r="F10" s="102" t="n">
        <v>24200</v>
      </c>
      <c r="G10" s="102">
        <f>C10+F10</f>
        <v/>
      </c>
      <c r="H10" s="102">
        <f>G10/110%</f>
        <v/>
      </c>
    </row>
    <row r="11">
      <c r="A11" s="0" t="n">
        <v>10</v>
      </c>
      <c r="B11" s="0" t="inlineStr">
        <is>
          <t>DS8108</t>
        </is>
      </c>
      <c r="C11" s="102">
        <f>'지브라-스캐너'!G6</f>
        <v/>
      </c>
      <c r="D11" s="0" t="inlineStr">
        <is>
          <t>인터페이스</t>
        </is>
      </c>
      <c r="E11" s="0" t="inlineStr">
        <is>
          <t>본체만</t>
        </is>
      </c>
      <c r="F11" s="102" t="n">
        <v>0</v>
      </c>
      <c r="G11" s="102">
        <f>C11+F11</f>
        <v/>
      </c>
      <c r="H11" s="102">
        <f>G11/110%</f>
        <v/>
      </c>
    </row>
    <row r="12">
      <c r="A12" s="0" t="n">
        <v>11</v>
      </c>
      <c r="B12" s="0" t="inlineStr">
        <is>
          <t>DS4608 SR</t>
        </is>
      </c>
      <c r="C12" s="102">
        <f>'지브라-스캐너'!G7</f>
        <v/>
      </c>
      <c r="D12" s="0" t="inlineStr">
        <is>
          <t>인터페이스 / 악세사리</t>
        </is>
      </c>
      <c r="E12" s="0" t="inlineStr">
        <is>
          <t>RS232C / 선택안함</t>
        </is>
      </c>
      <c r="F12" s="102" t="n">
        <v>24200</v>
      </c>
      <c r="G12" s="102">
        <f>C12+F12</f>
        <v/>
      </c>
      <c r="H12" s="102">
        <f>G12/110%</f>
        <v/>
      </c>
    </row>
    <row r="13">
      <c r="A13" s="0" t="n">
        <v>12</v>
      </c>
      <c r="B13" s="0" t="inlineStr">
        <is>
          <t>DS4608 SR</t>
        </is>
      </c>
      <c r="C13" s="102">
        <f>'지브라-스캐너'!G7</f>
        <v/>
      </c>
      <c r="D13" s="0" t="inlineStr">
        <is>
          <t>인터페이스 / 악세사리</t>
        </is>
      </c>
      <c r="E13" s="0" t="inlineStr">
        <is>
          <t>RS232C / 스탠드거치대</t>
        </is>
      </c>
      <c r="F13" s="102" t="n">
        <v>79200</v>
      </c>
      <c r="G13" s="102">
        <f>C13+F13</f>
        <v/>
      </c>
      <c r="H13" s="102">
        <f>G13/110%</f>
        <v/>
      </c>
    </row>
    <row r="14">
      <c r="A14" s="0" t="n">
        <v>13</v>
      </c>
      <c r="B14" s="0" t="inlineStr">
        <is>
          <t>DS4608 SR</t>
        </is>
      </c>
      <c r="C14" s="102">
        <f>'지브라-스캐너'!G7</f>
        <v/>
      </c>
      <c r="D14" s="0" t="inlineStr">
        <is>
          <t>인터페이스 / 악세사리</t>
        </is>
      </c>
      <c r="E14" s="0" t="inlineStr">
        <is>
          <t>본체만(케이블없음) / 선택안함</t>
        </is>
      </c>
      <c r="F14" s="102" t="n">
        <v>0</v>
      </c>
      <c r="G14" s="102">
        <f>C14+F14</f>
        <v/>
      </c>
      <c r="H14" s="102">
        <f>G14/110%</f>
        <v/>
      </c>
    </row>
    <row r="15">
      <c r="A15" s="0" t="n">
        <v>14</v>
      </c>
      <c r="B15" s="0" t="inlineStr">
        <is>
          <t>DS4608 SR</t>
        </is>
      </c>
      <c r="C15" s="102">
        <f>'지브라-스캐너'!G7</f>
        <v/>
      </c>
      <c r="D15" s="0" t="inlineStr">
        <is>
          <t>인터페이스 / 악세사리</t>
        </is>
      </c>
      <c r="E15" s="0" t="inlineStr">
        <is>
          <t>본체만(케이블없음) / 스탠드거치대</t>
        </is>
      </c>
      <c r="F15" s="102" t="n">
        <v>55000</v>
      </c>
      <c r="G15" s="102">
        <f>C15+F15</f>
        <v/>
      </c>
      <c r="H15" s="102">
        <f>G15/110%</f>
        <v/>
      </c>
    </row>
    <row r="16">
      <c r="A16" s="0" t="n">
        <v>15</v>
      </c>
      <c r="B16" s="0" t="inlineStr">
        <is>
          <t>LI2208</t>
        </is>
      </c>
      <c r="C16" s="102">
        <f>'지브라-스캐너'!G8</f>
        <v/>
      </c>
      <c r="D16" s="0" t="inlineStr">
        <is>
          <t>인터페이스</t>
        </is>
      </c>
      <c r="E16" s="0" t="inlineStr">
        <is>
          <t>RS232C</t>
        </is>
      </c>
      <c r="F16" s="102" t="n">
        <v>24200</v>
      </c>
      <c r="G16" s="102">
        <f>C16+F16</f>
        <v/>
      </c>
      <c r="H16" s="102">
        <f>G16/110%</f>
        <v/>
      </c>
    </row>
    <row r="17">
      <c r="A17" s="0" t="n">
        <v>16</v>
      </c>
      <c r="B17" s="0" t="inlineStr">
        <is>
          <t>DS3608 SR</t>
        </is>
      </c>
      <c r="C17" s="102">
        <f>'지브라-스캐너'!G10</f>
        <v/>
      </c>
      <c r="D17" s="0" t="inlineStr">
        <is>
          <t>인터페이스</t>
        </is>
      </c>
      <c r="E17" s="0" t="inlineStr">
        <is>
          <t>RS232C</t>
        </is>
      </c>
      <c r="F17" s="102" t="n">
        <v>24200</v>
      </c>
      <c r="G17" s="102">
        <f>C17+F17</f>
        <v/>
      </c>
      <c r="H17" s="102">
        <f>G17/110%</f>
        <v/>
      </c>
    </row>
    <row r="18">
      <c r="A18" s="0" t="n">
        <v>17</v>
      </c>
      <c r="B18" s="0" t="inlineStr">
        <is>
          <t>LI3678</t>
        </is>
      </c>
      <c r="C18" s="102">
        <f>'지브라-스캐너'!G11</f>
        <v/>
      </c>
      <c r="D18" s="0" t="inlineStr">
        <is>
          <t>인터페이스</t>
        </is>
      </c>
      <c r="E18" s="0" t="inlineStr">
        <is>
          <t>RS232C</t>
        </is>
      </c>
      <c r="F18" s="102" t="n">
        <v>33000</v>
      </c>
      <c r="G18" s="102">
        <f>C18+F18</f>
        <v/>
      </c>
      <c r="H18" s="102">
        <f>G18/110%</f>
        <v/>
      </c>
    </row>
    <row r="19">
      <c r="A19" s="0" t="n">
        <v>18</v>
      </c>
      <c r="B19" s="0" t="inlineStr">
        <is>
          <t>DS9908</t>
        </is>
      </c>
      <c r="C19" s="102">
        <f>'지브라-스캐너'!G12</f>
        <v/>
      </c>
      <c r="D19" s="0" t="inlineStr">
        <is>
          <t>인터페이스</t>
        </is>
      </c>
      <c r="E19" s="0" t="inlineStr">
        <is>
          <t>RS232C</t>
        </is>
      </c>
      <c r="F19" s="102" t="n">
        <v>24200</v>
      </c>
      <c r="G19" s="102">
        <f>C19+F19</f>
        <v/>
      </c>
      <c r="H19" s="102">
        <f>G19/110%</f>
        <v/>
      </c>
    </row>
    <row r="20">
      <c r="A20" s="0" t="n">
        <v>19</v>
      </c>
      <c r="B20" s="0" t="inlineStr">
        <is>
          <t>CS6080</t>
        </is>
      </c>
      <c r="C20" s="102">
        <f>'지브라-스캐너'!G13</f>
        <v/>
      </c>
      <c r="D20" s="0" t="inlineStr">
        <is>
          <t>스캔엔진</t>
        </is>
      </c>
      <c r="E20" s="0" t="inlineStr">
        <is>
          <t>2D</t>
        </is>
      </c>
      <c r="F20" s="102" t="n">
        <v>0</v>
      </c>
      <c r="G20" s="102">
        <f>C20+F20</f>
        <v/>
      </c>
      <c r="H20" s="102">
        <f>G20/110%</f>
        <v/>
      </c>
    </row>
    <row r="21">
      <c r="A21" s="0" t="n">
        <v>20</v>
      </c>
      <c r="B21" s="0" t="inlineStr">
        <is>
          <t>DS3678 SR</t>
        </is>
      </c>
      <c r="C21" s="102">
        <f>'지브라-스캐너'!G14</f>
        <v/>
      </c>
      <c r="D21" s="0" t="inlineStr">
        <is>
          <t>인터페이스</t>
        </is>
      </c>
      <c r="E21" s="0" t="inlineStr">
        <is>
          <t>SR버전+USB케이블</t>
        </is>
      </c>
      <c r="F21" s="102" t="n">
        <v>0</v>
      </c>
      <c r="G21" s="102">
        <f>C21+F21</f>
        <v/>
      </c>
      <c r="H21" s="102">
        <f>G21/110%</f>
        <v/>
      </c>
    </row>
    <row r="22">
      <c r="A22" s="0" t="n">
        <v>21</v>
      </c>
      <c r="B22" s="0" t="inlineStr">
        <is>
          <t>DS3678 SR</t>
        </is>
      </c>
      <c r="C22" s="102">
        <f>'지브라-스캐너'!G14</f>
        <v/>
      </c>
      <c r="D22" s="0" t="inlineStr">
        <is>
          <t>인터페이스</t>
        </is>
      </c>
      <c r="E22" s="0" t="inlineStr">
        <is>
          <t>HD버전+USB케이블</t>
        </is>
      </c>
      <c r="F22" s="102" t="n">
        <v>220000</v>
      </c>
      <c r="G22" s="102">
        <f>C22+F22</f>
        <v/>
      </c>
      <c r="H22" s="102">
        <f>G22/110%</f>
        <v/>
      </c>
    </row>
    <row r="23">
      <c r="A23" s="0" t="n">
        <v>22</v>
      </c>
      <c r="B23" s="0" t="inlineStr">
        <is>
          <t>DS3678 SR</t>
        </is>
      </c>
      <c r="C23" s="102">
        <f>'지브라-스캐너'!G14</f>
        <v/>
      </c>
      <c r="D23" s="0" t="inlineStr">
        <is>
          <t>인터페이스</t>
        </is>
      </c>
      <c r="E23" s="0" t="inlineStr">
        <is>
          <t>SR버전+RS232C케이블</t>
        </is>
      </c>
      <c r="F23" s="102" t="n">
        <v>33000</v>
      </c>
      <c r="G23" s="102">
        <f>C23+F23</f>
        <v/>
      </c>
      <c r="H23" s="102">
        <f>G23/110%</f>
        <v/>
      </c>
    </row>
    <row r="24">
      <c r="A24" s="0" t="n">
        <v>23</v>
      </c>
      <c r="B24" s="0" t="inlineStr">
        <is>
          <t>DS3678 SR</t>
        </is>
      </c>
      <c r="C24" s="102">
        <f>'지브라-스캐너'!G14</f>
        <v/>
      </c>
      <c r="D24" s="0" t="inlineStr">
        <is>
          <t>인터페이스</t>
        </is>
      </c>
      <c r="E24" s="0" t="inlineStr">
        <is>
          <t>HD버전+RS232C케이블</t>
        </is>
      </c>
      <c r="F24" s="102" t="n">
        <v>275000</v>
      </c>
      <c r="G24" s="102">
        <f>C24+F24</f>
        <v/>
      </c>
      <c r="H24" s="102">
        <f>G24/110%</f>
        <v/>
      </c>
    </row>
    <row r="25">
      <c r="A25" s="0" t="n">
        <v>24</v>
      </c>
      <c r="B25" s="0" t="inlineStr">
        <is>
          <t>DS4608 XD</t>
        </is>
      </c>
      <c r="C25" s="102">
        <f>'지브라-스캐너'!G16</f>
        <v/>
      </c>
      <c r="D25" s="0" t="inlineStr">
        <is>
          <t>인터페이스 / 악세사리</t>
        </is>
      </c>
      <c r="E25" s="0" t="inlineStr">
        <is>
          <t>RS232C / 선택안함</t>
        </is>
      </c>
      <c r="F25" s="102" t="n">
        <v>24200</v>
      </c>
      <c r="G25" s="102">
        <f>C25+F25</f>
        <v/>
      </c>
      <c r="H25" s="102">
        <f>G25/110%</f>
        <v/>
      </c>
    </row>
    <row r="26">
      <c r="A26" s="0" t="n">
        <v>25</v>
      </c>
      <c r="B26" s="0" t="inlineStr">
        <is>
          <t>DS4608 XD</t>
        </is>
      </c>
      <c r="C26" s="102">
        <f>'지브라-스캐너'!G16</f>
        <v/>
      </c>
      <c r="D26" s="0" t="inlineStr">
        <is>
          <t>인터페이스 / 악세사리</t>
        </is>
      </c>
      <c r="E26" s="0" t="inlineStr">
        <is>
          <t>RS232C / 스탠드거치대</t>
        </is>
      </c>
      <c r="F26" s="102" t="n">
        <v>79200</v>
      </c>
      <c r="G26" s="102">
        <f>C26+F26</f>
        <v/>
      </c>
      <c r="H26" s="102">
        <f>G26/110%</f>
        <v/>
      </c>
    </row>
    <row r="27">
      <c r="A27" s="0" t="n">
        <v>26</v>
      </c>
      <c r="B27" s="0" t="inlineStr">
        <is>
          <t>DS4608 XD</t>
        </is>
      </c>
      <c r="C27" s="102">
        <f>'지브라-스캐너'!G16</f>
        <v/>
      </c>
      <c r="D27" s="0" t="inlineStr">
        <is>
          <t>인터페이스 / 악세사리</t>
        </is>
      </c>
      <c r="E27" s="0" t="inlineStr">
        <is>
          <t>본체만(케이블없음) / 선택안함</t>
        </is>
      </c>
      <c r="F27" s="102" t="n">
        <v>0</v>
      </c>
      <c r="G27" s="102">
        <f>C27+F27</f>
        <v/>
      </c>
      <c r="H27" s="102">
        <f>G27/110%</f>
        <v/>
      </c>
    </row>
    <row r="28">
      <c r="A28" s="0" t="n">
        <v>27</v>
      </c>
      <c r="B28" s="0" t="inlineStr">
        <is>
          <t>DS4608 XD</t>
        </is>
      </c>
      <c r="C28" s="102">
        <f>'지브라-스캐너'!G16</f>
        <v/>
      </c>
      <c r="D28" s="0" t="inlineStr">
        <is>
          <t>인터페이스 / 악세사리</t>
        </is>
      </c>
      <c r="E28" s="0" t="inlineStr">
        <is>
          <t>본체만(케이블없음) / 스탠드거치대</t>
        </is>
      </c>
      <c r="F28" s="102" t="n">
        <v>55000</v>
      </c>
      <c r="G28" s="102">
        <f>C28+F28</f>
        <v/>
      </c>
      <c r="H28" s="102">
        <f>G28/110%</f>
        <v/>
      </c>
    </row>
    <row r="29">
      <c r="A29" s="0" t="n">
        <v>28</v>
      </c>
      <c r="B29" s="0" t="inlineStr">
        <is>
          <t>DS8288</t>
        </is>
      </c>
      <c r="C29" s="102">
        <f>'지브라-스캐너'!G17</f>
        <v/>
      </c>
      <c r="D29" s="0" t="inlineStr">
        <is>
          <t>인터페이스</t>
        </is>
      </c>
      <c r="E29" s="0" t="inlineStr">
        <is>
          <t>RS232C</t>
        </is>
      </c>
      <c r="F29" s="102" t="n">
        <v>24200</v>
      </c>
      <c r="G29" s="102">
        <f>C29+F29</f>
        <v/>
      </c>
      <c r="H29" s="102">
        <f>G29/110%</f>
        <v/>
      </c>
    </row>
    <row r="30">
      <c r="A30" s="0" t="n">
        <v>29</v>
      </c>
      <c r="B30" s="0" t="inlineStr">
        <is>
          <t>DS8208</t>
        </is>
      </c>
      <c r="C30" s="102">
        <f>'지브라-스캐너'!G18</f>
        <v/>
      </c>
      <c r="D30" s="0" t="inlineStr">
        <is>
          <t>인터페이스</t>
        </is>
      </c>
      <c r="E30" s="0" t="inlineStr">
        <is>
          <t>RS232C</t>
        </is>
      </c>
      <c r="F30" s="102" t="n">
        <v>24200</v>
      </c>
      <c r="G30" s="102">
        <f>C30+F30</f>
        <v/>
      </c>
      <c r="H30" s="102">
        <f>G30/110%</f>
        <v/>
      </c>
    </row>
    <row r="31">
      <c r="A31" s="0" t="n">
        <v>30</v>
      </c>
      <c r="B31" s="0" t="inlineStr">
        <is>
          <t>DS3678 XR</t>
        </is>
      </c>
      <c r="C31" s="102">
        <f>'지브라-스캐너'!G21</f>
        <v/>
      </c>
      <c r="D31" s="0" t="inlineStr">
        <is>
          <t>인터페이스</t>
        </is>
      </c>
      <c r="E31" s="0" t="inlineStr">
        <is>
          <t>RS232C</t>
        </is>
      </c>
      <c r="F31" s="102" t="n">
        <v>24200</v>
      </c>
      <c r="G31" s="102">
        <f>C31+F31</f>
        <v/>
      </c>
      <c r="H31" s="102">
        <f>G31/110%</f>
        <v/>
      </c>
    </row>
    <row r="32">
      <c r="A32" s="0" t="n">
        <v>31</v>
      </c>
      <c r="B32" s="0" t="inlineStr">
        <is>
          <t>DS5502</t>
        </is>
      </c>
      <c r="C32" s="102">
        <f>'지브라-스캐너'!G22</f>
        <v/>
      </c>
      <c r="D32" s="0" t="inlineStr">
        <is>
          <t>인터페이스</t>
        </is>
      </c>
      <c r="E32" s="0" t="inlineStr">
        <is>
          <t>RS232C</t>
        </is>
      </c>
      <c r="F32" s="102" t="n">
        <v>49500</v>
      </c>
      <c r="G32" s="102">
        <f>C32+F32</f>
        <v/>
      </c>
      <c r="H32" s="102">
        <f>G32/110%</f>
        <v/>
      </c>
    </row>
    <row r="33">
      <c r="A33" s="0" t="n">
        <v>32</v>
      </c>
      <c r="B33" s="0" t="inlineStr">
        <is>
          <t>DS4678</t>
        </is>
      </c>
      <c r="C33" s="102">
        <f>'지브라-스캐너'!G23</f>
        <v/>
      </c>
      <c r="D33" s="0" t="inlineStr">
        <is>
          <t>인터페이스</t>
        </is>
      </c>
      <c r="E33" s="0" t="inlineStr">
        <is>
          <t>본체+크래들만(케이블없음)</t>
        </is>
      </c>
      <c r="F33" s="102" t="n">
        <v>0</v>
      </c>
      <c r="G33" s="102">
        <f>C33+F33</f>
        <v/>
      </c>
      <c r="H33" s="102">
        <f>G33/110%</f>
        <v/>
      </c>
    </row>
    <row r="34">
      <c r="A34" s="0" t="n">
        <v>33</v>
      </c>
      <c r="B34" s="0" t="inlineStr">
        <is>
          <t>DS4678</t>
        </is>
      </c>
      <c r="C34" s="102">
        <f>'지브라-스캐너'!G23</f>
        <v/>
      </c>
      <c r="D34" s="0" t="inlineStr">
        <is>
          <t>인터페이스</t>
        </is>
      </c>
      <c r="E34" s="0" t="inlineStr">
        <is>
          <t>RS232C</t>
        </is>
      </c>
      <c r="F34" s="102" t="n">
        <v>24200</v>
      </c>
      <c r="G34" s="102">
        <f>C34+F34</f>
        <v/>
      </c>
      <c r="H34" s="102">
        <f>G34/110%</f>
        <v/>
      </c>
    </row>
    <row r="35">
      <c r="A35" s="0" t="n">
        <v>34</v>
      </c>
      <c r="B35" s="0" t="inlineStr">
        <is>
          <t>DS9308</t>
        </is>
      </c>
      <c r="C35" s="102">
        <f>'지브라-스캐너'!G25</f>
        <v/>
      </c>
      <c r="D35" s="0" t="inlineStr">
        <is>
          <t>인터페이스</t>
        </is>
      </c>
      <c r="E35" s="0" t="inlineStr">
        <is>
          <t>RS232C</t>
        </is>
      </c>
      <c r="F35" s="102" t="n">
        <v>24200</v>
      </c>
      <c r="G35" s="102">
        <f>C35+F35</f>
        <v/>
      </c>
      <c r="H35" s="102">
        <f>G35/110%</f>
        <v/>
      </c>
    </row>
    <row r="36">
      <c r="A36" s="0" t="n">
        <v>35</v>
      </c>
      <c r="B36" s="0" t="inlineStr">
        <is>
          <t>DS9308</t>
        </is>
      </c>
      <c r="C36" s="102">
        <f>'지브라-스캐너'!G25</f>
        <v/>
      </c>
      <c r="D36" s="0" t="inlineStr">
        <is>
          <t>인터페이스</t>
        </is>
      </c>
      <c r="E36" s="0" t="inlineStr">
        <is>
          <t>본체만(케이블없음)</t>
        </is>
      </c>
      <c r="F36" s="102" t="n">
        <v>0</v>
      </c>
      <c r="G36" s="102">
        <f>C36+F36</f>
        <v/>
      </c>
      <c r="H36" s="102">
        <f>G36/110%</f>
        <v/>
      </c>
    </row>
    <row r="37">
      <c r="A37" s="0" t="n">
        <v>36</v>
      </c>
      <c r="B37" s="0" t="inlineStr">
        <is>
          <t>DS8178</t>
        </is>
      </c>
      <c r="C37" s="102">
        <f>'지브라-스캐너'!G26</f>
        <v/>
      </c>
      <c r="D37" s="0" t="inlineStr">
        <is>
          <t>인터페이스</t>
        </is>
      </c>
      <c r="E37" s="0" t="inlineStr">
        <is>
          <t>RS232C</t>
        </is>
      </c>
      <c r="F37" s="102" t="n">
        <v>24200</v>
      </c>
      <c r="G37" s="102">
        <f>C37+F37</f>
        <v/>
      </c>
      <c r="H37" s="102">
        <f>G37/110%</f>
        <v/>
      </c>
    </row>
    <row r="38">
      <c r="A38" s="0" t="n">
        <v>37</v>
      </c>
      <c r="B38" s="0" t="inlineStr">
        <is>
          <t>DS8178</t>
        </is>
      </c>
      <c r="C38" s="102">
        <f>'지브라-스캐너'!G26</f>
        <v/>
      </c>
      <c r="D38" s="0" t="inlineStr">
        <is>
          <t>인터페이스</t>
        </is>
      </c>
      <c r="E38" s="0" t="inlineStr">
        <is>
          <t>본체+크래들만(케이블없음)</t>
        </is>
      </c>
      <c r="F38" s="102" t="n">
        <v>0</v>
      </c>
      <c r="G38" s="102">
        <f>C38+F38</f>
        <v/>
      </c>
      <c r="H38" s="102">
        <f>G38/110%</f>
        <v/>
      </c>
    </row>
    <row r="39">
      <c r="A39" s="0" t="n">
        <v>38</v>
      </c>
      <c r="B39" s="0" t="inlineStr">
        <is>
          <t>LI4278</t>
        </is>
      </c>
      <c r="C39" s="102">
        <f>'지브라-스캐너'!G27</f>
        <v/>
      </c>
      <c r="D39" s="0" t="inlineStr">
        <is>
          <t>인터페이스</t>
        </is>
      </c>
      <c r="E39" s="0" t="inlineStr">
        <is>
          <t>RS232C</t>
        </is>
      </c>
      <c r="F39" s="102" t="n">
        <v>24200</v>
      </c>
      <c r="G39" s="102">
        <f>C39+F39</f>
        <v/>
      </c>
      <c r="H39" s="102">
        <f>G39/110%</f>
        <v/>
      </c>
    </row>
    <row r="40">
      <c r="A40" s="0" t="n">
        <v>39</v>
      </c>
      <c r="B40" s="0" t="inlineStr">
        <is>
          <t>LI4278</t>
        </is>
      </c>
      <c r="C40" s="102">
        <f>'지브라-스캐너'!G27</f>
        <v/>
      </c>
      <c r="D40" s="0" t="inlineStr">
        <is>
          <t>인터페이스</t>
        </is>
      </c>
      <c r="E40" s="0" t="inlineStr">
        <is>
          <t>본체+크래들만(케이블없음)</t>
        </is>
      </c>
      <c r="F40" s="102" t="n">
        <v>0</v>
      </c>
      <c r="G40" s="102">
        <f>C40+F40</f>
        <v/>
      </c>
      <c r="H40" s="102">
        <f>G40/110%</f>
        <v/>
      </c>
    </row>
    <row r="41">
      <c r="A41" s="0" t="n">
        <v>40</v>
      </c>
      <c r="B41" s="0" t="inlineStr">
        <is>
          <t>RS6100</t>
        </is>
      </c>
      <c r="C41" s="102">
        <f>'지브라-스캐너'!G28</f>
        <v/>
      </c>
      <c r="D41" s="0" t="inlineStr">
        <is>
          <t>연결방식</t>
        </is>
      </c>
      <c r="E41" s="0" t="inlineStr">
        <is>
          <t>링트리거</t>
        </is>
      </c>
      <c r="F41" s="102" t="n">
        <v>0</v>
      </c>
      <c r="G41" s="102">
        <f>C41+F41</f>
        <v/>
      </c>
      <c r="H41" s="102">
        <f>G41/110%</f>
        <v/>
      </c>
    </row>
    <row r="42">
      <c r="A42" s="0" t="n">
        <v>41</v>
      </c>
      <c r="B42" s="0" t="inlineStr">
        <is>
          <t>FS10</t>
        </is>
      </c>
      <c r="C42" s="102">
        <f>'지브라-스캐너'!G29</f>
        <v/>
      </c>
      <c r="D42" s="0" t="inlineStr">
        <is>
          <t>본체</t>
        </is>
      </c>
      <c r="E42" s="0" t="inlineStr">
        <is>
          <t>본체</t>
        </is>
      </c>
      <c r="F42" s="102" t="n">
        <v>0</v>
      </c>
      <c r="G42" s="102">
        <f>C42+F42</f>
        <v/>
      </c>
      <c r="H42" s="102">
        <f>G42/110%</f>
        <v/>
      </c>
    </row>
    <row r="43">
      <c r="A43" s="0" t="n">
        <v>42</v>
      </c>
      <c r="B43" s="0" t="inlineStr">
        <is>
          <t>FS20</t>
        </is>
      </c>
      <c r="C43" s="102">
        <f>'지브라-스캐너'!G30</f>
        <v/>
      </c>
      <c r="D43" s="0" t="inlineStr">
        <is>
          <t>본체</t>
        </is>
      </c>
      <c r="E43" s="0" t="inlineStr">
        <is>
          <t>본체</t>
        </is>
      </c>
      <c r="F43" s="102" t="n">
        <v>0</v>
      </c>
      <c r="G43" s="102">
        <f>C43+F43</f>
        <v/>
      </c>
      <c r="H43" s="102">
        <f>G43/110%</f>
        <v/>
      </c>
    </row>
    <row r="44">
      <c r="A44" s="0" t="n">
        <v>43</v>
      </c>
      <c r="B44" s="0" t="inlineStr">
        <is>
          <t>FS40</t>
        </is>
      </c>
      <c r="C44" s="102">
        <f>'지브라-스캐너'!G31</f>
        <v/>
      </c>
      <c r="D44" s="0" t="inlineStr">
        <is>
          <t>본체</t>
        </is>
      </c>
      <c r="E44" s="0" t="inlineStr">
        <is>
          <t>본체</t>
        </is>
      </c>
      <c r="F44" s="102" t="n">
        <v>0</v>
      </c>
      <c r="G44" s="102">
        <f>C44+F44</f>
        <v/>
      </c>
      <c r="H44" s="102">
        <f>G44/110%</f>
        <v/>
      </c>
    </row>
    <row r="45">
      <c r="A45" s="0" t="n">
        <v>44</v>
      </c>
      <c r="B45" s="0" t="inlineStr">
        <is>
          <t>FS70</t>
        </is>
      </c>
      <c r="C45" s="102">
        <f>'지브라-스캐너'!G32</f>
        <v/>
      </c>
      <c r="D45" s="0" t="inlineStr">
        <is>
          <t>본체</t>
        </is>
      </c>
      <c r="E45" s="0" t="inlineStr">
        <is>
          <t>본체</t>
        </is>
      </c>
      <c r="F45" s="102" t="n">
        <v>0</v>
      </c>
      <c r="G45" s="102">
        <f>C45+F45</f>
        <v/>
      </c>
      <c r="H45" s="102">
        <f>G45/110%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soln</dc:creator>
  <dcterms:created xmlns:dcterms="http://purl.org/dc/terms/" xmlns:xsi="http://www.w3.org/2001/XMLSchema-instance" xsi:type="dcterms:W3CDTF">2026-10-12T04:03:57Z</dcterms:created>
  <dcterms:modified xmlns:dcterms="http://purl.org/dc/terms/" xmlns:xsi="http://www.w3.org/2001/XMLSchema-instance" xsi:type="dcterms:W3CDTF">2026-10-23T01:32:15Z</dcterms:modified>
  <cp:lastModifiedBy>우영 박</cp:lastModifiedBy>
</cp:coreProperties>
</file>