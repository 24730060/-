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T411헤드-업체비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WenQuanYi Zen Hei"/>
            <family val="2"/>
          </rPr>
          <t xml:space="preserve">국내 기존 매입단가 입력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원화</t>
        </r>
        <r>
          <rPr>
            <sz val="10"/>
            <rFont val="Arial"/>
            <family val="2"/>
          </rPr>
          <t xml:space="preserve">)</t>
        </r>
      </text>
    </comment>
    <comment ref="D2" authorId="0">
      <text>
        <r>
          <rPr>
            <sz val="10"/>
            <rFont val="WenQuanYi Zen Hei"/>
            <family val="2"/>
          </rPr>
          <t xml:space="preserve">기존 </t>
        </r>
        <r>
          <rPr>
            <sz val="10"/>
            <rFont val="Arial"/>
            <family val="2"/>
          </rPr>
          <t xml:space="preserve">1013 </t>
        </r>
        <r>
          <rPr>
            <sz val="10"/>
            <rFont val="WenQuanYi Zen Hei"/>
            <family val="2"/>
          </rPr>
          <t xml:space="preserve">시트 환율을 그대로 사용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결제 시점 환율로 변경하세요</t>
        </r>
        <r>
          <rPr>
            <sz val="10"/>
            <rFont val="Arial"/>
            <family val="2"/>
          </rPr>
          <t xml:space="preserve">.</t>
        </r>
      </text>
    </comment>
    <comment ref="D21" authorId="0">
      <text>
        <r>
          <rPr>
            <sz val="10"/>
            <rFont val="WenQuanYi Zen Hei"/>
            <family val="2"/>
          </rPr>
          <t xml:space="preserve">추정값</t>
        </r>
        <r>
          <rPr>
            <sz val="10"/>
            <rFont val="Arial"/>
            <family val="2"/>
          </rPr>
          <t xml:space="preserve">($80): </t>
        </r>
        <r>
          <rPr>
            <sz val="10"/>
            <rFont val="WenQuanYi Zen Hei"/>
            <family val="2"/>
          </rPr>
          <t xml:space="preserve">헤드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약 </t>
        </r>
        <r>
          <rPr>
            <sz val="10"/>
            <rFont val="Arial"/>
            <family val="2"/>
          </rPr>
          <t xml:space="preserve">3~5kg) </t>
        </r>
        <r>
          <rPr>
            <sz val="10"/>
            <rFont val="WenQuanYi Zen Hei"/>
            <family val="2"/>
          </rPr>
          <t xml:space="preserve">중국→한국 특송 기준 대략치</t>
        </r>
        <r>
          <rPr>
            <sz val="10"/>
            <rFont val="Arial"/>
            <family val="2"/>
          </rPr>
          <t xml:space="preserve">. EXW </t>
        </r>
        <r>
          <rPr>
            <sz val="10"/>
            <rFont val="WenQuanYi Zen Hei"/>
            <family val="2"/>
          </rPr>
          <t xml:space="preserve">조건이라 중국 내 픽업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수출통관 비용이 추가될 수 있음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업체 운임 견적 받으면 수정</t>
        </r>
        <r>
          <rPr>
            <sz val="10"/>
            <rFont val="Arial"/>
            <family val="2"/>
          </rPr>
          <t xml:space="preserve">.</t>
        </r>
      </text>
    </comment>
    <comment ref="D24" authorId="0">
      <text>
        <r>
          <rPr>
            <sz val="10"/>
            <rFont val="WenQuanYi Zen Hei"/>
            <family val="2"/>
          </rPr>
          <t xml:space="preserve">프린터 부품</t>
        </r>
        <r>
          <rPr>
            <sz val="10"/>
            <rFont val="Arial"/>
            <family val="2"/>
          </rPr>
          <t xml:space="preserve">(HS 8443.99)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ITA </t>
        </r>
        <r>
          <rPr>
            <sz val="10"/>
            <rFont val="WenQuanYi Zen Hei"/>
            <family val="2"/>
          </rPr>
          <t xml:space="preserve">품목으로 기본관세 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관세사 확인 필요</t>
        </r>
        <r>
          <rPr>
            <sz val="10"/>
            <rFont val="Arial"/>
            <family val="2"/>
          </rPr>
          <t xml:space="preserve">.</t>
        </r>
      </text>
    </comment>
    <comment ref="D26" authorId="0">
      <text>
        <r>
          <rPr>
            <sz val="10"/>
            <rFont val="WenQuanYi Zen Hei"/>
            <family val="2"/>
          </rPr>
          <t xml:space="preserve">부가세 </t>
        </r>
        <r>
          <rPr>
            <sz val="10"/>
            <rFont val="Arial"/>
            <family val="2"/>
          </rPr>
          <t xml:space="preserve">= (</t>
        </r>
        <r>
          <rPr>
            <sz val="10"/>
            <rFont val="WenQuanYi Zen Hei"/>
            <family val="2"/>
          </rPr>
          <t xml:space="preserve">과세가격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WenQuanYi Zen Hei"/>
            <family val="2"/>
          </rPr>
          <t xml:space="preserve">관세</t>
        </r>
        <r>
          <rPr>
            <sz val="10"/>
            <rFont val="Arial"/>
            <family val="2"/>
          </rPr>
          <t xml:space="preserve">) × 10%. </t>
        </r>
        <r>
          <rPr>
            <sz val="10"/>
            <rFont val="WenQuanYi Zen Hei"/>
            <family val="2"/>
          </rPr>
          <t xml:space="preserve">사업자 매입세액 공제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환급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가능</t>
        </r>
      </text>
    </comment>
    <comment ref="D27" authorId="0">
      <text>
        <r>
          <rPr>
            <sz val="10"/>
            <rFont val="WenQuanYi Zen Hei"/>
            <family val="2"/>
          </rPr>
          <t xml:space="preserve">추정값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특송 통관수수료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관세사 수수료 등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실제 청구액으로 수정</t>
        </r>
        <r>
          <rPr>
            <sz val="10"/>
            <rFont val="Arial"/>
            <family val="2"/>
          </rPr>
          <t xml:space="preserve">)</t>
        </r>
      </text>
    </comment>
    <comment ref="D28" authorId="0">
      <text>
        <r>
          <rPr>
            <sz val="10"/>
            <rFont val="WenQuanYi Zen Hei"/>
            <family val="2"/>
          </rPr>
          <t xml:space="preserve">추정값</t>
        </r>
        <r>
          <rPr>
            <sz val="10"/>
            <rFont val="Arial"/>
            <family val="2"/>
          </rPr>
          <t xml:space="preserve">: T/T </t>
        </r>
        <r>
          <rPr>
            <sz val="10"/>
            <rFont val="WenQuanYi Zen Hei"/>
            <family val="2"/>
          </rPr>
          <t xml:space="preserve">해외송금 수수료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전신료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은행별 상이</t>
        </r>
        <r>
          <rPr>
            <sz val="10"/>
            <rFont val="Arial"/>
            <family val="2"/>
          </rPr>
          <t xml:space="preserve">)</t>
        </r>
      </text>
    </comment>
    <comment ref="E21" authorId="0">
      <text>
        <r>
          <rPr>
            <sz val="10"/>
            <rFont val="WenQuanYi Zen Hei"/>
            <family val="2"/>
          </rPr>
          <t xml:space="preserve">추정값</t>
        </r>
        <r>
          <rPr>
            <sz val="10"/>
            <rFont val="Arial"/>
            <family val="2"/>
          </rPr>
          <t xml:space="preserve">($80). FOB </t>
        </r>
        <r>
          <rPr>
            <sz val="10"/>
            <rFont val="WenQuanYi Zen Hei"/>
            <family val="2"/>
          </rPr>
          <t xml:space="preserve">조건 — </t>
        </r>
        <r>
          <rPr>
            <sz val="10"/>
            <rFont val="Arial"/>
            <family val="2"/>
          </rPr>
          <t xml:space="preserve">Colortek</t>
        </r>
        <r>
          <rPr>
            <sz val="10"/>
            <rFont val="WenQuanYi Zen Hei"/>
            <family val="2"/>
          </rPr>
          <t xml:space="preserve">이 주소 받으면 운송비 견적 준다고 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견적 받으면 수정</t>
        </r>
        <r>
          <rPr>
            <sz val="10"/>
            <rFont val="Arial"/>
            <family val="2"/>
          </rPr>
          <t xml:space="preserve">.</t>
        </r>
      </text>
    </comment>
    <comment ref="F9" authorId="0">
      <text>
        <r>
          <rPr>
            <sz val="10"/>
            <rFont val="WenQuanYi Zen Hei"/>
            <family val="2"/>
          </rPr>
          <t xml:space="preserve">견적서 상 주문 수량이 </t>
        </r>
        <r>
          <rPr>
            <sz val="10"/>
            <rFont val="Arial"/>
            <family val="2"/>
          </rPr>
          <t xml:space="preserve">1.0</t>
        </r>
        <r>
          <rPr>
            <sz val="10"/>
            <rFont val="WenQuanYi Zen Hei"/>
            <family val="2"/>
          </rPr>
          <t xml:space="preserve">으로 표기됨 →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개 기준 단가 재확인 필요</t>
        </r>
      </text>
    </comment>
    <comment ref="F21" authorId="0">
      <text>
        <r>
          <rPr>
            <sz val="10"/>
            <rFont val="WenQuanYi Zen Hei"/>
            <family val="2"/>
          </rPr>
          <t xml:space="preserve">추정값</t>
        </r>
        <r>
          <rPr>
            <sz val="10"/>
            <rFont val="Arial"/>
            <family val="2"/>
          </rPr>
          <t xml:space="preserve">($80). EXW </t>
        </r>
        <r>
          <rPr>
            <sz val="10"/>
            <rFont val="WenQuanYi Zen Hei"/>
            <family val="2"/>
          </rPr>
          <t xml:space="preserve">조건 — 중국 내 픽업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수출통관 비용 추가 가능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견적 받으면 수정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<sst xmlns="http://schemas.openxmlformats.org/spreadsheetml/2006/main" count="90" uniqueCount="64">
  <si>
    <r>
      <rPr>
        <b val="true"/>
        <sz val="11"/>
        <color rgb="FF000000"/>
        <rFont val="WenQuanYi Zen Hei"/>
        <family val="2"/>
      </rPr>
      <t xml:space="preserve">환율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</t>
    </r>
    <r>
      <rPr>
        <b val="true"/>
        <sz val="11"/>
        <color rgb="FF000000"/>
        <rFont val="Noto Sans CJK SC"/>
        <family val="2"/>
        <charset val="1"/>
      </rPr>
      <t xml:space="preserve">/USD)</t>
    </r>
  </si>
  <si>
    <r>
      <rPr>
        <sz val="11"/>
        <color rgb="FF808080"/>
        <rFont val="Noto Sans CJK SC"/>
        <family val="2"/>
        <charset val="1"/>
      </rPr>
      <t xml:space="preserve">(2026-10-13, 11</t>
    </r>
    <r>
      <rPr>
        <sz val="11"/>
        <color rgb="FF808080"/>
        <rFont val="WenQuanYi Zen Hei"/>
        <family val="2"/>
      </rPr>
      <t xml:space="preserve">시</t>
    </r>
    <r>
      <rPr>
        <sz val="11"/>
        <color rgb="FF808080"/>
        <rFont val="Noto Sans CJK SC"/>
        <family val="2"/>
        <charset val="1"/>
      </rPr>
      <t xml:space="preserve">, </t>
    </r>
    <r>
      <rPr>
        <sz val="11"/>
        <color rgb="FF808080"/>
        <rFont val="WenQuanYi Zen Hei"/>
        <family val="2"/>
      </rPr>
      <t xml:space="preserve">하나은행</t>
    </r>
    <r>
      <rPr>
        <sz val="11"/>
        <color rgb="FF808080"/>
        <rFont val="Noto Sans CJK SC"/>
        <family val="2"/>
        <charset val="1"/>
      </rPr>
      <t xml:space="preserve">) ← </t>
    </r>
    <r>
      <rPr>
        <sz val="11"/>
        <color rgb="FF808080"/>
        <rFont val="WenQuanYi Zen Hei"/>
        <family val="2"/>
      </rPr>
      <t xml:space="preserve">노란색 셀만 값 변경</t>
    </r>
    <r>
      <rPr>
        <sz val="11"/>
        <color rgb="FF808080"/>
        <rFont val="Noto Sans CJK SC"/>
        <family val="2"/>
        <charset val="1"/>
      </rPr>
      <t xml:space="preserve">. </t>
    </r>
    <r>
      <rPr>
        <sz val="11"/>
        <color rgb="FF808080"/>
        <rFont val="WenQuanYi Zen Hei"/>
        <family val="2"/>
      </rPr>
      <t xml:space="preserve">초록색 </t>
    </r>
    <r>
      <rPr>
        <sz val="11"/>
        <color rgb="FF808080"/>
        <rFont val="Noto Sans CJK SC"/>
        <family val="2"/>
        <charset val="1"/>
      </rPr>
      <t xml:space="preserve">= </t>
    </r>
    <r>
      <rPr>
        <sz val="11"/>
        <color rgb="FF808080"/>
        <rFont val="WenQuanYi Zen Hei"/>
        <family val="2"/>
      </rPr>
      <t xml:space="preserve">최저가</t>
    </r>
  </si>
  <si>
    <r>
      <rPr>
        <b val="true"/>
        <sz val="14"/>
        <rFont val="WenQuanYi Zen Hei"/>
        <family val="2"/>
      </rPr>
      <t xml:space="preserve">지브라 </t>
    </r>
    <r>
      <rPr>
        <b val="true"/>
        <sz val="14"/>
        <rFont val="Noto Sans CJK SC"/>
        <family val="3"/>
        <charset val="129"/>
      </rPr>
      <t xml:space="preserve">ZT411 300dpi </t>
    </r>
    <r>
      <rPr>
        <b val="true"/>
        <sz val="14"/>
        <rFont val="WenQuanYi Zen Hei"/>
        <family val="2"/>
      </rPr>
      <t xml:space="preserve">프린트헤드</t>
    </r>
    <r>
      <rPr>
        <b val="true"/>
        <sz val="14"/>
        <rFont val="Noto Sans CJK SC"/>
        <family val="3"/>
        <charset val="129"/>
      </rPr>
      <t xml:space="preserve">(</t>
    </r>
    <r>
      <rPr>
        <b val="true"/>
        <sz val="14"/>
        <rFont val="WenQuanYi Zen Hei"/>
        <family val="2"/>
      </rPr>
      <t xml:space="preserve">정품</t>
    </r>
    <r>
      <rPr>
        <b val="true"/>
        <sz val="14"/>
        <rFont val="Noto Sans CJK SC"/>
        <family val="3"/>
        <charset val="129"/>
      </rPr>
      <t xml:space="preserve">) </t>
    </r>
    <r>
      <rPr>
        <b val="true"/>
        <sz val="14"/>
        <rFont val="WenQuanYi Zen Hei"/>
        <family val="2"/>
      </rPr>
      <t xml:space="preserve">매입처 비교 </t>
    </r>
    <r>
      <rPr>
        <b val="true"/>
        <sz val="14"/>
        <rFont val="Noto Sans CJK SC"/>
        <family val="3"/>
        <charset val="129"/>
      </rPr>
      <t xml:space="preserve">(</t>
    </r>
    <r>
      <rPr>
        <b val="true"/>
        <sz val="14"/>
        <rFont val="WenQuanYi Zen Hei"/>
        <family val="2"/>
      </rPr>
      <t xml:space="preserve">중국 업체 </t>
    </r>
    <r>
      <rPr>
        <b val="true"/>
        <sz val="14"/>
        <rFont val="Noto Sans CJK SC"/>
        <family val="3"/>
        <charset val="129"/>
      </rPr>
      <t xml:space="preserve">3</t>
    </r>
    <r>
      <rPr>
        <b val="true"/>
        <sz val="14"/>
        <rFont val="WenQuanYi Zen Hei"/>
        <family val="2"/>
      </rPr>
      <t xml:space="preserve">곳 </t>
    </r>
    <r>
      <rPr>
        <b val="true"/>
        <sz val="14"/>
        <rFont val="Noto Sans CJK SC"/>
        <family val="3"/>
        <charset val="129"/>
      </rPr>
      <t xml:space="preserve">+ </t>
    </r>
    <r>
      <rPr>
        <b val="true"/>
        <sz val="14"/>
        <rFont val="WenQuanYi Zen Hei"/>
        <family val="2"/>
      </rPr>
      <t xml:space="preserve">현재 국내 매입단가</t>
    </r>
    <r>
      <rPr>
        <b val="true"/>
        <sz val="14"/>
        <rFont val="Noto Sans CJK SC"/>
        <family val="3"/>
        <charset val="129"/>
      </rPr>
      <t xml:space="preserve">)</t>
    </r>
  </si>
  <si>
    <r>
      <rPr>
        <b val="true"/>
        <sz val="18"/>
        <color rgb="FFFFFFFF"/>
        <rFont val="Arial"/>
        <family val="2"/>
        <charset val="1"/>
      </rPr>
      <t xml:space="preserve">Zebra ZT411 300dpi </t>
    </r>
    <r>
      <rPr>
        <b val="true"/>
        <sz val="18"/>
        <color rgb="FFFFFFFF"/>
        <rFont val="WenQuanYi Zen Hei"/>
        <family val="2"/>
      </rPr>
      <t xml:space="preserve">프린트헤드 </t>
    </r>
    <r>
      <rPr>
        <b val="true"/>
        <sz val="18"/>
        <color rgb="FFFFFFFF"/>
        <rFont val="Arial"/>
        <family val="2"/>
        <charset val="1"/>
      </rPr>
      <t xml:space="preserve">(P1058930-010)</t>
    </r>
  </si>
  <si>
    <t xml:space="preserve">구분</t>
  </si>
  <si>
    <r>
      <rPr>
        <b val="true"/>
        <sz val="11"/>
        <color rgb="FFFFFFFF"/>
        <rFont val="WenQuanYi Zen Hei"/>
        <family val="2"/>
      </rPr>
      <t xml:space="preserve">현재 매입단가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국내</t>
    </r>
    <r>
      <rPr>
        <b val="true"/>
        <sz val="11"/>
        <color rgb="FFFFFFFF"/>
        <rFont val="Noto Sans CJK SC"/>
        <family val="2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기존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</si>
  <si>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1. Guangzhou Jiamei Information Technology Co., Ltd.
(</t>
    </r>
    <r>
      <rPr>
        <b val="true"/>
        <sz val="11"/>
        <color rgb="FFFFFFFF"/>
        <rFont val="WenQuanYi Zen Hei"/>
        <family val="2"/>
      </rPr>
      <t xml:space="preserve">알리바바 </t>
    </r>
    <r>
      <rPr>
        <b val="true"/>
        <sz val="11"/>
        <color rgb="FFFFFFFF"/>
        <rFont val="Arial"/>
        <family val="2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년 </t>
    </r>
    <r>
      <rPr>
        <b val="true"/>
        <sz val="11"/>
        <color rgb="FFFFFFFF"/>
        <rFont val="Arial"/>
        <family val="2"/>
        <charset val="1"/>
      </rPr>
      <t xml:space="preserve">/ Verified)</t>
    </r>
  </si>
  <si>
    <r>
      <rPr>
        <b val="true"/>
        <sz val="11"/>
        <color rgb="FFFFFFFF"/>
        <rFont val="Arial"/>
        <family val="2"/>
        <charset val="1"/>
      </rPr>
      <t xml:space="preserve">2. Shenzhen Colortek Technologies Co., Ltd.
(</t>
    </r>
    <r>
      <rPr>
        <b val="true"/>
        <sz val="11"/>
        <color rgb="FFFFFFFF"/>
        <rFont val="WenQuanYi Zen Hei"/>
        <family val="2"/>
      </rPr>
      <t xml:space="preserve">알리바바 </t>
    </r>
    <r>
      <rPr>
        <b val="true"/>
        <sz val="11"/>
        <color rgb="FFFFFFFF"/>
        <rFont val="Arial"/>
        <family val="2"/>
        <charset val="1"/>
      </rPr>
      <t xml:space="preserve">13</t>
    </r>
    <r>
      <rPr>
        <b val="true"/>
        <sz val="11"/>
        <color rgb="FFFFFFFF"/>
        <rFont val="WenQuanYi Zen Hei"/>
        <family val="2"/>
      </rPr>
      <t xml:space="preserve">년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</si>
  <si>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3. Suzhou Scantech Electronic Information Technology Co., Ltd.
(</t>
    </r>
    <r>
      <rPr>
        <b val="true"/>
        <sz val="11"/>
        <color rgb="FFFFFFFF"/>
        <rFont val="WenQuanYi Zen Hei"/>
        <family val="2"/>
      </rPr>
      <t xml:space="preserve">알리바바 </t>
    </r>
    <r>
      <rPr>
        <b val="true"/>
        <sz val="11"/>
        <color rgb="FFFFFFFF"/>
        <rFont val="Arial"/>
        <family val="2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년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</si>
  <si>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단가</t>
    </r>
    <r>
      <rPr>
        <b val="true"/>
        <sz val="11"/>
        <color rgb="FF000000"/>
        <rFont val="Noto Sans CJK SC"/>
        <family val="2"/>
        <charset val="1"/>
      </rPr>
      <t xml:space="preserve">(USD)</t>
    </r>
  </si>
  <si>
    <t xml:space="preserve">-</t>
  </si>
  <si>
    <r>
      <rPr>
        <b val="true"/>
        <sz val="11"/>
        <color rgb="FF000000"/>
        <rFont val="WenQuanYi Zen Hei"/>
        <family val="2"/>
      </rPr>
      <t xml:space="preserve">단가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</si>
  <si>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t xml:space="preserve">주문 수량</t>
  </si>
  <si>
    <r>
      <rPr>
        <b val="true"/>
        <sz val="11"/>
        <color rgb="FF000000"/>
        <rFont val="WenQuanYi Zen Hei"/>
        <family val="2"/>
      </rPr>
      <t xml:space="preserve">모델번호</t>
    </r>
    <r>
      <rPr>
        <b val="true"/>
        <sz val="11"/>
        <color rgb="FF000000"/>
        <rFont val="Noto Sans CJK SC"/>
        <family val="2"/>
        <charset val="1"/>
      </rPr>
      <t xml:space="preserve">(Part No.)</t>
    </r>
  </si>
  <si>
    <t xml:space="preserve">P1058930-010</t>
  </si>
  <si>
    <t xml:space="preserve">미기재</t>
  </si>
  <si>
    <r>
      <rPr>
        <b val="true"/>
        <sz val="11"/>
        <color rgb="FF000000"/>
        <rFont val="WenQuanYi Zen Hei"/>
        <family val="2"/>
      </rPr>
      <t xml:space="preserve">정품 </t>
    </r>
    <r>
      <rPr>
        <b val="true"/>
        <sz val="11"/>
        <color rgb="FF000000"/>
        <rFont val="Noto Sans CJK SC"/>
        <family val="2"/>
        <charset val="1"/>
      </rPr>
      <t xml:space="preserve">/ </t>
    </r>
    <r>
      <rPr>
        <b val="true"/>
        <sz val="11"/>
        <color rgb="FF000000"/>
        <rFont val="WenQuanYi Zen Hei"/>
        <family val="2"/>
      </rPr>
      <t xml:space="preserve">상태</t>
    </r>
  </si>
  <si>
    <r>
      <rPr>
        <sz val="11"/>
        <color rgb="FF000000"/>
        <rFont val="Noto Sans CJK SC"/>
        <family val="2"/>
        <charset val="1"/>
      </rPr>
      <t xml:space="preserve">Original new (</t>
    </r>
    <r>
      <rPr>
        <sz val="11"/>
        <color rgb="FF000000"/>
        <rFont val="WenQuanYi Zen Hei"/>
        <family val="2"/>
      </rPr>
      <t xml:space="preserve">제조사 정품</t>
    </r>
    <r>
      <rPr>
        <sz val="11"/>
        <color rgb="FF000000"/>
        <rFont val="Noto Sans CJK SC"/>
        <family val="2"/>
        <charset val="1"/>
      </rPr>
      <t xml:space="preserve">)
Brand new, unused
</t>
    </r>
    <r>
      <rPr>
        <sz val="11"/>
        <color rgb="FF000000"/>
        <rFont val="WenQuanYi Zen Hei"/>
        <family val="2"/>
      </rPr>
      <t xml:space="preserve">제조사 정품 포장 </t>
    </r>
    <r>
      <rPr>
        <sz val="11"/>
        <color rgb="FF000000"/>
        <rFont val="Noto Sans CJK SC"/>
        <family val="2"/>
        <charset val="1"/>
      </rPr>
      <t xml:space="preserve">/ </t>
    </r>
    <r>
      <rPr>
        <sz val="11"/>
        <color rgb="FF000000"/>
        <rFont val="WenQuanYi Zen Hei"/>
        <family val="2"/>
      </rPr>
      <t xml:space="preserve">출고 전 테스트</t>
    </r>
  </si>
  <si>
    <r>
      <rPr>
        <sz val="11"/>
        <color rgb="FF000000"/>
        <rFont val="Noto Sans CJK SC"/>
        <family val="2"/>
        <charset val="1"/>
      </rPr>
      <t xml:space="preserve">original print head
(</t>
    </r>
    <r>
      <rPr>
        <sz val="11"/>
        <color rgb="FF000000"/>
        <rFont val="WenQuanYi Zen Hei"/>
        <family val="2"/>
      </rPr>
      <t xml:space="preserve">상세정보</t>
    </r>
    <r>
      <rPr>
        <sz val="11"/>
        <color rgb="FF000000"/>
        <rFont val="Noto Sans CJK SC"/>
        <family val="2"/>
        <charset val="1"/>
      </rPr>
      <t xml:space="preserve">: "for ZT410, 300dpi" </t>
    </r>
    <r>
      <rPr>
        <sz val="11"/>
        <color rgb="FF000000"/>
        <rFont val="WenQuanYi Zen Hei"/>
        <family val="2"/>
      </rPr>
      <t xml:space="preserve">표기</t>
    </r>
    <r>
      <rPr>
        <sz val="11"/>
        <color rgb="FF000000"/>
        <rFont val="Noto Sans CJK SC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</si>
  <si>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Original Zebra ZT411 300dpi printhead
(</t>
    </r>
    <r>
      <rPr>
        <sz val="11"/>
        <color rgb="FF000000"/>
        <rFont val="WenQuanYi Zen Hei"/>
        <family val="2"/>
      </rPr>
      <t xml:space="preserve">상세 정보 없음</t>
    </r>
    <r>
      <rPr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</si>
  <si>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선적조건 </t>
    </r>
    <r>
      <rPr>
        <b val="true"/>
        <sz val="11"/>
        <color rgb="FF000000"/>
        <rFont val="Noto Sans CJK SC"/>
        <family val="2"/>
        <charset val="1"/>
      </rPr>
      <t xml:space="preserve">/ </t>
    </r>
    <r>
      <rPr>
        <b val="true"/>
        <sz val="11"/>
        <color rgb="FF000000"/>
        <rFont val="WenQuanYi Zen Hei"/>
        <family val="2"/>
      </rPr>
      <t xml:space="preserve">출발지</t>
    </r>
  </si>
  <si>
    <t xml:space="preserve">EXW / Guangzhou</t>
  </si>
  <si>
    <t xml:space="preserve">FOB / Shenzhen</t>
  </si>
  <si>
    <t xml:space="preserve">EXW / Suzhou</t>
  </si>
  <si>
    <t xml:space="preserve">결제방식</t>
  </si>
  <si>
    <t xml:space="preserve">T/T</t>
  </si>
  <si>
    <t xml:space="preserve">납기일정</t>
  </si>
  <si>
    <r>
      <rPr>
        <sz val="11"/>
        <color rgb="FF000000"/>
        <rFont val="WenQuanYi Zen Hei"/>
        <family val="2"/>
      </rPr>
      <t xml:space="preserve">결제 후 </t>
    </r>
    <r>
      <rPr>
        <sz val="11"/>
        <color rgb="FF000000"/>
        <rFont val="Noto Sans CJK SC"/>
        <family val="2"/>
        <charset val="1"/>
      </rPr>
      <t xml:space="preserve">10</t>
    </r>
    <r>
      <rPr>
        <sz val="11"/>
        <color rgb="FF000000"/>
        <rFont val="WenQuanYi Zen Hei"/>
        <family val="2"/>
      </rPr>
      <t xml:space="preserve">일 이내
예상 발송일 </t>
    </r>
    <r>
      <rPr>
        <sz val="11"/>
        <color rgb="FF000000"/>
        <rFont val="Noto Sans CJK SC"/>
        <family val="2"/>
        <charset val="1"/>
      </rPr>
      <t xml:space="preserve">2026-11-13</t>
    </r>
  </si>
  <si>
    <r>
      <rPr>
        <sz val="11"/>
        <color rgb="FF000000"/>
        <rFont val="WenQuanYi Zen Hei"/>
        <family val="2"/>
      </rPr>
      <t xml:space="preserve">예상 발송일 </t>
    </r>
    <r>
      <rPr>
        <sz val="11"/>
        <color rgb="FF000000"/>
        <rFont val="Noto Sans CJK SC"/>
        <family val="2"/>
        <charset val="1"/>
      </rPr>
      <t xml:space="preserve">2026-11-13</t>
    </r>
  </si>
  <si>
    <r>
      <rPr>
        <sz val="11"/>
        <color rgb="FF000000"/>
        <rFont val="WenQuanYi Zen Hei"/>
        <family val="2"/>
      </rPr>
      <t xml:space="preserve">예상 발송일 </t>
    </r>
    <r>
      <rPr>
        <sz val="11"/>
        <color rgb="FF000000"/>
        <rFont val="Noto Sans CJK SC"/>
        <family val="2"/>
        <charset val="1"/>
      </rPr>
      <t xml:space="preserve">2026-11-14</t>
    </r>
  </si>
  <si>
    <t xml:space="preserve">샘플</t>
  </si>
  <si>
    <r>
      <rPr>
        <sz val="11"/>
        <color rgb="FF000000"/>
        <rFont val="WenQuanYi Zen Hei"/>
        <family val="2"/>
      </rPr>
      <t xml:space="preserve">제공 </t>
    </r>
    <r>
      <rPr>
        <sz val="11"/>
        <color rgb="FF000000"/>
        <rFont val="Noto Sans CJK SC"/>
        <family val="2"/>
        <charset val="1"/>
      </rPr>
      <t xml:space="preserve">O / </t>
    </r>
    <r>
      <rPr>
        <sz val="11"/>
        <color rgb="FF000000"/>
        <rFont val="WenQuanYi Zen Hei"/>
        <family val="2"/>
      </rPr>
      <t xml:space="preserve">무료 </t>
    </r>
    <r>
      <rPr>
        <sz val="11"/>
        <color rgb="FF000000"/>
        <rFont val="Noto Sans CJK SC"/>
        <family val="2"/>
        <charset val="1"/>
      </rPr>
      <t xml:space="preserve">X
</t>
    </r>
    <r>
      <rPr>
        <sz val="11"/>
        <color rgb="FF000000"/>
        <rFont val="WenQuanYi Zen Hei"/>
        <family val="2"/>
      </rPr>
      <t xml:space="preserve">운임 구매자 부담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확인 후 </t>
    </r>
    <r>
      <rPr>
        <sz val="11"/>
        <color rgb="FF000000"/>
        <rFont val="Noto Sans CJK SC"/>
        <family val="2"/>
        <charset val="1"/>
      </rPr>
      <t xml:space="preserve">10</t>
    </r>
    <r>
      <rPr>
        <sz val="11"/>
        <color rgb="FF000000"/>
        <rFont val="WenQuanYi Zen Hei"/>
        <family val="2"/>
      </rPr>
      <t xml:space="preserve">일</t>
    </r>
  </si>
  <si>
    <r>
      <rPr>
        <sz val="11"/>
        <color rgb="FF000000"/>
        <rFont val="WenQuanYi Zen Hei"/>
        <family val="2"/>
      </rPr>
      <t xml:space="preserve">제공 </t>
    </r>
    <r>
      <rPr>
        <sz val="11"/>
        <color rgb="FF000000"/>
        <rFont val="Noto Sans CJK SC"/>
        <family val="2"/>
        <charset val="1"/>
      </rPr>
      <t xml:space="preserve">O</t>
    </r>
  </si>
  <si>
    <t xml:space="preserve">비고</t>
  </si>
  <si>
    <r>
      <rPr>
        <sz val="11"/>
        <color rgb="FF000000"/>
        <rFont val="Noto Sans CJK SC"/>
        <family val="2"/>
        <charset val="1"/>
      </rPr>
      <t xml:space="preserve">• 3</t>
    </r>
    <r>
      <rPr>
        <sz val="11"/>
        <color rgb="FF000000"/>
        <rFont val="WenQuanYi Zen Hei"/>
        <family val="2"/>
      </rPr>
      <t xml:space="preserve">곳 중 최저가
• 판매자 소개는 </t>
    </r>
    <r>
      <rPr>
        <sz val="11"/>
        <color rgb="FF000000"/>
        <rFont val="Noto Sans CJK SC"/>
        <family val="2"/>
        <charset val="1"/>
      </rPr>
      <t xml:space="preserve">"Guangzhou ASON, </t>
    </r>
    <r>
      <rPr>
        <sz val="11"/>
        <color rgb="FF000000"/>
        <rFont val="WenQuanYi Zen Hei"/>
        <family val="2"/>
      </rPr>
      <t xml:space="preserve">프린터</t>
    </r>
    <r>
      <rPr>
        <sz val="11"/>
        <color rgb="FF000000"/>
        <rFont val="Noto Sans CJK SC"/>
        <family val="2"/>
        <charset val="1"/>
      </rPr>
      <t xml:space="preserve">·</t>
    </r>
    <r>
      <rPr>
        <sz val="11"/>
        <color rgb="FF000000"/>
        <rFont val="WenQuanYi Zen Hei"/>
        <family val="2"/>
      </rPr>
      <t xml:space="preserve">헤드 제조 </t>
    </r>
    <r>
      <rPr>
        <sz val="11"/>
        <color rgb="FF000000"/>
        <rFont val="Noto Sans CJK SC"/>
        <family val="2"/>
        <charset val="1"/>
      </rPr>
      <t xml:space="preserve">18</t>
    </r>
    <r>
      <rPr>
        <sz val="11"/>
        <color rgb="FF000000"/>
        <rFont val="WenQuanYi Zen Hei"/>
        <family val="2"/>
      </rPr>
      <t xml:space="preserve">년</t>
    </r>
    <r>
      <rPr>
        <sz val="11"/>
        <color rgb="FF000000"/>
        <rFont val="Noto Sans CJK SC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으로 알리바바 등록 회사명</t>
    </r>
    <r>
      <rPr>
        <sz val="11"/>
        <color rgb="FF000000"/>
        <rFont val="Noto Sans CJK SC"/>
        <family val="2"/>
        <charset val="1"/>
      </rPr>
      <t xml:space="preserve">(Jiamei)</t>
    </r>
    <r>
      <rPr>
        <sz val="11"/>
        <color rgb="FF000000"/>
        <rFont val="WenQuanYi Zen Hei"/>
        <family val="2"/>
      </rPr>
      <t xml:space="preserve">과 다름 → 계약 주체</t>
    </r>
    <r>
      <rPr>
        <sz val="11"/>
        <color rgb="FF000000"/>
        <rFont val="Noto Sans CJK SC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수취 계좌 확인 필요
• 주력이 중고 장비 → 새제품 재확인</t>
    </r>
  </si>
  <si>
    <r>
      <rPr>
        <sz val="11"/>
        <color rgb="FF000000"/>
        <rFont val="WenQuanYi Zen Hei"/>
        <family val="2"/>
      </rPr>
      <t xml:space="preserve">• 알리바바 경력 최장</t>
    </r>
    <r>
      <rPr>
        <sz val="11"/>
        <color rgb="FF000000"/>
        <rFont val="Noto Sans CJK SC"/>
        <family val="2"/>
        <charset val="1"/>
      </rPr>
      <t xml:space="preserve">(13</t>
    </r>
    <r>
      <rPr>
        <sz val="11"/>
        <color rgb="FF000000"/>
        <rFont val="WenQuanYi Zen Hei"/>
        <family val="2"/>
      </rPr>
      <t xml:space="preserve">년</t>
    </r>
    <r>
      <rPr>
        <sz val="11"/>
        <color rgb="FF000000"/>
        <rFont val="Noto Sans CJK SC"/>
        <family val="2"/>
        <charset val="1"/>
      </rPr>
      <t xml:space="preserve">), </t>
    </r>
    <r>
      <rPr>
        <sz val="11"/>
        <color rgb="FF000000"/>
        <rFont val="WenQuanYi Zen Hei"/>
        <family val="2"/>
      </rPr>
      <t xml:space="preserve">왕관 </t>
    </r>
    <r>
      <rPr>
        <sz val="11"/>
        <color rgb="FF000000"/>
        <rFont val="Noto Sans CJK SC"/>
        <family val="2"/>
        <charset val="1"/>
      </rPr>
      <t xml:space="preserve">3</t>
    </r>
    <r>
      <rPr>
        <sz val="11"/>
        <color rgb="FF000000"/>
        <rFont val="WenQuanYi Zen Hei"/>
        <family val="2"/>
      </rPr>
      <t xml:space="preserve">개
• 주소 알려주면 </t>
    </r>
    <r>
      <rPr>
        <sz val="11"/>
        <color rgb="FF000000"/>
        <rFont val="Noto Sans CJK SC"/>
        <family val="2"/>
        <charset val="1"/>
      </rPr>
      <t xml:space="preserve">10</t>
    </r>
    <r>
      <rPr>
        <sz val="11"/>
        <color rgb="FF000000"/>
        <rFont val="WenQuanYi Zen Hei"/>
        <family val="2"/>
      </rPr>
      <t xml:space="preserve">개 운송비 별도 견적 예정
• 상세정보의 </t>
    </r>
    <r>
      <rPr>
        <sz val="11"/>
        <color rgb="FF000000"/>
        <rFont val="Noto Sans CJK SC"/>
        <family val="2"/>
        <charset val="1"/>
      </rPr>
      <t xml:space="preserve">"ZT410" </t>
    </r>
    <r>
      <rPr>
        <sz val="11"/>
        <color rgb="FF000000"/>
        <rFont val="WenQuanYi Zen Hei"/>
        <family val="2"/>
      </rPr>
      <t xml:space="preserve">표기 → </t>
    </r>
    <r>
      <rPr>
        <sz val="11"/>
        <color rgb="FF000000"/>
        <rFont val="Noto Sans CJK SC"/>
        <family val="2"/>
        <charset val="1"/>
      </rPr>
      <t xml:space="preserve">ZT411 </t>
    </r>
    <r>
      <rPr>
        <sz val="11"/>
        <color rgb="FF000000"/>
        <rFont val="WenQuanYi Zen Hei"/>
        <family val="2"/>
      </rPr>
      <t xml:space="preserve">호환 확인 </t>
    </r>
    <r>
      <rPr>
        <sz val="11"/>
        <color rgb="FF000000"/>
        <rFont val="Noto Sans CJK SC"/>
        <family val="2"/>
        <charset val="1"/>
      </rPr>
      <t xml:space="preserve">(ZT410/411 </t>
    </r>
    <r>
      <rPr>
        <sz val="11"/>
        <color rgb="FF000000"/>
        <rFont val="WenQuanYi Zen Hei"/>
        <family val="2"/>
      </rPr>
      <t xml:space="preserve">동일 헤드로 알려짐</t>
    </r>
    <r>
      <rPr>
        <sz val="11"/>
        <color rgb="FF000000"/>
        <rFont val="Noto Sans CJK SC"/>
        <family val="2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</si>
  <si>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• 왕관 </t>
    </r>
    <r>
      <rPr>
        <sz val="11"/>
        <color rgb="FF000000"/>
        <rFont val="Noto Sans CJK SC"/>
        <family val="2"/>
        <charset val="1"/>
      </rPr>
      <t xml:space="preserve">2</t>
    </r>
    <r>
      <rPr>
        <sz val="11"/>
        <color rgb="FF000000"/>
        <rFont val="WenQuanYi Zen Hei"/>
        <family val="2"/>
      </rPr>
      <t xml:space="preserve">개
• 모델번호</t>
    </r>
    <r>
      <rPr>
        <sz val="11"/>
        <color rgb="FF000000"/>
        <rFont val="Noto Sans CJK SC"/>
        <family val="2"/>
        <charset val="1"/>
      </rPr>
      <t xml:space="preserve">·</t>
    </r>
    <r>
      <rPr>
        <sz val="11"/>
        <color rgb="FF000000"/>
        <rFont val="WenQuanYi Zen Hei"/>
        <family val="2"/>
      </rPr>
      <t xml:space="preserve">결제조건 미기재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수량 </t>
    </r>
    <r>
      <rPr>
        <sz val="11"/>
        <color rgb="FF000000"/>
        <rFont val="Noto Sans CJK SC"/>
        <family val="2"/>
        <charset val="1"/>
      </rPr>
      <t xml:space="preserve">1</t>
    </r>
    <r>
      <rPr>
        <sz val="11"/>
        <color rgb="FF000000"/>
        <rFont val="WenQuanYi Zen Hei"/>
        <family val="2"/>
      </rPr>
      <t xml:space="preserve">개 기준 견적
• </t>
    </r>
    <r>
      <rPr>
        <sz val="11"/>
        <color rgb="FF000000"/>
        <rFont val="Noto Sans CJK SC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더 좋은 가격 제시 가능</t>
    </r>
    <r>
      <rPr>
        <sz val="11"/>
        <color rgb="FF000000"/>
        <rFont val="Noto Sans CJK SC"/>
        <family val="2"/>
        <charset val="1"/>
      </rPr>
      <t xml:space="preserve">" → 10</t>
    </r>
    <r>
      <rPr>
        <sz val="11"/>
        <color rgb="FF000000"/>
        <rFont val="WenQuanYi Zen Hei"/>
        <family val="2"/>
      </rPr>
      <t xml:space="preserve">개 단가 네고 여지</t>
    </r>
  </si>
  <si>
    <r>
      <rPr>
        <b val="true"/>
        <sz val="18"/>
        <color rgb="FFFFFFFF"/>
        <rFont val="WenQuanYi Zen Hei"/>
        <family val="2"/>
      </rPr>
      <t xml:space="preserve">총 비용 계산 </t>
    </r>
    <r>
      <rPr>
        <b val="true"/>
        <sz val="18"/>
        <color rgb="FFFFFFFF"/>
        <rFont val="Arial"/>
        <family val="2"/>
        <charset val="1"/>
      </rPr>
      <t xml:space="preserve">(</t>
    </r>
    <r>
      <rPr>
        <b val="true"/>
        <sz val="18"/>
        <color rgb="FFFFFFFF"/>
        <rFont val="WenQuanYi Zen Hei"/>
        <family val="2"/>
      </rPr>
      <t xml:space="preserve">수입 원가</t>
    </r>
    <r>
      <rPr>
        <b val="true"/>
        <sz val="18"/>
        <color rgb="FFFFFFFF"/>
        <rFont val="Arial"/>
        <family val="2"/>
        <charset val="1"/>
      </rPr>
      <t xml:space="preserve">, </t>
    </r>
    <r>
      <rPr>
        <b val="true"/>
        <sz val="18"/>
        <color rgb="FFFFFFFF"/>
        <rFont val="WenQuanYi Zen Hei"/>
        <family val="2"/>
      </rPr>
      <t xml:space="preserve">주문 수량 기준</t>
    </r>
    <r>
      <rPr>
        <b val="true"/>
        <sz val="18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</si>
  <si>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제품가 합계</t>
    </r>
    <r>
      <rPr>
        <b val="true"/>
        <sz val="11"/>
        <color rgb="FF000000"/>
        <rFont val="Noto Sans CJK SC"/>
        <family val="2"/>
        <charset val="1"/>
      </rPr>
      <t xml:space="preserve">(USD)</t>
    </r>
  </si>
  <si>
    <r>
      <rPr>
        <b val="true"/>
        <sz val="11"/>
        <color rgb="FF000000"/>
        <rFont val="WenQuanYi Zen Hei"/>
        <family val="2"/>
      </rPr>
      <t xml:space="preserve">국제운송비</t>
    </r>
    <r>
      <rPr>
        <b val="true"/>
        <sz val="11"/>
        <color rgb="FF000000"/>
        <rFont val="Noto Sans CJK SC"/>
        <family val="2"/>
        <charset val="1"/>
      </rPr>
      <t xml:space="preserve">(USD)</t>
    </r>
  </si>
  <si>
    <r>
      <rPr>
        <b val="true"/>
        <sz val="11"/>
        <color rgb="FF000000"/>
        <rFont val="WenQuanYi Zen Hei"/>
        <family val="2"/>
      </rPr>
      <t xml:space="preserve">과세가격 </t>
    </r>
    <r>
      <rPr>
        <b val="true"/>
        <sz val="11"/>
        <color rgb="FF000000"/>
        <rFont val="Noto Sans CJK SC"/>
        <family val="2"/>
        <charset val="1"/>
      </rPr>
      <t xml:space="preserve">CIF(USD)</t>
    </r>
  </si>
  <si>
    <r>
      <rPr>
        <b val="true"/>
        <sz val="11"/>
        <color rgb="FF000000"/>
        <rFont val="WenQuanYi Zen Hei"/>
        <family val="2"/>
      </rPr>
      <t xml:space="preserve">과세가격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</si>
  <si>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t xml:space="preserve">관세율</t>
  </si>
  <si>
    <r>
      <rPr>
        <b val="true"/>
        <sz val="11"/>
        <color rgb="FF000000"/>
        <rFont val="WenQuanYi Zen Hei"/>
        <family val="2"/>
      </rPr>
      <t xml:space="preserve">관세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</si>
  <si>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수입 부가세 </t>
    </r>
    <r>
      <rPr>
        <b val="true"/>
        <sz val="11"/>
        <color rgb="FF000000"/>
        <rFont val="Noto Sans CJK SC"/>
        <family val="2"/>
        <charset val="1"/>
      </rPr>
      <t xml:space="preserve">10%(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</si>
  <si>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통관</t>
    </r>
    <r>
      <rPr>
        <b val="true"/>
        <sz val="11"/>
        <color rgb="FF000000"/>
        <rFont val="Noto Sans CJK SC"/>
        <family val="2"/>
        <charset val="1"/>
      </rPr>
      <t xml:space="preserve">·</t>
    </r>
    <r>
      <rPr>
        <b val="true"/>
        <sz val="11"/>
        <color rgb="FF000000"/>
        <rFont val="WenQuanYi Zen Hei"/>
        <family val="2"/>
      </rPr>
      <t xml:space="preserve">기타 수수료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</si>
  <si>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해외송금 수수료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</si>
  <si>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총 비용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</si>
  <si>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개당 원가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</si>
  <si>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부가세 환급 시 실부담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</si>
  <si>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국내 매입 대비 절감액</t>
    </r>
    <r>
      <rPr>
        <b val="true"/>
        <sz val="11"/>
        <color rgb="FF000000"/>
        <rFont val="Noto Sans CJK SC"/>
        <family val="2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원화</t>
    </r>
    <r>
      <rPr>
        <b val="true"/>
        <sz val="11"/>
        <color rgb="FF000000"/>
        <rFont val="Noto Sans CJK SC"/>
        <family val="2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</si>
  <si>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※ 비교 제외 업체 </t>
    </r>
    <r>
      <rPr>
        <b val="true"/>
        <sz val="11"/>
        <rFont val="Noto Sans CJK SC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총 </t>
    </r>
    <r>
      <rPr>
        <b val="true"/>
        <sz val="11"/>
        <rFont val="Noto Sans CJK SC"/>
        <family val="0"/>
        <charset val="1"/>
      </rPr>
      <t xml:space="preserve">7</t>
    </r>
    <r>
      <rPr>
        <b val="true"/>
        <sz val="11"/>
        <rFont val="WenQuanYi Zen Hei"/>
        <family val="2"/>
      </rPr>
      <t xml:space="preserve">건 견적 중</t>
    </r>
    <r>
      <rPr>
        <b val="true"/>
        <sz val="11"/>
        <rFont val="Noto Sans CJK SC"/>
        <family val="0"/>
        <charset val="1"/>
      </rPr>
      <t xml:space="preserve">)</t>
    </r>
  </si>
  <si>
    <r>
      <rPr>
        <sz val="10"/>
        <rFont val="Noto Sans CJK SC"/>
        <family val="0"/>
        <charset val="1"/>
      </rPr>
      <t xml:space="preserve">• Hangzhou Codewel New Material ($232, 8</t>
    </r>
    <r>
      <rPr>
        <sz val="10"/>
        <rFont val="WenQuanYi Zen Hei"/>
        <family val="2"/>
      </rPr>
      <t xml:space="preserve">년</t>
    </r>
    <r>
      <rPr>
        <sz val="10"/>
        <rFont val="Noto Sans CJK SC"/>
        <family val="0"/>
        <charset val="1"/>
      </rPr>
      <t xml:space="preserve">, </t>
    </r>
    <r>
      <rPr>
        <sz val="10"/>
        <rFont val="WenQuanYi Zen Hei"/>
        <family val="2"/>
      </rPr>
      <t xml:space="preserve">왕관 </t>
    </r>
    <r>
      <rPr>
        <sz val="10"/>
        <rFont val="Noto Sans CJK SC"/>
        <family val="0"/>
        <charset val="1"/>
      </rPr>
      <t xml:space="preserve">3</t>
    </r>
    <r>
      <rPr>
        <sz val="10"/>
        <rFont val="WenQuanYi Zen Hei"/>
        <family val="2"/>
      </rPr>
      <t xml:space="preserve">개</t>
    </r>
    <r>
      <rPr>
        <sz val="10"/>
        <rFont val="Noto Sans CJK SC"/>
        <family val="0"/>
        <charset val="1"/>
      </rPr>
      <t xml:space="preserve">) — </t>
    </r>
    <r>
      <rPr>
        <sz val="10"/>
        <rFont val="WenQuanYi Zen Hei"/>
        <family val="2"/>
      </rPr>
      <t xml:space="preserve">최저가지만 </t>
    </r>
    <r>
      <rPr>
        <sz val="10"/>
        <rFont val="Noto Sans CJK SC"/>
        <family val="0"/>
        <charset val="1"/>
      </rPr>
      <t xml:space="preserve">"Hot Selling Thermal Printhead ZT410/ZT41…" </t>
    </r>
    <r>
      <rPr>
        <sz val="10"/>
        <rFont val="WenQuanYi Zen Hei"/>
        <family val="2"/>
      </rPr>
      <t xml:space="preserve">표기로 정품</t>
    </r>
    <r>
      <rPr>
        <sz val="10"/>
        <rFont val="Noto Sans CJK SC"/>
        <family val="0"/>
        <charset val="1"/>
      </rPr>
      <t xml:space="preserve">(Genuine/Original) </t>
    </r>
    <r>
      <rPr>
        <sz val="10"/>
        <rFont val="WenQuanYi Zen Hei"/>
        <family val="2"/>
      </rPr>
      <t xml:space="preserve">표기 없음 → 호환품 가능성</t>
    </r>
    <r>
      <rPr>
        <sz val="10"/>
        <rFont val="Noto Sans CJK SC"/>
        <family val="0"/>
        <charset val="1"/>
      </rPr>
      <t xml:space="preserve">. </t>
    </r>
    <r>
      <rPr>
        <sz val="10"/>
        <rFont val="WenQuanYi Zen Hei"/>
        <family val="2"/>
      </rPr>
      <t xml:space="preserve">정품 확인 시 후보 편입</t>
    </r>
  </si>
  <si>
    <r>
      <rPr>
        <sz val="10"/>
        <rFont val="Noto Sans CJK SC"/>
        <family val="0"/>
        <charset val="1"/>
      </rPr>
      <t xml:space="preserve">• Jiangsu Wishbigger Information ($280, 5</t>
    </r>
    <r>
      <rPr>
        <sz val="10"/>
        <rFont val="WenQuanYi Zen Hei"/>
        <family val="2"/>
      </rPr>
      <t xml:space="preserve">년</t>
    </r>
    <r>
      <rPr>
        <sz val="10"/>
        <rFont val="Noto Sans CJK SC"/>
        <family val="0"/>
        <charset val="1"/>
      </rPr>
      <t xml:space="preserve">, </t>
    </r>
    <r>
      <rPr>
        <sz val="10"/>
        <rFont val="WenQuanYi Zen Hei"/>
        <family val="2"/>
      </rPr>
      <t xml:space="preserve">왕관 </t>
    </r>
    <r>
      <rPr>
        <sz val="10"/>
        <rFont val="Noto Sans CJK SC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Noto Sans CJK SC"/>
        <family val="0"/>
        <charset val="1"/>
      </rPr>
      <t xml:space="preserve">) — </t>
    </r>
    <r>
      <rPr>
        <sz val="10"/>
        <rFont val="WenQuanYi Zen Hei"/>
        <family val="2"/>
      </rPr>
      <t xml:space="preserve">최고가 수준 대비 등급 낮음</t>
    </r>
  </si>
  <si>
    <r>
      <rPr>
        <sz val="10"/>
        <rFont val="Noto Sans CJK SC"/>
        <family val="0"/>
        <charset val="1"/>
      </rPr>
      <t xml:space="preserve">• Shenzhen Protex ($1,275) / Chongqing Greensun ($1,090) — </t>
    </r>
    <r>
      <rPr>
        <sz val="10"/>
        <rFont val="WenQuanYi Zen Hei"/>
        <family val="2"/>
      </rPr>
      <t xml:space="preserve">헤드가 아닌 </t>
    </r>
    <r>
      <rPr>
        <sz val="10"/>
        <rFont val="Noto Sans CJK SC"/>
        <family val="0"/>
        <charset val="1"/>
      </rPr>
      <t xml:space="preserve">ZT411 </t>
    </r>
    <r>
      <rPr>
        <sz val="10"/>
        <rFont val="WenQuanYi Zen Hei"/>
        <family val="2"/>
      </rPr>
      <t xml:space="preserve">프린터 본체 견적</t>
    </r>
  </si>
  <si>
    <r>
      <rPr>
        <b val="true"/>
        <sz val="11"/>
        <rFont val="WenQuanYi Zen Hei"/>
        <family val="2"/>
      </rPr>
      <t xml:space="preserve">※ 공통 사항 </t>
    </r>
    <r>
      <rPr>
        <b val="true"/>
        <sz val="11"/>
        <rFont val="Noto Sans CJK SC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알리바바 구매 기준</t>
    </r>
    <r>
      <rPr>
        <b val="true"/>
        <sz val="11"/>
        <rFont val="Noto Sans CJK SC"/>
        <family val="0"/>
        <charset val="1"/>
      </rPr>
      <t xml:space="preserve">)</t>
    </r>
  </si>
  <si>
    <r>
      <rPr>
        <sz val="10"/>
        <rFont val="Noto Sans CJK SC"/>
        <family val="0"/>
        <charset val="1"/>
      </rPr>
      <t xml:space="preserve">1. </t>
    </r>
    <r>
      <rPr>
        <sz val="10"/>
        <rFont val="WenQuanYi Zen Hei"/>
        <family val="2"/>
      </rPr>
      <t xml:space="preserve">결제</t>
    </r>
    <r>
      <rPr>
        <sz val="10"/>
        <rFont val="Noto Sans CJK SC"/>
        <family val="0"/>
        <charset val="1"/>
      </rPr>
      <t xml:space="preserve">·</t>
    </r>
    <r>
      <rPr>
        <sz val="10"/>
        <rFont val="WenQuanYi Zen Hei"/>
        <family val="2"/>
      </rPr>
      <t xml:space="preserve">거래는 알리바바 플랫폼</t>
    </r>
    <r>
      <rPr>
        <sz val="10"/>
        <rFont val="Noto Sans CJK SC"/>
        <family val="0"/>
        <charset val="1"/>
      </rPr>
      <t xml:space="preserve">(Trade Assurance)</t>
    </r>
    <r>
      <rPr>
        <sz val="10"/>
        <rFont val="WenQuanYi Zen Hei"/>
        <family val="2"/>
      </rPr>
      <t xml:space="preserve">을 통해 진행 — 결제수단별 수수료 발생 가능</t>
    </r>
  </si>
  <si>
    <r>
      <rPr>
        <sz val="10"/>
        <rFont val="Noto Sans CJK SC"/>
        <family val="0"/>
        <charset val="1"/>
      </rPr>
      <t xml:space="preserve">2. </t>
    </r>
    <r>
      <rPr>
        <sz val="10"/>
        <rFont val="WenQuanYi Zen Hei"/>
        <family val="2"/>
      </rPr>
      <t xml:space="preserve">표기 단가는 제품가 기준이며</t>
    </r>
    <r>
      <rPr>
        <sz val="10"/>
        <rFont val="Noto Sans CJK SC"/>
        <family val="0"/>
        <charset val="1"/>
      </rPr>
      <t xml:space="preserve">, </t>
    </r>
    <r>
      <rPr>
        <sz val="10"/>
        <rFont val="WenQuanYi Zen Hei"/>
        <family val="2"/>
      </rPr>
      <t xml:space="preserve">국제운송비</t>
    </r>
    <r>
      <rPr>
        <sz val="10"/>
        <rFont val="Noto Sans CJK SC"/>
        <family val="0"/>
        <charset val="1"/>
      </rPr>
      <t xml:space="preserve">·</t>
    </r>
    <r>
      <rPr>
        <sz val="10"/>
        <rFont val="WenQuanYi Zen Hei"/>
        <family val="2"/>
      </rPr>
      <t xml:space="preserve">수입 부가세</t>
    </r>
    <r>
      <rPr>
        <sz val="10"/>
        <rFont val="Noto Sans CJK SC"/>
        <family val="0"/>
        <charset val="1"/>
      </rPr>
      <t xml:space="preserve">(10%)·</t>
    </r>
    <r>
      <rPr>
        <sz val="10"/>
        <rFont val="WenQuanYi Zen Hei"/>
        <family val="2"/>
      </rPr>
      <t xml:space="preserve">통관수수료는 별도</t>
    </r>
  </si>
  <si>
    <r>
      <rPr>
        <sz val="10"/>
        <rFont val="Noto Sans CJK SC"/>
        <family val="0"/>
        <charset val="1"/>
      </rPr>
      <t xml:space="preserve">3. </t>
    </r>
    <r>
      <rPr>
        <sz val="10"/>
        <rFont val="WenQuanYi Zen Hei"/>
        <family val="2"/>
      </rPr>
      <t xml:space="preserve">관세 부담 주체</t>
    </r>
    <r>
      <rPr>
        <sz val="10"/>
        <rFont val="Noto Sans CJK SC"/>
        <family val="0"/>
        <charset val="1"/>
      </rPr>
      <t xml:space="preserve">(DAP/DDP </t>
    </r>
    <r>
      <rPr>
        <sz val="10"/>
        <rFont val="WenQuanYi Zen Hei"/>
        <family val="2"/>
      </rPr>
      <t xml:space="preserve">등 인코텀즈</t>
    </r>
    <r>
      <rPr>
        <sz val="10"/>
        <rFont val="Noto Sans CJK SC"/>
        <family val="0"/>
        <charset val="1"/>
      </rPr>
      <t xml:space="preserve">)</t>
    </r>
    <r>
      <rPr>
        <sz val="10"/>
        <rFont val="WenQuanYi Zen Hei"/>
        <family val="2"/>
      </rPr>
      <t xml:space="preserve">는 업체별 확인 후 최종 비교 필요</t>
    </r>
  </si>
  <si>
    <r>
      <rPr>
        <sz val="10"/>
        <rFont val="Noto Sans CJK SC"/>
        <family val="0"/>
        <charset val="1"/>
      </rPr>
      <t xml:space="preserve">4. </t>
    </r>
    <r>
      <rPr>
        <sz val="10"/>
        <rFont val="WenQuanYi Zen Hei"/>
        <family val="2"/>
      </rPr>
      <t xml:space="preserve">원화 환산은 상단 환율</t>
    </r>
    <r>
      <rPr>
        <sz val="10"/>
        <rFont val="Noto Sans CJK SC"/>
        <family val="0"/>
        <charset val="1"/>
      </rPr>
      <t xml:space="preserve">(D2) </t>
    </r>
    <r>
      <rPr>
        <sz val="10"/>
        <rFont val="WenQuanYi Zen Hei"/>
        <family val="2"/>
      </rPr>
      <t xml:space="preserve">기준이며</t>
    </r>
    <r>
      <rPr>
        <sz val="10"/>
        <rFont val="Noto Sans CJK SC"/>
        <family val="0"/>
        <charset val="1"/>
      </rPr>
      <t xml:space="preserve">, </t>
    </r>
    <r>
      <rPr>
        <sz val="10"/>
        <rFont val="WenQuanYi Zen Hei"/>
        <family val="2"/>
      </rPr>
      <t xml:space="preserve">결제 시점 환율에 따라 변동</t>
    </r>
  </si>
  <si>
    <r>
      <rPr>
        <sz val="10"/>
        <rFont val="Noto Sans CJK SC"/>
        <family val="0"/>
        <charset val="1"/>
      </rPr>
      <t xml:space="preserve">5. </t>
    </r>
    <r>
      <rPr>
        <sz val="10"/>
        <rFont val="WenQuanYi Zen Hei"/>
        <family val="2"/>
      </rPr>
      <t xml:space="preserve">정품 파트번호 </t>
    </r>
    <r>
      <rPr>
        <sz val="10"/>
        <rFont val="Noto Sans CJK SC"/>
        <family val="0"/>
        <charset val="1"/>
      </rPr>
      <t xml:space="preserve">P1058930-010(Jiamei·Colortek </t>
    </r>
    <r>
      <rPr>
        <sz val="10"/>
        <rFont val="WenQuanYi Zen Hei"/>
        <family val="2"/>
      </rPr>
      <t xml:space="preserve">견적서 기재</t>
    </r>
    <r>
      <rPr>
        <sz val="10"/>
        <rFont val="Noto Sans CJK SC"/>
        <family val="0"/>
        <charset val="1"/>
      </rPr>
      <t xml:space="preserve">)·</t>
    </r>
    <r>
      <rPr>
        <sz val="10"/>
        <rFont val="WenQuanYi Zen Hei"/>
        <family val="2"/>
      </rPr>
      <t xml:space="preserve">새제품 여부</t>
    </r>
    <r>
      <rPr>
        <sz val="10"/>
        <rFont val="Noto Sans CJK SC"/>
        <family val="0"/>
        <charset val="1"/>
      </rPr>
      <t xml:space="preserve">·</t>
    </r>
    <r>
      <rPr>
        <sz val="10"/>
        <rFont val="WenQuanYi Zen Hei"/>
        <family val="2"/>
      </rPr>
      <t xml:space="preserve">불량 보증기간 발주 전 확인 필요</t>
    </r>
  </si>
  <si>
    <r>
      <rPr>
        <sz val="10"/>
        <rFont val="Noto Sans CJK SC"/>
        <family val="0"/>
        <charset val="1"/>
      </rPr>
      <t xml:space="preserve">6. </t>
    </r>
    <r>
      <rPr>
        <sz val="10"/>
        <rFont val="WenQuanYi Zen Hei"/>
        <family val="2"/>
      </rPr>
      <t xml:space="preserve">총 비용의 노란 셀</t>
    </r>
    <r>
      <rPr>
        <sz val="10"/>
        <rFont val="Noto Sans CJK SC"/>
        <family val="0"/>
        <charset val="1"/>
      </rPr>
      <t xml:space="preserve">(</t>
    </r>
    <r>
      <rPr>
        <sz val="10"/>
        <rFont val="WenQuanYi Zen Hei"/>
        <family val="2"/>
      </rPr>
      <t xml:space="preserve">운송비</t>
    </r>
    <r>
      <rPr>
        <sz val="10"/>
        <rFont val="Noto Sans CJK SC"/>
        <family val="0"/>
        <charset val="1"/>
      </rPr>
      <t xml:space="preserve">·</t>
    </r>
    <r>
      <rPr>
        <sz val="10"/>
        <rFont val="WenQuanYi Zen Hei"/>
        <family val="2"/>
      </rPr>
      <t xml:space="preserve">관세율</t>
    </r>
    <r>
      <rPr>
        <sz val="10"/>
        <rFont val="Noto Sans CJK SC"/>
        <family val="0"/>
        <charset val="1"/>
      </rPr>
      <t xml:space="preserve">·</t>
    </r>
    <r>
      <rPr>
        <sz val="10"/>
        <rFont val="WenQuanYi Zen Hei"/>
        <family val="2"/>
      </rPr>
      <t xml:space="preserve">수수료</t>
    </r>
    <r>
      <rPr>
        <sz val="10"/>
        <rFont val="Noto Sans CJK SC"/>
        <family val="0"/>
        <charset val="1"/>
      </rPr>
      <t xml:space="preserve">)</t>
    </r>
    <r>
      <rPr>
        <sz val="10"/>
        <rFont val="WenQuanYi Zen Hei"/>
        <family val="2"/>
      </rPr>
      <t xml:space="preserve">은 추정값 → 업체 운임 견적</t>
    </r>
    <r>
      <rPr>
        <sz val="10"/>
        <rFont val="Noto Sans CJK SC"/>
        <family val="0"/>
        <charset val="1"/>
      </rPr>
      <t xml:space="preserve">/</t>
    </r>
    <r>
      <rPr>
        <sz val="10"/>
        <rFont val="WenQuanYi Zen Hei"/>
        <family val="2"/>
      </rPr>
      <t xml:space="preserve">실제 청구액으로 수정하면 자동 재계산</t>
    </r>
  </si>
  <si>
    <r>
      <rPr>
        <sz val="10"/>
        <rFont val="Noto Sans CJK SC"/>
        <family val="0"/>
        <charset val="1"/>
      </rPr>
      <t xml:space="preserve">7. EXW(Jiamei·Scantech)</t>
    </r>
    <r>
      <rPr>
        <sz val="10"/>
        <rFont val="WenQuanYi Zen Hei"/>
        <family val="2"/>
      </rPr>
      <t xml:space="preserve">는 공장 인도 조건 → 중국 내 운송</t>
    </r>
    <r>
      <rPr>
        <sz val="10"/>
        <rFont val="Noto Sans CJK SC"/>
        <family val="0"/>
        <charset val="1"/>
      </rPr>
      <t xml:space="preserve">·</t>
    </r>
    <r>
      <rPr>
        <sz val="10"/>
        <rFont val="WenQuanYi Zen Hei"/>
        <family val="2"/>
      </rPr>
      <t xml:space="preserve">수출통관 비용이 추가될 수 있어 </t>
    </r>
    <r>
      <rPr>
        <sz val="10"/>
        <rFont val="Noto Sans CJK SC"/>
        <family val="0"/>
        <charset val="1"/>
      </rPr>
      <t xml:space="preserve">FOB(Colortek)</t>
    </r>
    <r>
      <rPr>
        <sz val="10"/>
        <rFont val="WenQuanYi Zen Hei"/>
        <family val="2"/>
      </rPr>
      <t xml:space="preserve">보다 실비용이 더 들 수 있음</t>
    </r>
  </si>
  <si>
    <r>
      <rPr>
        <sz val="10"/>
        <rFont val="Noto Sans CJK SC"/>
        <family val="0"/>
        <charset val="1"/>
      </rPr>
      <t xml:space="preserve">8. </t>
    </r>
    <r>
      <rPr>
        <sz val="10"/>
        <rFont val="WenQuanYi Zen Hei"/>
        <family val="2"/>
      </rPr>
      <t xml:space="preserve">견적 요청 만료 </t>
    </r>
    <r>
      <rPr>
        <sz val="10"/>
        <rFont val="Noto Sans CJK SC"/>
        <family val="0"/>
        <charset val="1"/>
      </rPr>
      <t xml:space="preserve">2026-10-29 — 10</t>
    </r>
    <r>
      <rPr>
        <sz val="10"/>
        <rFont val="WenQuanYi Zen Hei"/>
        <family val="2"/>
      </rPr>
      <t xml:space="preserve">개 이상 추가 할인 여부 문의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</si>
</sst>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#,##0\원"/>
    <numFmt numFmtId="168" formatCode="#,##0\개"/>
    <numFmt numFmtId="169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WenQuanYi Zen Hei"/>
      <family val="2"/>
    </font>
    <font>
      <b val="true"/>
      <sz val="11"/>
      <color rgb="FF000000"/>
      <name val="Noto Sans CJK SC"/>
      <family val="2"/>
      <charset val="1"/>
    </font>
    <font>
      <sz val="11"/>
      <color rgb="FF000000"/>
      <name val="Arial"/>
      <family val="2"/>
      <charset val="1"/>
    </font>
    <font>
      <sz val="11"/>
      <color rgb="FF808080"/>
      <name val="Noto Sans CJK SC"/>
      <family val="2"/>
      <charset val="1"/>
    </font>
    <font>
      <sz val="11"/>
      <color rgb="FF808080"/>
      <name val="WenQuanYi Zen Hei"/>
      <family val="2"/>
    </font>
    <font>
      <b val="true"/>
      <sz val="14"/>
      <name val="WenQuanYi Zen Hei"/>
      <family val="2"/>
    </font>
    <font>
      <b val="true"/>
      <sz val="14"/>
      <name val="Noto Sans CJK SC"/>
      <family val="3"/>
      <charset val="129"/>
    </font>
    <font>
      <b val="true"/>
      <sz val="18"/>
      <color rgb="FFFFFFFF"/>
      <name val="Arial"/>
      <family val="2"/>
      <charset val="1"/>
    </font>
    <font>
      <b val="true"/>
      <sz val="18"/>
      <color rgb="FFFFFFFF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WenQuanYi Zen Hei"/>
      <family val="2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Noto Sans CJK SC"/>
      <family val="0"/>
      <charset val="1"/>
    </font>
    <font>
      <sz val="10"/>
      <name val="Noto Sans CJK SC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808080"/>
        <bgColor rgb="FF969696"/>
      </patternFill>
    </fill>
    <fill>
      <patternFill patternType="solid">
        <fgColor rgb="FFD9E1F2"/>
        <bgColor rgb="FFC6EFCE"/>
      </patternFill>
    </fill>
    <fill>
      <patternFill patternType="solid">
        <fgColor theme="0"/>
        <bgColor rgb="FFFFFFCC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7.57"/>
    <col collapsed="false" customWidth="true" hidden="false" outlineLevel="0" max="3" min="3" style="0" width="32.43"/>
    <col collapsed="false" customWidth="true" hidden="false" outlineLevel="0" max="4" min="4" style="0" width="43"/>
    <col collapsed="false" customWidth="true" hidden="false" outlineLevel="0" max="6" min="5" style="0" width="41.71"/>
  </cols>
  <sheetData>
    <row r="2" customFormat="false" ht="15" hidden="false" customHeight="false" outlineLevel="0" collapsed="false">
      <c r="C2" s="1" t="s">
        <v>0</v>
      </c>
      <c r="D2" s="2" t="n">
        <v>1361.5</v>
      </c>
      <c r="E2" s="3" t="s">
        <v>1</v>
      </c>
    </row>
    <row r="3" customFormat="false" ht="19.4" hidden="false" customHeight="false" outlineLevel="0" collapsed="false">
      <c r="B3" s="4" t="s">
        <v>2</v>
      </c>
    </row>
    <row r="5" customFormat="false" ht="23.85" hidden="false" customHeight="false" outlineLevel="0" collapsed="false">
      <c r="B5" s="5" t="s">
        <v>3</v>
      </c>
      <c r="C5" s="5"/>
      <c r="D5" s="5"/>
      <c r="E5" s="5"/>
      <c r="F5" s="5"/>
    </row>
    <row r="6" customFormat="false" ht="48" hidden="false" customHeight="true" outlineLevel="0" collapsed="false">
      <c r="B6" s="6" t="s">
        <v>4</v>
      </c>
      <c r="C6" s="7" t="s">
        <v>5</v>
      </c>
      <c r="D6" s="8" t="s">
        <v>6</v>
      </c>
      <c r="E6" s="8" t="s">
        <v>7</v>
      </c>
      <c r="F6" s="8" t="s">
        <v>8</v>
      </c>
    </row>
    <row r="7" customFormat="false" ht="19.5" hidden="false" customHeight="true" outlineLevel="0" collapsed="false">
      <c r="B7" s="9" t="s">
        <v>9</v>
      </c>
      <c r="C7" s="10" t="s">
        <v>10</v>
      </c>
      <c r="D7" s="11" t="n">
        <v>240</v>
      </c>
      <c r="E7" s="11" t="n">
        <v>280</v>
      </c>
      <c r="F7" s="11" t="n">
        <v>270</v>
      </c>
    </row>
    <row r="8" customFormat="false" ht="19.5" hidden="false" customHeight="true" outlineLevel="0" collapsed="false">
      <c r="B8" s="9" t="s">
        <v>11</v>
      </c>
      <c r="C8" s="12"/>
      <c r="D8" s="13" t="n">
        <f aca="false">D7*$D$2</f>
        <v>326760</v>
      </c>
      <c r="E8" s="13" t="n">
        <f aca="false">E7*$D$2</f>
        <v>381220</v>
      </c>
      <c r="F8" s="13" t="n">
        <f aca="false">F7*$D$2</f>
        <v>367605</v>
      </c>
    </row>
    <row r="9" customFormat="false" ht="19.5" hidden="false" customHeight="true" outlineLevel="0" collapsed="false">
      <c r="B9" s="9" t="s">
        <v>12</v>
      </c>
      <c r="C9" s="10" t="s">
        <v>10</v>
      </c>
      <c r="D9" s="14" t="n">
        <v>10</v>
      </c>
      <c r="E9" s="14" t="n">
        <v>10</v>
      </c>
      <c r="F9" s="14" t="n">
        <v>10</v>
      </c>
    </row>
    <row r="10" customFormat="false" ht="19.5" hidden="false" customHeight="true" outlineLevel="0" collapsed="false">
      <c r="B10" s="9" t="s">
        <v>13</v>
      </c>
      <c r="C10" s="15" t="s">
        <v>10</v>
      </c>
      <c r="D10" s="16" t="s">
        <v>14</v>
      </c>
      <c r="E10" s="16" t="s">
        <v>14</v>
      </c>
      <c r="F10" s="17" t="s">
        <v>15</v>
      </c>
    </row>
    <row r="11" customFormat="false" ht="49.5" hidden="false" customHeight="true" outlineLevel="0" collapsed="false">
      <c r="B11" s="9" t="s">
        <v>16</v>
      </c>
      <c r="C11" s="15" t="s">
        <v>10</v>
      </c>
      <c r="D11" s="16" t="s">
        <v>17</v>
      </c>
      <c r="E11" s="16" t="s">
        <v>18</v>
      </c>
      <c r="F11" s="16" t="s">
        <v>19</v>
      </c>
    </row>
    <row r="12" customFormat="false" ht="19.5" hidden="false" customHeight="true" outlineLevel="0" collapsed="false">
      <c r="B12" s="9" t="s">
        <v>20</v>
      </c>
      <c r="C12" s="15" t="s">
        <v>10</v>
      </c>
      <c r="D12" s="16" t="s">
        <v>21</v>
      </c>
      <c r="E12" s="16" t="s">
        <v>22</v>
      </c>
      <c r="F12" s="16" t="s">
        <v>23</v>
      </c>
    </row>
    <row r="13" customFormat="false" ht="19.5" hidden="false" customHeight="true" outlineLevel="0" collapsed="false">
      <c r="B13" s="9" t="s">
        <v>24</v>
      </c>
      <c r="C13" s="15" t="s">
        <v>10</v>
      </c>
      <c r="D13" s="16" t="s">
        <v>25</v>
      </c>
      <c r="E13" s="16" t="s">
        <v>25</v>
      </c>
      <c r="F13" s="17" t="s">
        <v>15</v>
      </c>
    </row>
    <row r="14" customFormat="false" ht="36" hidden="false" customHeight="true" outlineLevel="0" collapsed="false">
      <c r="B14" s="9" t="s">
        <v>26</v>
      </c>
      <c r="C14" s="15" t="s">
        <v>10</v>
      </c>
      <c r="D14" s="17" t="s">
        <v>27</v>
      </c>
      <c r="E14" s="17" t="s">
        <v>28</v>
      </c>
      <c r="F14" s="17" t="s">
        <v>29</v>
      </c>
    </row>
    <row r="15" customFormat="false" ht="36" hidden="false" customHeight="true" outlineLevel="0" collapsed="false">
      <c r="B15" s="9" t="s">
        <v>30</v>
      </c>
      <c r="C15" s="15" t="s">
        <v>10</v>
      </c>
      <c r="D15" s="17" t="s">
        <v>31</v>
      </c>
      <c r="E15" s="16" t="s">
        <v>10</v>
      </c>
      <c r="F15" s="17" t="s">
        <v>32</v>
      </c>
    </row>
    <row r="16" customFormat="false" ht="96" hidden="false" customHeight="true" outlineLevel="0" collapsed="false">
      <c r="B16" s="9" t="s">
        <v>33</v>
      </c>
      <c r="C16" s="15"/>
      <c r="D16" s="16" t="s">
        <v>34</v>
      </c>
      <c r="E16" s="17" t="s">
        <v>35</v>
      </c>
      <c r="F16" s="17" t="s">
        <v>36</v>
      </c>
    </row>
    <row r="18" customFormat="false" ht="23.85" hidden="false" customHeight="false" outlineLevel="0" collapsed="false">
      <c r="B18" s="18" t="s">
        <v>37</v>
      </c>
      <c r="C18" s="5"/>
      <c r="D18" s="5"/>
      <c r="E18" s="5"/>
      <c r="F18" s="5"/>
    </row>
    <row r="19" customFormat="false" ht="48" hidden="false" customHeight="true" outlineLevel="0" collapsed="false">
      <c r="B19" s="6" t="s">
        <v>4</v>
      </c>
      <c r="C19" s="7" t="s">
        <v>5</v>
      </c>
      <c r="D19" s="8" t="s">
        <v>6</v>
      </c>
      <c r="E19" s="8" t="s">
        <v>7</v>
      </c>
      <c r="F19" s="8" t="s">
        <v>8</v>
      </c>
    </row>
    <row r="20" customFormat="false" ht="19.5" hidden="false" customHeight="true" outlineLevel="0" collapsed="false">
      <c r="B20" s="9" t="s">
        <v>38</v>
      </c>
      <c r="C20" s="19" t="s">
        <v>10</v>
      </c>
      <c r="D20" s="20" t="n">
        <f aca="false">D7*D9</f>
        <v>2400</v>
      </c>
      <c r="E20" s="20" t="n">
        <f aca="false">E7*E9</f>
        <v>2800</v>
      </c>
      <c r="F20" s="20" t="n">
        <f aca="false">F7*F9</f>
        <v>2700</v>
      </c>
    </row>
    <row r="21" customFormat="false" ht="19.5" hidden="false" customHeight="true" outlineLevel="0" collapsed="false">
      <c r="B21" s="9" t="s">
        <v>39</v>
      </c>
      <c r="C21" s="19" t="s">
        <v>10</v>
      </c>
      <c r="D21" s="11" t="n">
        <v>80</v>
      </c>
      <c r="E21" s="11" t="n">
        <v>80</v>
      </c>
      <c r="F21" s="11" t="n">
        <v>80</v>
      </c>
    </row>
    <row r="22" customFormat="false" ht="19.5" hidden="false" customHeight="true" outlineLevel="0" collapsed="false">
      <c r="B22" s="9" t="s">
        <v>40</v>
      </c>
      <c r="C22" s="19" t="s">
        <v>10</v>
      </c>
      <c r="D22" s="20" t="n">
        <f aca="false">D20+D21</f>
        <v>2480</v>
      </c>
      <c r="E22" s="20" t="n">
        <f aca="false">E20+E21</f>
        <v>2880</v>
      </c>
      <c r="F22" s="20" t="n">
        <f aca="false">F20+F21</f>
        <v>2780</v>
      </c>
    </row>
    <row r="23" customFormat="false" ht="19.5" hidden="false" customHeight="true" outlineLevel="0" collapsed="false">
      <c r="B23" s="9" t="s">
        <v>41</v>
      </c>
      <c r="C23" s="19" t="s">
        <v>10</v>
      </c>
      <c r="D23" s="13" t="n">
        <f aca="false">D22*$D$2</f>
        <v>3376520</v>
      </c>
      <c r="E23" s="13" t="n">
        <f aca="false">E22*$D$2</f>
        <v>3921120</v>
      </c>
      <c r="F23" s="13" t="n">
        <f aca="false">F22*$D$2</f>
        <v>3784970</v>
      </c>
    </row>
    <row r="24" customFormat="false" ht="19.5" hidden="false" customHeight="true" outlineLevel="0" collapsed="false">
      <c r="B24" s="9" t="s">
        <v>42</v>
      </c>
      <c r="C24" s="19" t="s">
        <v>10</v>
      </c>
      <c r="D24" s="21" t="n">
        <v>0</v>
      </c>
      <c r="E24" s="21" t="n">
        <v>0</v>
      </c>
      <c r="F24" s="21" t="n">
        <v>0</v>
      </c>
    </row>
    <row r="25" customFormat="false" ht="19.5" hidden="false" customHeight="true" outlineLevel="0" collapsed="false">
      <c r="B25" s="9" t="s">
        <v>43</v>
      </c>
      <c r="C25" s="19" t="s">
        <v>10</v>
      </c>
      <c r="D25" s="13" t="n">
        <f aca="false">ROUND(D23*D24,0)</f>
        <v>0</v>
      </c>
      <c r="E25" s="13" t="n">
        <f aca="false">ROUND(E23*E24,0)</f>
        <v>0</v>
      </c>
      <c r="F25" s="13" t="n">
        <f aca="false">ROUND(F23*F24,0)</f>
        <v>0</v>
      </c>
    </row>
    <row r="26" customFormat="false" ht="19.5" hidden="false" customHeight="true" outlineLevel="0" collapsed="false">
      <c r="B26" s="9" t="s">
        <v>44</v>
      </c>
      <c r="C26" s="19" t="s">
        <v>10</v>
      </c>
      <c r="D26" s="13" t="n">
        <f aca="false">ROUND((D23+D25)*0.1,0)</f>
        <v>337652</v>
      </c>
      <c r="E26" s="13" t="n">
        <f aca="false">ROUND((E23+E25)*0.1,0)</f>
        <v>392112</v>
      </c>
      <c r="F26" s="13" t="n">
        <f aca="false">ROUND((F23+F25)*0.1,0)</f>
        <v>378497</v>
      </c>
    </row>
    <row r="27" customFormat="false" ht="19.5" hidden="false" customHeight="true" outlineLevel="0" collapsed="false">
      <c r="B27" s="9" t="s">
        <v>45</v>
      </c>
      <c r="C27" s="19" t="s">
        <v>10</v>
      </c>
      <c r="D27" s="12" t="n">
        <v>30000</v>
      </c>
      <c r="E27" s="12" t="n">
        <v>30000</v>
      </c>
      <c r="F27" s="12" t="n">
        <v>30000</v>
      </c>
    </row>
    <row r="28" customFormat="false" ht="19.5" hidden="false" customHeight="true" outlineLevel="0" collapsed="false">
      <c r="B28" s="9" t="s">
        <v>46</v>
      </c>
      <c r="C28" s="19" t="s">
        <v>10</v>
      </c>
      <c r="D28" s="12" t="n">
        <v>20000</v>
      </c>
      <c r="E28" s="12" t="n">
        <v>20000</v>
      </c>
      <c r="F28" s="12" t="n">
        <v>20000</v>
      </c>
    </row>
    <row r="29" customFormat="false" ht="19.5" hidden="false" customHeight="true" outlineLevel="0" collapsed="false">
      <c r="B29" s="22" t="s">
        <v>47</v>
      </c>
      <c r="C29" s="19" t="str">
        <f aca="false">IF(ISNUMBER($C$8),$C$8*10,"-")</f>
        <v>-</v>
      </c>
      <c r="D29" s="23" t="n">
        <f aca="false">D23+D25+D26+D27+D28</f>
        <v>3764172</v>
      </c>
      <c r="E29" s="23" t="n">
        <f aca="false">E23+E25+E26+E27+E28</f>
        <v>4363232</v>
      </c>
      <c r="F29" s="23" t="n">
        <f aca="false">F23+F25+F26+F27+F28</f>
        <v>4213467</v>
      </c>
    </row>
    <row r="30" customFormat="false" ht="19.5" hidden="false" customHeight="true" outlineLevel="0" collapsed="false">
      <c r="B30" s="9" t="s">
        <v>48</v>
      </c>
      <c r="C30" s="19" t="str">
        <f aca="false">IF(ISNUMBER($C$8),$C$8,"-")</f>
        <v>-</v>
      </c>
      <c r="D30" s="13" t="n">
        <f aca="false">ROUND(D29/D9,0)</f>
        <v>376417</v>
      </c>
      <c r="E30" s="13" t="n">
        <f aca="false">ROUND(E29/E9,0)</f>
        <v>436323</v>
      </c>
      <c r="F30" s="13" t="n">
        <f aca="false">ROUND(F29/F9,0)</f>
        <v>421347</v>
      </c>
    </row>
    <row r="31" customFormat="false" ht="19.5" hidden="false" customHeight="true" outlineLevel="0" collapsed="false">
      <c r="B31" s="9" t="s">
        <v>49</v>
      </c>
      <c r="C31" s="19" t="str">
        <f aca="false">IF(ISNUMBER($C$8),$C$8*10,"-")</f>
        <v>-</v>
      </c>
      <c r="D31" s="13" t="n">
        <f aca="false">D29-D26</f>
        <v>3426520</v>
      </c>
      <c r="E31" s="13" t="n">
        <f aca="false">E29-E26</f>
        <v>3971120</v>
      </c>
      <c r="F31" s="13" t="n">
        <f aca="false">F29-F26</f>
        <v>3834970</v>
      </c>
    </row>
    <row r="32" customFormat="false" ht="19.5" hidden="false" customHeight="true" outlineLevel="0" collapsed="false">
      <c r="B32" s="9" t="s">
        <v>50</v>
      </c>
      <c r="C32" s="19" t="s">
        <v>10</v>
      </c>
      <c r="D32" s="13" t="str">
        <f aca="false">IF(ISNUMBER($C$8),$C$8*D9-D31,"국내단가 입력 필요")</f>
        <v>국내단가 입력 필요</v>
      </c>
      <c r="E32" s="13" t="str">
        <f aca="false">IF(ISNUMBER($C$8),$C$8*E9-E31,"국내단가 입력 필요")</f>
        <v>국내단가 입력 필요</v>
      </c>
      <c r="F32" s="13" t="str">
        <f aca="false">IF(ISNUMBER($C$8),$C$8*F9-F31,"국내단가 입력 필요")</f>
        <v>국내단가 입력 필요</v>
      </c>
    </row>
    <row r="34" customFormat="false" ht="15" hidden="false" customHeight="false" outlineLevel="0" collapsed="false">
      <c r="B34" s="24" t="s">
        <v>51</v>
      </c>
    </row>
    <row r="35" customFormat="false" ht="15" hidden="false" customHeight="false" outlineLevel="0" collapsed="false">
      <c r="B35" s="25" t="s">
        <v>52</v>
      </c>
    </row>
    <row r="36" customFormat="false" ht="15" hidden="false" customHeight="false" outlineLevel="0" collapsed="false">
      <c r="B36" s="25" t="s">
        <v>53</v>
      </c>
    </row>
    <row r="37" customFormat="false" ht="15" hidden="false" customHeight="false" outlineLevel="0" collapsed="false">
      <c r="B37" s="25" t="s">
        <v>54</v>
      </c>
    </row>
    <row r="39" customFormat="false" ht="15" hidden="false" customHeight="false" outlineLevel="0" collapsed="false">
      <c r="B39" s="24" t="s">
        <v>55</v>
      </c>
    </row>
    <row r="40" customFormat="false" ht="19.5" hidden="false" customHeight="true" outlineLevel="0" collapsed="false">
      <c r="B40" s="25" t="s">
        <v>56</v>
      </c>
    </row>
    <row r="41" customFormat="false" ht="19.5" hidden="false" customHeight="true" outlineLevel="0" collapsed="false">
      <c r="B41" s="25" t="s">
        <v>57</v>
      </c>
    </row>
    <row r="42" customFormat="false" ht="19.5" hidden="false" customHeight="true" outlineLevel="0" collapsed="false">
      <c r="B42" s="25" t="s">
        <v>58</v>
      </c>
    </row>
    <row r="43" customFormat="false" ht="19.5" hidden="false" customHeight="true" outlineLevel="0" collapsed="false">
      <c r="B43" s="25" t="s">
        <v>59</v>
      </c>
    </row>
    <row r="44" customFormat="false" ht="19.5" hidden="false" customHeight="true" outlineLevel="0" collapsed="false">
      <c r="B44" s="25" t="s">
        <v>60</v>
      </c>
    </row>
    <row r="45" customFormat="false" ht="19.5" hidden="false" customHeight="true" outlineLevel="0" collapsed="false">
      <c r="B45" s="25" t="s">
        <v>61</v>
      </c>
    </row>
    <row r="46" customFormat="false" ht="19.5" hidden="false" customHeight="true" outlineLevel="0" collapsed="false">
      <c r="B46" s="25" t="s">
        <v>62</v>
      </c>
    </row>
    <row r="47" customFormat="false" ht="19.5" hidden="false" customHeight="true" outlineLevel="0" collapsed="false">
      <c r="B47" s="25" t="s">
        <v>63</v>
      </c>
    </row>
  </sheetData>
  <conditionalFormatting sqref="D7:F7">
    <cfRule type="expression" priority="2" aboveAverage="0" equalAverage="0" bottom="0" percent="0" rank="0" text="" dxfId="0">
      <formula>D7=MIN($D$7:$F$7)</formula>
    </cfRule>
  </conditionalFormatting>
  <conditionalFormatting sqref="D8:F8">
    <cfRule type="expression" priority="3" aboveAverage="0" equalAverage="0" bottom="0" percent="0" rank="0" text="" dxfId="0">
      <formula>D8=MIN($D$8:$F$8)</formula>
    </cfRule>
  </conditionalFormatting>
  <conditionalFormatting sqref="D29:F29">
    <cfRule type="expression" priority="4" aboveAverage="0" equalAverage="0" bottom="0" percent="0" rank="0" text="" dxfId="0">
      <formula>D29=MIN($D$29:$F$29)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2026-10-15T01:40:07Z</dcterms:created>
  <dc:creator>openpyxl</dc:creator>
  <dc:description/>
  <dc:language>en-US</dc:language>
  <cp:lastModifiedBy/>
  <dcterms:modified xsi:type="dcterms:W3CDTF">2026-10-15T01:40:07Z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