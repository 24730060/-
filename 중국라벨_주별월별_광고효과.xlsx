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별 판매" sheetId="1" state="visible" r:id="rId3"/>
    <sheet name="월별 판매" sheetId="2" state="visible" r:id="rId4"/>
    <sheet name="광고 효과" sheetId="3" state="visible" r:id="rId5"/>
    <sheet name="판매 기록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<sst xmlns="http://schemas.openxmlformats.org/spreadsheetml/2006/main" count="250" uniqueCount="99">
  <si>
    <r>
      <rPr>
        <b val="true"/>
        <sz val="15"/>
        <color rgb="FF1F2A44"/>
        <rFont val="WenQuanYi Zen Hei"/>
        <family val="2"/>
      </rPr>
      <t xml:space="preserve">주별 판매 수량 </t>
    </r>
    <r>
      <rPr>
        <b val="true"/>
        <sz val="15"/>
        <color rgb="FF1F2A44"/>
        <rFont val="맑은 고딕"/>
        <family val="0"/>
        <charset val="1"/>
      </rPr>
      <t xml:space="preserve">· </t>
    </r>
    <r>
      <rPr>
        <b val="true"/>
        <sz val="15"/>
        <color rgb="FF1F2A44"/>
        <rFont val="WenQuanYi Zen Hei"/>
        <family val="2"/>
      </rPr>
      <t xml:space="preserve">건수</t>
    </r>
  </si>
  <si>
    <r>
      <rPr>
        <sz val="9"/>
        <color rgb="FF5A6270"/>
        <rFont val="WenQuanYi Zen Hei"/>
        <family val="2"/>
      </rPr>
      <t xml:space="preserve">건수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판매 기록 줄 수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수량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노란 줄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광고 기간 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광고 시작 </t>
    </r>
    <r>
      <rPr>
        <sz val="9"/>
        <color rgb="FF5A6270"/>
        <rFont val="맑은 고딕"/>
        <family val="0"/>
        <charset val="1"/>
      </rPr>
      <t xml:space="preserve">2026-09-28, </t>
    </r>
    <r>
      <rPr>
        <sz val="9"/>
        <color rgb="FF5A6270"/>
        <rFont val="WenQuanYi Zen Hei"/>
        <family val="2"/>
      </rPr>
      <t xml:space="preserve">판매처 전문몰</t>
    </r>
    <r>
      <rPr>
        <sz val="9"/>
        <color rgb="FF5A6270"/>
        <rFont val="맑은 고딕"/>
        <family val="0"/>
        <charset val="1"/>
      </rPr>
      <t xml:space="preserve">)</t>
    </r>
  </si>
  <si>
    <t xml:space="preserve">시작일</t>
  </si>
  <si>
    <t xml:space="preserve">종료일</t>
  </si>
  <si>
    <t xml:space="preserve">기간</t>
  </si>
  <si>
    <t xml:space="preserve">광고</t>
  </si>
  <si>
    <t xml:space="preserve">건수</t>
  </si>
  <si>
    <r>
      <rPr>
        <b val="true"/>
        <sz val="10"/>
        <color rgb="FFFFFFFF"/>
        <rFont val="WenQuanYi Zen Hei"/>
        <family val="2"/>
      </rPr>
      <t xml:space="preserve">수량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</si>
  <si>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쿠팡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</si>
  <si>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지마켓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</si>
  <si>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번가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</si>
  <si>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전문몰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</si>
  <si>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코스모스몰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</si>
  <si>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아트지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</si>
  <si>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유포지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</si>
  <si>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감열지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</si>
  <si>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전문몰
건수</t>
  </si>
  <si>
    <t xml:space="preserve">그 외
건수</t>
  </si>
  <si>
    <t xml:space="preserve">합계</t>
  </si>
  <si>
    <r>
      <rPr>
        <b val="true"/>
        <sz val="15"/>
        <color rgb="FF1F2A44"/>
        <rFont val="WenQuanYi Zen Hei"/>
        <family val="2"/>
      </rPr>
      <t xml:space="preserve">월별 판매 수량 </t>
    </r>
    <r>
      <rPr>
        <b val="true"/>
        <sz val="15"/>
        <color rgb="FF1F2A44"/>
        <rFont val="맑은 고딕"/>
        <family val="0"/>
        <charset val="1"/>
      </rPr>
      <t xml:space="preserve">· </t>
    </r>
    <r>
      <rPr>
        <b val="true"/>
        <sz val="15"/>
        <color rgb="FF1F2A44"/>
        <rFont val="WenQuanYi Zen Hei"/>
        <family val="2"/>
      </rPr>
      <t xml:space="preserve">건수</t>
    </r>
  </si>
  <si>
    <t xml:space="preserve">쇼핑검색 광고 효과</t>
  </si>
  <si>
    <r>
      <rPr>
        <sz val="9"/>
        <color rgb="FF5A6270"/>
        <rFont val="WenQuanYi Zen Hei"/>
        <family val="2"/>
      </rPr>
      <t xml:space="preserve">광고 판매처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광고 전 </t>
    </r>
    <r>
      <rPr>
        <sz val="9"/>
        <color rgb="FF5A6270"/>
        <rFont val="맑은 고딕"/>
        <family val="0"/>
        <charset val="1"/>
      </rPr>
      <t xml:space="preserve">8</t>
    </r>
    <r>
      <rPr>
        <sz val="9"/>
        <color rgb="FF5A6270"/>
        <rFont val="WenQuanYi Zen Hei"/>
        <family val="2"/>
      </rPr>
      <t xml:space="preserve">주와 광고 후를 주평균으로 비교 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주평균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건수 </t>
    </r>
    <r>
      <rPr>
        <sz val="9"/>
        <color rgb="FF5A6270"/>
        <rFont val="맑은 고딕"/>
        <family val="0"/>
        <charset val="1"/>
      </rPr>
      <t xml:space="preserve">÷ </t>
    </r>
    <r>
      <rPr>
        <sz val="9"/>
        <color rgb="FF5A6270"/>
        <rFont val="WenQuanYi Zen Hei"/>
        <family val="2"/>
      </rPr>
      <t xml:space="preserve">일수 </t>
    </r>
    <r>
      <rPr>
        <sz val="9"/>
        <color rgb="FF5A6270"/>
        <rFont val="맑은 고딕"/>
        <family val="0"/>
        <charset val="1"/>
      </rPr>
      <t xml:space="preserve">× 7)</t>
    </r>
  </si>
  <si>
    <t xml:space="preserve">구분</t>
  </si>
  <si>
    <t xml:space="preserve">시작</t>
  </si>
  <si>
    <t xml:space="preserve">끝</t>
  </si>
  <si>
    <t xml:space="preserve">일수</t>
  </si>
  <si>
    <t xml:space="preserve">광고 후</t>
  </si>
  <si>
    <r>
      <rPr>
        <sz val="9"/>
        <color rgb="FF5A6270"/>
        <rFont val="WenQuanYi Zen Hei"/>
        <family val="2"/>
      </rPr>
      <t xml:space="preserve">← 노란 칸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광고 시작일</t>
    </r>
    <r>
      <rPr>
        <sz val="9"/>
        <color rgb="FF5A6270"/>
        <rFont val="맑은 고딕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오늘</t>
    </r>
    <r>
      <rPr>
        <sz val="9"/>
        <color rgb="FF5A6270"/>
        <rFont val="맑은 고딕"/>
        <family val="0"/>
        <charset val="1"/>
      </rPr>
      <t xml:space="preserve">)</t>
    </r>
    <r>
      <rPr>
        <sz val="9"/>
        <color rgb="FF5A6270"/>
        <rFont val="WenQuanYi Zen Hei"/>
        <family val="2"/>
      </rPr>
      <t xml:space="preserve">을 바꾸면 전체가 다시 계산됩니다</t>
    </r>
  </si>
  <si>
    <t xml:space="preserve">광고 전</t>
  </si>
  <si>
    <t xml:space="preserve">광고 전
건수</t>
  </si>
  <si>
    <t xml:space="preserve">광고 전
롤</t>
  </si>
  <si>
    <t xml:space="preserve">광고 후
건수</t>
  </si>
  <si>
    <t xml:space="preserve">광고 후
롤</t>
  </si>
  <si>
    <t xml:space="preserve">광고 전
주평균 건수</t>
  </si>
  <si>
    <t xml:space="preserve">광고 후
주평균 건수</t>
  </si>
  <si>
    <t xml:space="preserve">변화</t>
  </si>
  <si>
    <t xml:space="preserve">광고 전
주평균 롤</t>
  </si>
  <si>
    <t xml:space="preserve">광고 후
주평균 롤</t>
  </si>
  <si>
    <r>
      <rPr>
        <b val="true"/>
        <sz val="10"/>
        <rFont val="WenQuanYi Zen Hei"/>
        <family val="2"/>
      </rPr>
      <t xml:space="preserve">전문몰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광고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</si>
  <si>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그 외 판매처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비교용</t>
    </r>
    <r>
      <rPr>
        <b val="true"/>
        <sz val="10"/>
        <rFont val="맑은 고딕"/>
        <family val="0"/>
        <charset val="1"/>
      </rPr>
      <t xml:space="preserve">)</t>
    </r>
  </si>
  <si>
    <t xml:space="preserve">전체</t>
  </si>
  <si>
    <t xml:space="preserve">판단</t>
  </si>
  <si>
    <r>
      <rPr>
        <b val="true"/>
        <sz val="11"/>
        <color rgb="FF1F2A44"/>
        <rFont val="WenQuanYi Zen Hei"/>
        <family val="2"/>
      </rPr>
      <t xml:space="preserve">광고 상품별 판매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전문몰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</si>
  <si>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광고 키워드</t>
  </si>
  <si>
    <t xml:space="preserve">재질</t>
  </si>
  <si>
    <t xml:space="preserve">규격</t>
  </si>
  <si>
    <t xml:space="preserve">광고 전
전문몰 건수</t>
  </si>
  <si>
    <t xml:space="preserve">광고 전
전문몰 롤</t>
  </si>
  <si>
    <t xml:space="preserve">광고 후
전문몰 건수</t>
  </si>
  <si>
    <t xml:space="preserve">광고 후
전문몰 롤</t>
  </si>
  <si>
    <t xml:space="preserve">광고 후
전체 판매처 건수</t>
  </si>
  <si>
    <t xml:space="preserve">광고 후
전체 판매처 롤</t>
  </si>
  <si>
    <r>
      <rPr>
        <b val="true"/>
        <sz val="10"/>
        <color rgb="FFFFFFFF"/>
        <rFont val="WenQuanYi Zen Hei"/>
        <family val="2"/>
      </rPr>
      <t xml:space="preserve">실재고
</t>
    </r>
    <r>
      <rPr>
        <b val="true"/>
        <sz val="10"/>
        <color rgb="FFFFFFFF"/>
        <rFont val="맑은 고딕"/>
        <family val="0"/>
        <charset val="1"/>
      </rPr>
      <t xml:space="preserve">(10/7)</t>
    </r>
  </si>
  <si>
    <t xml:space="preserve">메인 최고 순위</t>
  </si>
  <si>
    <t xml:space="preserve">권장 입찰가</t>
  </si>
  <si>
    <t xml:space="preserve">유포라벨</t>
  </si>
  <si>
    <t xml:space="preserve">유포지</t>
  </si>
  <si>
    <t xml:space="preserve">30*15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</si>
  <si>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위 </t>
    </r>
    <r>
      <rPr>
        <sz val="10"/>
        <color rgb="FF0000FF"/>
        <rFont val="맑은 고딕"/>
        <family val="0"/>
        <charset val="1"/>
      </rPr>
      <t xml:space="preserve">(3,500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맑은 고딕"/>
        <family val="0"/>
        <charset val="1"/>
      </rPr>
      <t xml:space="preserve">, 10/6 </t>
    </r>
    <r>
      <rPr>
        <sz val="10"/>
        <color rgb="FF0000FF"/>
        <rFont val="WenQuanYi Zen Hei"/>
        <family val="2"/>
      </rPr>
      <t xml:space="preserve">오전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</si>
  <si>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3,500</t>
    </r>
    <r>
      <rPr>
        <sz val="10"/>
        <color rgb="FF0000FF"/>
        <rFont val="WenQuanYi Zen Hei"/>
        <family val="2"/>
      </rPr>
      <t xml:space="preserve">원</t>
    </r>
  </si>
  <si>
    <t xml:space="preserve">감열라벨</t>
  </si>
  <si>
    <t xml:space="preserve">감열지</t>
  </si>
  <si>
    <t xml:space="preserve">100*100</t>
  </si>
  <si>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위 </t>
    </r>
    <r>
      <rPr>
        <sz val="10"/>
        <color rgb="FF0000FF"/>
        <rFont val="맑은 고딕"/>
        <family val="0"/>
        <charset val="1"/>
      </rPr>
      <t xml:space="preserve">(1</t>
    </r>
    <r>
      <rPr>
        <sz val="10"/>
        <color rgb="FF0000FF"/>
        <rFont val="WenQuanYi Zen Hei"/>
        <family val="2"/>
      </rPr>
      <t xml:space="preserve">위는 매번 디엘에스피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</si>
  <si>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2,500~2,800</t>
    </r>
    <r>
      <rPr>
        <sz val="10"/>
        <color rgb="FF0000FF"/>
        <rFont val="WenQuanYi Zen Hei"/>
        <family val="2"/>
      </rPr>
      <t xml:space="preserve">원</t>
    </r>
  </si>
  <si>
    <t xml:space="preserve">아트라벨</t>
  </si>
  <si>
    <t xml:space="preserve">아트지</t>
  </si>
  <si>
    <t xml:space="preserve">60*40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</si>
  <si>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위 </t>
    </r>
    <r>
      <rPr>
        <sz val="10"/>
        <color rgb="FF0000FF"/>
        <rFont val="맑은 고딕"/>
        <family val="0"/>
        <charset val="1"/>
      </rPr>
      <t xml:space="preserve">(2,300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맑은 고딕"/>
        <family val="0"/>
        <charset val="1"/>
      </rPr>
      <t xml:space="preserve">, 10/6 </t>
    </r>
    <r>
      <rPr>
        <sz val="10"/>
        <color rgb="FF0000FF"/>
        <rFont val="WenQuanYi Zen Hei"/>
        <family val="2"/>
      </rPr>
      <t xml:space="preserve">오전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</si>
  <si>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2,300~2,800</t>
    </r>
    <r>
      <rPr>
        <sz val="10"/>
        <color rgb="FF0000FF"/>
        <rFont val="WenQuanYi Zen Hei"/>
        <family val="2"/>
      </rPr>
      <t xml:space="preserve">원</t>
    </r>
  </si>
  <si>
    <r>
      <rPr>
        <sz val="9"/>
        <color rgb="FF5A6270"/>
        <rFont val="WenQuanYi Zen Hei"/>
        <family val="2"/>
      </rPr>
      <t xml:space="preserve">메인 순위</t>
    </r>
    <r>
      <rPr>
        <sz val="9"/>
        <color rgb="FF5A6270"/>
        <rFont val="맑은 고딕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권장 입찰가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네이버쇼핑 입찰조사</t>
    </r>
    <r>
      <rPr>
        <sz val="9"/>
        <color rgb="FF5A6270"/>
        <rFont val="맑은 고딕"/>
        <family val="0"/>
        <charset val="1"/>
      </rPr>
      <t xml:space="preserve">(9/28~10/6) </t>
    </r>
    <r>
      <rPr>
        <sz val="9"/>
        <color rgb="FF5A6270"/>
        <rFont val="WenQuanYi Zen Hei"/>
        <family val="2"/>
      </rPr>
      <t xml:space="preserve">기준</t>
    </r>
    <r>
      <rPr>
        <sz val="9"/>
        <color rgb="FF5A6270"/>
        <rFont val="맑은 고딕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권장 입찰가는 조사 결과를 보고 정한 값입니다</t>
    </r>
    <r>
      <rPr>
        <sz val="9"/>
        <color rgb="FF5A6270"/>
        <rFont val="맑은 고딕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실재고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재고 프로그램 </t>
    </r>
    <r>
      <rPr>
        <sz val="9"/>
        <color rgb="FF5A6270"/>
        <rFont val="맑은 고딕"/>
        <family val="0"/>
        <charset val="1"/>
      </rPr>
      <t xml:space="preserve">10/7.</t>
    </r>
  </si>
  <si>
    <t xml:space="preserve">중국라벨 판매 기록</t>
  </si>
  <si>
    <r>
      <rPr>
        <sz val="9"/>
        <color rgb="FF5A6270"/>
        <rFont val="WenQuanYi Zen Hei"/>
        <family val="2"/>
      </rPr>
      <t xml:space="preserve">출처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라벨 마스터 ‘판매현황’ 시트 </t>
    </r>
    <r>
      <rPr>
        <sz val="9"/>
        <color rgb="FF5A6270"/>
        <rFont val="맑은 고딕"/>
        <family val="0"/>
        <charset val="1"/>
      </rPr>
      <t xml:space="preserve">(80*40</t>
    </r>
    <r>
      <rPr>
        <sz val="9"/>
        <color rgb="FF5A6270"/>
        <rFont val="WenQuanYi Zen Hei"/>
        <family val="2"/>
      </rPr>
      <t xml:space="preserve">은 중국라벨이 아니라 제외</t>
    </r>
    <r>
      <rPr>
        <sz val="9"/>
        <color rgb="FF5A6270"/>
        <rFont val="맑은 고딕"/>
        <family val="0"/>
        <charset val="1"/>
      </rPr>
      <t xml:space="preserve">). </t>
    </r>
    <r>
      <rPr>
        <sz val="9"/>
        <color rgb="FF5A6270"/>
        <rFont val="WenQuanYi Zen Hei"/>
        <family val="2"/>
      </rPr>
      <t xml:space="preserve">새 판매는 맨 아래에 이어서 적으면 다른 시트에 반영됩니다</t>
    </r>
    <r>
      <rPr>
        <sz val="9"/>
        <color rgb="FF5A6270"/>
        <rFont val="맑은 고딕"/>
        <family val="0"/>
        <charset val="1"/>
      </rPr>
      <t xml:space="preserve">.</t>
    </r>
  </si>
  <si>
    <t xml:space="preserve">판매일자</t>
  </si>
  <si>
    <t xml:space="preserve">판매처</t>
  </si>
  <si>
    <t xml:space="preserve">비고</t>
  </si>
  <si>
    <t xml:space="preserve">50*30</t>
  </si>
  <si>
    <t xml:space="preserve">전문몰</t>
  </si>
  <si>
    <r>
      <rPr>
        <sz val="10"/>
        <color rgb="FF0000FF"/>
        <rFont val="WenQuanYi Zen Hei"/>
        <family val="2"/>
      </rPr>
      <t xml:space="preserve">품절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광고안함</t>
    </r>
  </si>
  <si>
    <t xml:space="preserve">50*50</t>
  </si>
  <si>
    <t xml:space="preserve">지마켓</t>
  </si>
  <si>
    <t xml:space="preserve">왁스레진 함께 출고</t>
  </si>
  <si>
    <t xml:space="preserve">100*70</t>
  </si>
  <si>
    <r>
      <rPr>
        <sz val="10"/>
        <color rgb="FF0000FF"/>
        <rFont val="WenQuanYi Zen Hei"/>
        <family val="2"/>
      </rPr>
      <t xml:space="preserve">오픈몰</t>
    </r>
    <r>
      <rPr>
        <sz val="10"/>
        <color rgb="FF0000FF"/>
        <rFont val="맑은 고딕"/>
        <family val="0"/>
        <charset val="1"/>
      </rPr>
      <t xml:space="preserve">x</t>
    </r>
    <r>
      <rPr>
        <sz val="10"/>
        <color rgb="FF0000FF"/>
        <rFont val="WenQuanYi Zen Hei"/>
        <family val="2"/>
      </rPr>
      <t xml:space="preserve">재고 없어서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퀵</t>
    </r>
  </si>
  <si>
    <t xml:space="preserve">레진과 함께 출고</t>
  </si>
  <si>
    <t xml:space="preserve">100*150</t>
  </si>
  <si>
    <t xml:space="preserve">70*50</t>
  </si>
  <si>
    <t xml:space="preserve">쿠팡</t>
  </si>
  <si>
    <t xml:space="preserve">100*90</t>
  </si>
  <si>
    <t xml:space="preserve">100*35</t>
  </si>
  <si>
    <t xml:space="preserve">100*60</t>
  </si>
  <si>
    <r>
      <rPr>
        <sz val="10"/>
        <color rgb="FF0000FF"/>
        <rFont val="WenQuanYi Zen Hei"/>
        <family val="2"/>
      </rPr>
      <t xml:space="preserve">전문몰 총 </t>
    </r>
    <r>
      <rPr>
        <sz val="10"/>
        <color rgb="FF0000FF"/>
        <rFont val="맑은 고딕"/>
        <family val="0"/>
        <charset val="1"/>
      </rPr>
      <t xml:space="preserve">99</t>
    </r>
    <r>
      <rPr>
        <sz val="10"/>
        <color rgb="FF0000FF"/>
        <rFont val="WenQuanYi Zen Hei"/>
        <family val="2"/>
      </rPr>
      <t xml:space="preserve">롤</t>
    </r>
  </si>
  <si>
    <t xml:space="preserve">100*80</t>
  </si>
  <si>
    <r>
      <rPr>
        <sz val="10"/>
        <color rgb="FF0000FF"/>
        <rFont val="WenQuanYi Zen Hei"/>
        <family val="2"/>
      </rPr>
      <t xml:space="preserve">지마켓 총 </t>
    </r>
    <r>
      <rPr>
        <sz val="10"/>
        <color rgb="FF0000FF"/>
        <rFont val="맑은 고딕"/>
        <family val="0"/>
        <charset val="1"/>
      </rPr>
      <t xml:space="preserve">63</t>
    </r>
    <r>
      <rPr>
        <sz val="10"/>
        <color rgb="FF0000FF"/>
        <rFont val="WenQuanYi Zen Hei"/>
        <family val="2"/>
      </rPr>
      <t xml:space="preserve">롤</t>
    </r>
  </si>
  <si>
    <t xml:space="preserve">80*70</t>
  </si>
  <si>
    <r>
      <rPr>
        <sz val="10"/>
        <color rgb="FF0000FF"/>
        <rFont val="WenQuanYi Zen Hei"/>
        <family val="2"/>
      </rPr>
      <t xml:space="preserve">쿠팡 총 </t>
    </r>
    <r>
      <rPr>
        <sz val="10"/>
        <color rgb="FF0000FF"/>
        <rFont val="맑은 고딕"/>
        <family val="0"/>
        <charset val="1"/>
      </rPr>
      <t xml:space="preserve">14</t>
    </r>
    <r>
      <rPr>
        <sz val="10"/>
        <color rgb="FF0000FF"/>
        <rFont val="WenQuanYi Zen Hei"/>
        <family val="2"/>
      </rPr>
      <t xml:space="preserve">롤</t>
    </r>
  </si>
  <si>
    <t xml:space="preserve">40*20</t>
  </si>
  <si>
    <t xml:space="preserve">80*60</t>
  </si>
  <si>
    <t xml:space="preserve">코스모스몰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</si>
</sst>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"/>
    <numFmt numFmtId="166" formatCode="#,##0;\-#,##0;\-"/>
    <numFmt numFmtId="167" formatCode="yyyy\-mm\-dd"/>
    <numFmt numFmtId="168" formatCode="0\일"/>
    <numFmt numFmtId="169" formatCode="0.0"/>
    <numFmt numFmtId="170" formatCode="\+0%;\-0%;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WenQuanYi Zen Hei"/>
      <family val="2"/>
    </font>
    <font>
      <b val="true"/>
      <sz val="15"/>
      <color rgb="FF1F2A44"/>
      <name val="맑은 고딕"/>
      <family val="0"/>
      <charset val="1"/>
    </font>
    <font>
      <sz val="9"/>
      <color rgb="FF5A6270"/>
      <name val="WenQuanYi Zen Hei"/>
      <family val="2"/>
    </font>
    <font>
      <sz val="9"/>
      <color rgb="FF5A6270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B26A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맑은 고딕"/>
      <family val="0"/>
      <charset val="1"/>
    </font>
    <font>
      <b val="true"/>
      <sz val="11"/>
      <color rgb="FF1F2A44"/>
      <name val="WenQuanYi Zen Hei"/>
      <family val="2"/>
    </font>
    <font>
      <sz val="10.5"/>
      <name val="WenQuanYi Zen Hei"/>
      <family val="2"/>
    </font>
    <font>
      <b val="true"/>
      <sz val="11"/>
      <color rgb="FF1F2A44"/>
      <name val="맑은 고딕"/>
      <family val="0"/>
      <charset val="1"/>
    </font>
    <font>
      <sz val="10"/>
      <name val="WenQuanYi Zen Hei"/>
      <family val="2"/>
    </font>
    <font>
      <sz val="10"/>
      <color rgb="FF0000FF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BF1DC"/>
      </patternFill>
    </fill>
    <fill>
      <patternFill patternType="solid">
        <fgColor rgb="FFFFF4C2"/>
        <bgColor rgb="FFFBF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BF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D9D9D9"/>
      <rgbColor rgb="FF878787"/>
      <rgbColor rgb="FF9999FF"/>
      <rgbColor rgb="FF993366"/>
      <rgbColor rgb="FFFFF4C2"/>
      <rgbColor rgb="FFF2F3F5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1DC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A6270"/>
      <rgbColor rgb="FFA3AAB6"/>
      <rgbColor rgb="FF003366"/>
      <rgbColor rgb="FF339966"/>
      <rgbColor rgb="FF003300"/>
      <rgbColor rgb="FF333300"/>
      <rgbColor rgb="FF993300"/>
      <rgbColor rgb="FF993366"/>
      <rgbColor rgb="FF4A3AA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주별 판매 건수 (노란 줄부터 광고)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'주별 판매'!E4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'주별 판매'!$C$5:$C$24</c:f>
              <c:strCache>
                <c:ptCount val="20"/>
                <c:pt idx="0">
                  <c:v>5/25 – 5/31</c:v>
                </c:pt>
                <c:pt idx="1">
                  <c:v>6/1 – 6/7</c:v>
                </c:pt>
                <c:pt idx="2">
                  <c:v>6/8 – 6/14</c:v>
                </c:pt>
                <c:pt idx="3">
                  <c:v>6/15 – 6/21</c:v>
                </c:pt>
                <c:pt idx="4">
                  <c:v>6/22 – 6/28</c:v>
                </c:pt>
                <c:pt idx="5">
                  <c:v>6/29 – 7/5</c:v>
                </c:pt>
                <c:pt idx="6">
                  <c:v>7/6 – 7/12</c:v>
                </c:pt>
                <c:pt idx="7">
                  <c:v>7/13 – 7/19</c:v>
                </c:pt>
                <c:pt idx="8">
                  <c:v>7/20 – 7/26</c:v>
                </c:pt>
                <c:pt idx="9">
                  <c:v>7/27 – 8/2</c:v>
                </c:pt>
                <c:pt idx="10">
                  <c:v>8/3 – 8/9</c:v>
                </c:pt>
                <c:pt idx="11">
                  <c:v>8/10 – 8/16</c:v>
                </c:pt>
                <c:pt idx="12">
                  <c:v>8/17 – 8/23</c:v>
                </c:pt>
                <c:pt idx="13">
                  <c:v>8/24 – 8/30</c:v>
                </c:pt>
                <c:pt idx="14">
                  <c:v>8/31 – 9/6</c:v>
                </c:pt>
                <c:pt idx="15">
                  <c:v>9/7 – 9/13</c:v>
                </c:pt>
                <c:pt idx="16">
                  <c:v>9/14 – 9/20</c:v>
                </c:pt>
                <c:pt idx="17">
                  <c:v>9/21 – 9/27</c:v>
                </c:pt>
                <c:pt idx="18">
                  <c:v>9/28 – 10/4</c:v>
                </c:pt>
                <c:pt idx="19">
                  <c:v>10/5 – 10/11</c:v>
                </c:pt>
              </c:strCache>
            </c:strRef>
          </c:cat>
          <c:val>
            <c:numRef>
              <c:f>'주별 판매'!$E$5:$E$24</c:f>
              <c:numCache>
                <c:formatCode>#,##0;\-#,##0;\-</c:formatCode>
                <c:ptCount val="2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4</c:v>
                </c:pt>
              </c:numCache>
            </c:numRef>
          </c:val>
        </c:ser>
        <c:gapWidth val="150"/>
        <c:overlap val="0"/>
        <c:axId val="44268466"/>
        <c:axId val="86827620"/>
      </c:barChart>
      <c:catAx>
        <c:axId val="44268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27620"/>
        <c:crosses val="autoZero"/>
        <c:auto val="1"/>
        <c:lblAlgn val="ctr"/>
        <c:lblOffset val="100"/>
        <c:noMultiLvlLbl val="0"/>
      </c:catAx>
      <c:valAx>
        <c:axId val="86827620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8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주별 판매 수량(롤) (노란 줄부터 광고)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'주별 판매'!F4</c:f>
              <c:strCache>
                <c:ptCount val="1"/>
                <c:pt idx="0">
                  <c:v>수량(롤)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'주별 판매'!$C$5:$C$24</c:f>
              <c:strCache>
                <c:ptCount val="20"/>
                <c:pt idx="0">
                  <c:v>5/25 – 5/31</c:v>
                </c:pt>
                <c:pt idx="1">
                  <c:v>6/1 – 6/7</c:v>
                </c:pt>
                <c:pt idx="2">
                  <c:v>6/8 – 6/14</c:v>
                </c:pt>
                <c:pt idx="3">
                  <c:v>6/15 – 6/21</c:v>
                </c:pt>
                <c:pt idx="4">
                  <c:v>6/22 – 6/28</c:v>
                </c:pt>
                <c:pt idx="5">
                  <c:v>6/29 – 7/5</c:v>
                </c:pt>
                <c:pt idx="6">
                  <c:v>7/6 – 7/12</c:v>
                </c:pt>
                <c:pt idx="7">
                  <c:v>7/13 – 7/19</c:v>
                </c:pt>
                <c:pt idx="8">
                  <c:v>7/20 – 7/26</c:v>
                </c:pt>
                <c:pt idx="9">
                  <c:v>7/27 – 8/2</c:v>
                </c:pt>
                <c:pt idx="10">
                  <c:v>8/3 – 8/9</c:v>
                </c:pt>
                <c:pt idx="11">
                  <c:v>8/10 – 8/16</c:v>
                </c:pt>
                <c:pt idx="12">
                  <c:v>8/17 – 8/23</c:v>
                </c:pt>
                <c:pt idx="13">
                  <c:v>8/24 – 8/30</c:v>
                </c:pt>
                <c:pt idx="14">
                  <c:v>8/31 – 9/6</c:v>
                </c:pt>
                <c:pt idx="15">
                  <c:v>9/7 – 9/13</c:v>
                </c:pt>
                <c:pt idx="16">
                  <c:v>9/14 – 9/20</c:v>
                </c:pt>
                <c:pt idx="17">
                  <c:v>9/21 – 9/27</c:v>
                </c:pt>
                <c:pt idx="18">
                  <c:v>9/28 – 10/4</c:v>
                </c:pt>
                <c:pt idx="19">
                  <c:v>10/5 – 10/11</c:v>
                </c:pt>
              </c:strCache>
            </c:strRef>
          </c:cat>
          <c:val>
            <c:numRef>
              <c:f>'주별 판매'!$F$5:$F$24</c:f>
              <c:numCache>
                <c:formatCode>#,##0;\-#,##0;\-</c:formatCode>
                <c:ptCount val="20"/>
                <c:pt idx="0">
                  <c:v>70</c:v>
                </c:pt>
                <c:pt idx="1">
                  <c:v>0</c:v>
                </c:pt>
                <c:pt idx="2">
                  <c:v>7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7</c:v>
                </c:pt>
                <c:pt idx="12">
                  <c:v>28</c:v>
                </c:pt>
                <c:pt idx="13">
                  <c:v>29</c:v>
                </c:pt>
                <c:pt idx="14">
                  <c:v>9</c:v>
                </c:pt>
                <c:pt idx="15">
                  <c:v>7</c:v>
                </c:pt>
                <c:pt idx="16">
                  <c:v>1</c:v>
                </c:pt>
                <c:pt idx="17">
                  <c:v>5</c:v>
                </c:pt>
                <c:pt idx="18">
                  <c:v>21</c:v>
                </c:pt>
                <c:pt idx="19">
                  <c:v>18</c:v>
                </c:pt>
              </c:numCache>
            </c:numRef>
          </c:val>
        </c:ser>
        <c:gapWidth val="150"/>
        <c:overlap val="0"/>
        <c:axId val="88651888"/>
        <c:axId val="57800810"/>
      </c:barChart>
      <c:catAx>
        <c:axId val="886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00810"/>
        <c:crosses val="autoZero"/>
        <c:auto val="1"/>
        <c:lblAlgn val="ctr"/>
        <c:lblOffset val="100"/>
        <c:noMultiLvlLbl val="0"/>
      </c:catAx>
      <c:valAx>
        <c:axId val="57800810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518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판매 건수 (노란 줄부터 광고)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'월별 판매'!E4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'월별 판매'!$C$5:$C$10</c:f>
              <c:strCache>
                <c:ptCount val="6"/>
                <c:pt idx="0">
                  <c:v>5월</c:v>
                </c:pt>
                <c:pt idx="1">
                  <c:v>6월</c:v>
                </c:pt>
                <c:pt idx="2">
                  <c:v>7월</c:v>
                </c:pt>
                <c:pt idx="3">
                  <c:v>8월</c:v>
                </c:pt>
                <c:pt idx="4">
                  <c:v>9월</c:v>
                </c:pt>
                <c:pt idx="5">
                  <c:v>10월</c:v>
                </c:pt>
              </c:strCache>
            </c:strRef>
          </c:cat>
          <c:val>
            <c:numRef>
              <c:f>'월별 판매'!$E$5:$E$10</c:f>
              <c:numCache>
                <c:formatCode>#,##0;\-#,##0;\-</c:formatCode>
                <c:ptCount val="6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16</c:v>
                </c:pt>
                <c:pt idx="4">
                  <c:v>16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39108108"/>
        <c:axId val="73020103"/>
      </c:barChart>
      <c:catAx>
        <c:axId val="39108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20103"/>
        <c:crosses val="autoZero"/>
        <c:auto val="1"/>
        <c:lblAlgn val="ctr"/>
        <c:lblOffset val="100"/>
        <c:noMultiLvlLbl val="0"/>
      </c:catAx>
      <c:valAx>
        <c:axId val="73020103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08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판매 수량(롤) (노란 줄부터 광고)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'월별 판매'!F4</c:f>
              <c:strCache>
                <c:ptCount val="1"/>
                <c:pt idx="0">
                  <c:v>수량(롤)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'월별 판매'!$C$5:$C$10</c:f>
              <c:strCache>
                <c:ptCount val="6"/>
                <c:pt idx="0">
                  <c:v>5월</c:v>
                </c:pt>
                <c:pt idx="1">
                  <c:v>6월</c:v>
                </c:pt>
                <c:pt idx="2">
                  <c:v>7월</c:v>
                </c:pt>
                <c:pt idx="3">
                  <c:v>8월</c:v>
                </c:pt>
                <c:pt idx="4">
                  <c:v>9월</c:v>
                </c:pt>
                <c:pt idx="5">
                  <c:v>10월</c:v>
                </c:pt>
              </c:strCache>
            </c:strRef>
          </c:cat>
          <c:val>
            <c:numRef>
              <c:f>'월별 판매'!$F$5:$F$10</c:f>
              <c:numCache>
                <c:formatCode>#,##0;\-#,##0;\-</c:formatCode>
                <c:ptCount val="6"/>
                <c:pt idx="0">
                  <c:v>70</c:v>
                </c:pt>
                <c:pt idx="1">
                  <c:v>27</c:v>
                </c:pt>
                <c:pt idx="2">
                  <c:v>2</c:v>
                </c:pt>
                <c:pt idx="3">
                  <c:v>68</c:v>
                </c:pt>
                <c:pt idx="4">
                  <c:v>30</c:v>
                </c:pt>
                <c:pt idx="5">
                  <c:v>31</c:v>
                </c:pt>
              </c:numCache>
            </c:numRef>
          </c:val>
        </c:ser>
        <c:gapWidth val="150"/>
        <c:overlap val="0"/>
        <c:axId val="26851805"/>
        <c:axId val="3420264"/>
      </c:barChart>
      <c:catAx>
        <c:axId val="26851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0264"/>
        <c:crosses val="autoZero"/>
        <c:auto val="1"/>
        <c:lblAlgn val="ctr"/>
        <c:lblOffset val="100"/>
        <c:noMultiLvlLbl val="0"/>
      </c:catAx>
      <c:valAx>
        <c:axId val="3420264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1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주별 판매 건수 · 전문몰 vs 그 외 (9/28 주부터 광고)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'주별 판매'!O4</c:f>
              <c:strCache>
                <c:ptCount val="1"/>
                <c:pt idx="0">
                  <c:v>전문몰
건수</c:v>
                </c:pt>
              </c:strCache>
            </c:strRef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'주별 판매'!$C$5:$C$24</c:f>
              <c:strCache>
                <c:ptCount val="20"/>
                <c:pt idx="0">
                  <c:v>5/25 – 5/31</c:v>
                </c:pt>
                <c:pt idx="1">
                  <c:v>6/1 – 6/7</c:v>
                </c:pt>
                <c:pt idx="2">
                  <c:v>6/8 – 6/14</c:v>
                </c:pt>
                <c:pt idx="3">
                  <c:v>6/15 – 6/21</c:v>
                </c:pt>
                <c:pt idx="4">
                  <c:v>6/22 – 6/28</c:v>
                </c:pt>
                <c:pt idx="5">
                  <c:v>6/29 – 7/5</c:v>
                </c:pt>
                <c:pt idx="6">
                  <c:v>7/6 – 7/12</c:v>
                </c:pt>
                <c:pt idx="7">
                  <c:v>7/13 – 7/19</c:v>
                </c:pt>
                <c:pt idx="8">
                  <c:v>7/20 – 7/26</c:v>
                </c:pt>
                <c:pt idx="9">
                  <c:v>7/27 – 8/2</c:v>
                </c:pt>
                <c:pt idx="10">
                  <c:v>8/3 – 8/9</c:v>
                </c:pt>
                <c:pt idx="11">
                  <c:v>8/10 – 8/16</c:v>
                </c:pt>
                <c:pt idx="12">
                  <c:v>8/17 – 8/23</c:v>
                </c:pt>
                <c:pt idx="13">
                  <c:v>8/24 – 8/30</c:v>
                </c:pt>
                <c:pt idx="14">
                  <c:v>8/31 – 9/6</c:v>
                </c:pt>
                <c:pt idx="15">
                  <c:v>9/7 – 9/13</c:v>
                </c:pt>
                <c:pt idx="16">
                  <c:v>9/14 – 9/20</c:v>
                </c:pt>
                <c:pt idx="17">
                  <c:v>9/21 – 9/27</c:v>
                </c:pt>
                <c:pt idx="18">
                  <c:v>9/28 – 10/4</c:v>
                </c:pt>
                <c:pt idx="19">
                  <c:v>10/5 – 10/11</c:v>
                </c:pt>
              </c:strCache>
            </c:strRef>
          </c:cat>
          <c:val>
            <c:numRef>
              <c:f>'주별 판매'!$O$5:$O$24</c:f>
              <c:numCache>
                <c:formatCode>#,##0;\-#,##0;\-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'주별 판매'!P4</c:f>
              <c:strCache>
                <c:ptCount val="1"/>
                <c:pt idx="0">
                  <c:v>그 외
건수</c:v>
                </c:pt>
              </c:strCache>
            </c:strRef>
          </c:tx>
          <c:spPr>
            <a:solidFill>
              <a:srgbClr val="a3aa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'주별 판매'!$C$5:$C$24</c:f>
              <c:strCache>
                <c:ptCount val="20"/>
                <c:pt idx="0">
                  <c:v>5/25 – 5/31</c:v>
                </c:pt>
                <c:pt idx="1">
                  <c:v>6/1 – 6/7</c:v>
                </c:pt>
                <c:pt idx="2">
                  <c:v>6/8 – 6/14</c:v>
                </c:pt>
                <c:pt idx="3">
                  <c:v>6/15 – 6/21</c:v>
                </c:pt>
                <c:pt idx="4">
                  <c:v>6/22 – 6/28</c:v>
                </c:pt>
                <c:pt idx="5">
                  <c:v>6/29 – 7/5</c:v>
                </c:pt>
                <c:pt idx="6">
                  <c:v>7/6 – 7/12</c:v>
                </c:pt>
                <c:pt idx="7">
                  <c:v>7/13 – 7/19</c:v>
                </c:pt>
                <c:pt idx="8">
                  <c:v>7/20 – 7/26</c:v>
                </c:pt>
                <c:pt idx="9">
                  <c:v>7/27 – 8/2</c:v>
                </c:pt>
                <c:pt idx="10">
                  <c:v>8/3 – 8/9</c:v>
                </c:pt>
                <c:pt idx="11">
                  <c:v>8/10 – 8/16</c:v>
                </c:pt>
                <c:pt idx="12">
                  <c:v>8/17 – 8/23</c:v>
                </c:pt>
                <c:pt idx="13">
                  <c:v>8/24 – 8/30</c:v>
                </c:pt>
                <c:pt idx="14">
                  <c:v>8/31 – 9/6</c:v>
                </c:pt>
                <c:pt idx="15">
                  <c:v>9/7 – 9/13</c:v>
                </c:pt>
                <c:pt idx="16">
                  <c:v>9/14 – 9/20</c:v>
                </c:pt>
                <c:pt idx="17">
                  <c:v>9/21 – 9/27</c:v>
                </c:pt>
                <c:pt idx="18">
                  <c:v>9/28 – 10/4</c:v>
                </c:pt>
                <c:pt idx="19">
                  <c:v>10/5 – 10/11</c:v>
                </c:pt>
              </c:strCache>
            </c:strRef>
          </c:cat>
          <c:val>
            <c:numRef>
              <c:f>'주별 판매'!$P$5:$P$24</c:f>
              <c:numCache>
                <c:formatCode>#,##0;\-#,##0;\-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</c:numCache>
            </c:numRef>
          </c:val>
        </c:ser>
        <c:gapWidth val="150"/>
        <c:overlap val="0"/>
        <c:axId val="2711343"/>
        <c:axId val="58226019"/>
      </c:barChart>
      <c:catAx>
        <c:axId val="27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26019"/>
        <c:crosses val="autoZero"/>
        <c:auto val="1"/>
        <c:lblAlgn val="ctr"/>
        <c:lblOffset val="100"/>
        <c:noMultiLvlLbl val="0"/>
      </c:catAx>
      <c:valAx>
        <c:axId val="58226019"/>
        <c:scaling>
          <c:orientation val="minMax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1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126000</xdr:rowOff>
    </xdr:from>
    <xdr:to>
      <xdr:col>27</xdr:col>
      <xdr:colOff>364680</xdr:colOff>
      <xdr:row>16</xdr:row>
      <xdr:rowOff>147960</xdr:rowOff>
    </xdr:to>
    <xdr:graphicFrame>
      <xdr:nvGraphicFramePr>
        <xdr:cNvPr id="0" name="Chart 1"/>
        <xdr:cNvGraphicFramePr/>
      </xdr:nvGraphicFramePr>
      <xdr:xfrm>
        <a:off x="102679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20</xdr:row>
      <xdr:rowOff>126000</xdr:rowOff>
    </xdr:from>
    <xdr:to>
      <xdr:col>27</xdr:col>
      <xdr:colOff>364680</xdr:colOff>
      <xdr:row>35</xdr:row>
      <xdr:rowOff>147960</xdr:rowOff>
    </xdr:to>
    <xdr:graphicFrame>
      <xdr:nvGraphicFramePr>
        <xdr:cNvPr id="1" name="Chart 2"/>
        <xdr:cNvGraphicFramePr/>
      </xdr:nvGraphicFramePr>
      <xdr:xfrm>
        <a:off x="10267920" y="419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126000</xdr:rowOff>
    </xdr:from>
    <xdr:to>
      <xdr:col>27</xdr:col>
      <xdr:colOff>364680</xdr:colOff>
      <xdr:row>16</xdr:row>
      <xdr:rowOff>147960</xdr:rowOff>
    </xdr:to>
    <xdr:graphicFrame>
      <xdr:nvGraphicFramePr>
        <xdr:cNvPr id="2" name="Chart 1"/>
        <xdr:cNvGraphicFramePr/>
      </xdr:nvGraphicFramePr>
      <xdr:xfrm>
        <a:off x="102679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20</xdr:row>
      <xdr:rowOff>126000</xdr:rowOff>
    </xdr:from>
    <xdr:to>
      <xdr:col>27</xdr:col>
      <xdr:colOff>364680</xdr:colOff>
      <xdr:row>35</xdr:row>
      <xdr:rowOff>147960</xdr:rowOff>
    </xdr:to>
    <xdr:graphicFrame>
      <xdr:nvGraphicFramePr>
        <xdr:cNvPr id="3" name="Chart 2"/>
        <xdr:cNvGraphicFramePr/>
      </xdr:nvGraphicFramePr>
      <xdr:xfrm>
        <a:off x="10267920" y="419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145440</xdr:rowOff>
    </xdr:from>
    <xdr:to>
      <xdr:col>11</xdr:col>
      <xdr:colOff>126000</xdr:colOff>
      <xdr:row>38</xdr:row>
      <xdr:rowOff>167400</xdr:rowOff>
    </xdr:to>
    <xdr:graphicFrame>
      <xdr:nvGraphicFramePr>
        <xdr:cNvPr id="4" name="Chart 1"/>
        <xdr:cNvGraphicFramePr/>
      </xdr:nvGraphicFramePr>
      <xdr:xfrm>
        <a:off x="0" y="501012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10" min="7" style="0" width="8"/>
    <col collapsed="false" customWidth="true" hidden="false" outlineLevel="0" max="11" min="11" style="0" width="10"/>
    <col collapsed="false" customWidth="true" hidden="false" outlineLevel="0" max="16" min="12" style="0" width="8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5" t="n">
        <v>46167</v>
      </c>
      <c r="B5" s="5" t="n">
        <v>46173</v>
      </c>
      <c r="C5" s="6" t="str">
        <f aca="false">TEXT(A5,"m/d")&amp;" – "&amp;TEXT(B5,"m/d")</f>
        <v>5/25 – 5/31</v>
      </c>
      <c r="D5" s="7" t="str">
        <f aca="false">IF(AND('광고 효과'!$C$5&gt;=A5,'광고 효과'!$C$5&lt;=B5),"광고 시작",IF(A5&gt;'광고 효과'!$C$5,"광고 중",""))</f>
        <v/>
      </c>
      <c r="E5" s="8" t="n">
        <f aca="false">COUNTIFS('판매 기록'!$A$5:$A$500,"&gt;="&amp;$A5,'판매 기록'!$A$5:$A$500,"&lt;="&amp;$B5)</f>
        <v>2</v>
      </c>
      <c r="F5" s="8" t="n">
        <f aca="false">SUMIFS('판매 기록'!$E$5:$E$500,'판매 기록'!$A$5:$A$500,"&gt;="&amp;$A5,'판매 기록'!$A$5:$A$500,"&lt;="&amp;$B5)</f>
        <v>70</v>
      </c>
      <c r="G5" s="9" t="n">
        <f aca="false">SUMIFS('판매 기록'!$E$5:$E$500,'판매 기록'!$A$5:$A$500,"&gt;="&amp;$A5,'판매 기록'!$A$5:$A$500,"&lt;="&amp;$B5,'판매 기록'!$D$5:$D$500,"쿠팡")</f>
        <v>0</v>
      </c>
      <c r="H5" s="9" t="n">
        <f aca="false">SUMIFS('판매 기록'!$E$5:$E$500,'판매 기록'!$A$5:$A$500,"&gt;="&amp;$A5,'판매 기록'!$A$5:$A$500,"&lt;="&amp;$B5,'판매 기록'!$D$5:$D$500,"지마켓")</f>
        <v>20</v>
      </c>
      <c r="I5" s="9" t="n">
        <f aca="false">SUMIFS('판매 기록'!$E$5:$E$500,'판매 기록'!$A$5:$A$500,"&gt;="&amp;$A5,'판매 기록'!$A$5:$A$500,"&lt;="&amp;$B5,'판매 기록'!$D$5:$D$500,"11번가")</f>
        <v>0</v>
      </c>
      <c r="J5" s="9" t="n">
        <f aca="false">SUMIFS('판매 기록'!$E$5:$E$500,'판매 기록'!$A$5:$A$500,"&gt;="&amp;$A5,'판매 기록'!$A$5:$A$500,"&lt;="&amp;$B5,'판매 기록'!$D$5:$D$500,"전문몰")</f>
        <v>50</v>
      </c>
      <c r="K5" s="9" t="n">
        <f aca="false">SUMIFS('판매 기록'!$E$5:$E$500,'판매 기록'!$A$5:$A$500,"&gt;="&amp;$A5,'판매 기록'!$A$5:$A$500,"&lt;="&amp;$B5,'판매 기록'!$D$5:$D$500,"코스모스몰")</f>
        <v>0</v>
      </c>
      <c r="L5" s="9" t="n">
        <f aca="false">SUMIFS('판매 기록'!$E$5:$E$500,'판매 기록'!$A$5:$A$500,"&gt;="&amp;$A5,'판매 기록'!$A$5:$A$500,"&lt;="&amp;$B5,'판매 기록'!$B$5:$B$500,"아트지")</f>
        <v>20</v>
      </c>
      <c r="M5" s="9" t="n">
        <f aca="false">SUMIFS('판매 기록'!$E$5:$E$500,'판매 기록'!$A$5:$A$500,"&gt;="&amp;$A5,'판매 기록'!$A$5:$A$500,"&lt;="&amp;$B5,'판매 기록'!$B$5:$B$500,"유포지")</f>
        <v>50</v>
      </c>
      <c r="N5" s="9" t="n">
        <f aca="false">SUMIFS('판매 기록'!$E$5:$E$500,'판매 기록'!$A$5:$A$500,"&gt;="&amp;$A5,'판매 기록'!$A$5:$A$500,"&lt;="&amp;$B5,'판매 기록'!$B$5:$B$500,"감열지")</f>
        <v>0</v>
      </c>
      <c r="O5" s="9" t="n">
        <f aca="false">COUNTIFS('판매 기록'!$A$5:$A$500,"&gt;="&amp;$A5,'판매 기록'!$A$5:$A$500,"&lt;="&amp;$B5,'판매 기록'!$D$5:$D$500,"전문몰")</f>
        <v>1</v>
      </c>
      <c r="P5" s="9" t="n">
        <f aca="false">E5-O5</f>
        <v>1</v>
      </c>
    </row>
    <row r="6" customFormat="false" ht="15" hidden="false" customHeight="false" outlineLevel="0" collapsed="false">
      <c r="A6" s="5" t="n">
        <v>46174</v>
      </c>
      <c r="B6" s="5" t="n">
        <v>46180</v>
      </c>
      <c r="C6" s="6" t="str">
        <f aca="false">TEXT(A6,"m/d")&amp;" – "&amp;TEXT(B6,"m/d")</f>
        <v>6/1 – 6/7</v>
      </c>
      <c r="D6" s="7" t="str">
        <f aca="false">IF(AND('광고 효과'!$C$5&gt;=A6,'광고 효과'!$C$5&lt;=B6),"광고 시작",IF(A6&gt;'광고 효과'!$C$5,"광고 중",""))</f>
        <v/>
      </c>
      <c r="E6" s="8" t="n">
        <f aca="false">COUNTIFS('판매 기록'!$A$5:$A$500,"&gt;="&amp;$A6,'판매 기록'!$A$5:$A$500,"&lt;="&amp;$B6)</f>
        <v>0</v>
      </c>
      <c r="F6" s="8" t="n">
        <f aca="false">SUMIFS('판매 기록'!$E$5:$E$500,'판매 기록'!$A$5:$A$500,"&gt;="&amp;$A6,'판매 기록'!$A$5:$A$500,"&lt;="&amp;$B6)</f>
        <v>0</v>
      </c>
      <c r="G6" s="9" t="n">
        <f aca="false">SUMIFS('판매 기록'!$E$5:$E$500,'판매 기록'!$A$5:$A$500,"&gt;="&amp;$A6,'판매 기록'!$A$5:$A$500,"&lt;="&amp;$B6,'판매 기록'!$D$5:$D$500,"쿠팡")</f>
        <v>0</v>
      </c>
      <c r="H6" s="9" t="n">
        <f aca="false">SUMIFS('판매 기록'!$E$5:$E$500,'판매 기록'!$A$5:$A$500,"&gt;="&amp;$A6,'판매 기록'!$A$5:$A$500,"&lt;="&amp;$B6,'판매 기록'!$D$5:$D$500,"지마켓")</f>
        <v>0</v>
      </c>
      <c r="I6" s="9" t="n">
        <f aca="false">SUMIFS('판매 기록'!$E$5:$E$500,'판매 기록'!$A$5:$A$500,"&gt;="&amp;$A6,'판매 기록'!$A$5:$A$500,"&lt;="&amp;$B6,'판매 기록'!$D$5:$D$500,"11번가")</f>
        <v>0</v>
      </c>
      <c r="J6" s="9" t="n">
        <f aca="false">SUMIFS('판매 기록'!$E$5:$E$500,'판매 기록'!$A$5:$A$500,"&gt;="&amp;$A6,'판매 기록'!$A$5:$A$500,"&lt;="&amp;$B6,'판매 기록'!$D$5:$D$500,"전문몰")</f>
        <v>0</v>
      </c>
      <c r="K6" s="9" t="n">
        <f aca="false">SUMIFS('판매 기록'!$E$5:$E$500,'판매 기록'!$A$5:$A$500,"&gt;="&amp;$A6,'판매 기록'!$A$5:$A$500,"&lt;="&amp;$B6,'판매 기록'!$D$5:$D$500,"코스모스몰")</f>
        <v>0</v>
      </c>
      <c r="L6" s="9" t="n">
        <f aca="false">SUMIFS('판매 기록'!$E$5:$E$500,'판매 기록'!$A$5:$A$500,"&gt;="&amp;$A6,'판매 기록'!$A$5:$A$500,"&lt;="&amp;$B6,'판매 기록'!$B$5:$B$500,"아트지")</f>
        <v>0</v>
      </c>
      <c r="M6" s="9" t="n">
        <f aca="false">SUMIFS('판매 기록'!$E$5:$E$500,'판매 기록'!$A$5:$A$500,"&gt;="&amp;$A6,'판매 기록'!$A$5:$A$500,"&lt;="&amp;$B6,'판매 기록'!$B$5:$B$500,"유포지")</f>
        <v>0</v>
      </c>
      <c r="N6" s="9" t="n">
        <f aca="false">SUMIFS('판매 기록'!$E$5:$E$500,'판매 기록'!$A$5:$A$500,"&gt;="&amp;$A6,'판매 기록'!$A$5:$A$500,"&lt;="&amp;$B6,'판매 기록'!$B$5:$B$500,"감열지")</f>
        <v>0</v>
      </c>
      <c r="O6" s="9" t="n">
        <f aca="false">COUNTIFS('판매 기록'!$A$5:$A$500,"&gt;="&amp;$A6,'판매 기록'!$A$5:$A$500,"&lt;="&amp;$B6,'판매 기록'!$D$5:$D$500,"전문몰")</f>
        <v>0</v>
      </c>
      <c r="P6" s="9" t="n">
        <f aca="false">E6-O6</f>
        <v>0</v>
      </c>
    </row>
    <row r="7" customFormat="false" ht="15" hidden="false" customHeight="false" outlineLevel="0" collapsed="false">
      <c r="A7" s="5" t="n">
        <v>46181</v>
      </c>
      <c r="B7" s="5" t="n">
        <v>46187</v>
      </c>
      <c r="C7" s="6" t="str">
        <f aca="false">TEXT(A7,"m/d")&amp;" – "&amp;TEXT(B7,"m/d")</f>
        <v>6/8 – 6/14</v>
      </c>
      <c r="D7" s="7" t="str">
        <f aca="false">IF(AND('광고 효과'!$C$5&gt;=A7,'광고 효과'!$C$5&lt;=B7),"광고 시작",IF(A7&gt;'광고 효과'!$C$5,"광고 중",""))</f>
        <v/>
      </c>
      <c r="E7" s="8" t="n">
        <f aca="false">COUNTIFS('판매 기록'!$A$5:$A$500,"&gt;="&amp;$A7,'판매 기록'!$A$5:$A$500,"&lt;="&amp;$B7)</f>
        <v>3</v>
      </c>
      <c r="F7" s="8" t="n">
        <f aca="false">SUMIFS('판매 기록'!$E$5:$E$500,'판매 기록'!$A$5:$A$500,"&gt;="&amp;$A7,'판매 기록'!$A$5:$A$500,"&lt;="&amp;$B7)</f>
        <v>7</v>
      </c>
      <c r="G7" s="9" t="n">
        <f aca="false">SUMIFS('판매 기록'!$E$5:$E$500,'판매 기록'!$A$5:$A$500,"&gt;="&amp;$A7,'판매 기록'!$A$5:$A$500,"&lt;="&amp;$B7,'판매 기록'!$D$5:$D$500,"쿠팡")</f>
        <v>0</v>
      </c>
      <c r="H7" s="9" t="n">
        <f aca="false">SUMIFS('판매 기록'!$E$5:$E$500,'판매 기록'!$A$5:$A$500,"&gt;="&amp;$A7,'판매 기록'!$A$5:$A$500,"&lt;="&amp;$B7,'판매 기록'!$D$5:$D$500,"지마켓")</f>
        <v>0</v>
      </c>
      <c r="I7" s="9" t="n">
        <f aca="false">SUMIFS('판매 기록'!$E$5:$E$500,'판매 기록'!$A$5:$A$500,"&gt;="&amp;$A7,'판매 기록'!$A$5:$A$500,"&lt;="&amp;$B7,'판매 기록'!$D$5:$D$500,"11번가")</f>
        <v>0</v>
      </c>
      <c r="J7" s="9" t="n">
        <f aca="false">SUMIFS('판매 기록'!$E$5:$E$500,'판매 기록'!$A$5:$A$500,"&gt;="&amp;$A7,'판매 기록'!$A$5:$A$500,"&lt;="&amp;$B7,'판매 기록'!$D$5:$D$500,"전문몰")</f>
        <v>7</v>
      </c>
      <c r="K7" s="9" t="n">
        <f aca="false">SUMIFS('판매 기록'!$E$5:$E$500,'판매 기록'!$A$5:$A$500,"&gt;="&amp;$A7,'판매 기록'!$A$5:$A$500,"&lt;="&amp;$B7,'판매 기록'!$D$5:$D$500,"코스모스몰")</f>
        <v>0</v>
      </c>
      <c r="L7" s="9" t="n">
        <f aca="false">SUMIFS('판매 기록'!$E$5:$E$500,'판매 기록'!$A$5:$A$500,"&gt;="&amp;$A7,'판매 기록'!$A$5:$A$500,"&lt;="&amp;$B7,'판매 기록'!$B$5:$B$500,"아트지")</f>
        <v>0</v>
      </c>
      <c r="M7" s="9" t="n">
        <f aca="false">SUMIFS('판매 기록'!$E$5:$E$500,'판매 기록'!$A$5:$A$500,"&gt;="&amp;$A7,'판매 기록'!$A$5:$A$500,"&lt;="&amp;$B7,'판매 기록'!$B$5:$B$500,"유포지")</f>
        <v>7</v>
      </c>
      <c r="N7" s="9" t="n">
        <f aca="false">SUMIFS('판매 기록'!$E$5:$E$500,'판매 기록'!$A$5:$A$500,"&gt;="&amp;$A7,'판매 기록'!$A$5:$A$500,"&lt;="&amp;$B7,'판매 기록'!$B$5:$B$500,"감열지")</f>
        <v>0</v>
      </c>
      <c r="O7" s="9" t="n">
        <f aca="false">COUNTIFS('판매 기록'!$A$5:$A$500,"&gt;="&amp;$A7,'판매 기록'!$A$5:$A$500,"&lt;="&amp;$B7,'판매 기록'!$D$5:$D$500,"전문몰")</f>
        <v>3</v>
      </c>
      <c r="P7" s="9" t="n">
        <f aca="false">E7-O7</f>
        <v>0</v>
      </c>
    </row>
    <row r="8" customFormat="false" ht="15" hidden="false" customHeight="false" outlineLevel="0" collapsed="false">
      <c r="A8" s="5" t="n">
        <v>46188</v>
      </c>
      <c r="B8" s="5" t="n">
        <v>46194</v>
      </c>
      <c r="C8" s="6" t="str">
        <f aca="false">TEXT(A8,"m/d")&amp;" – "&amp;TEXT(B8,"m/d")</f>
        <v>6/15 – 6/21</v>
      </c>
      <c r="D8" s="7" t="str">
        <f aca="false">IF(AND('광고 효과'!$C$5&gt;=A8,'광고 효과'!$C$5&lt;=B8),"광고 시작",IF(A8&gt;'광고 효과'!$C$5,"광고 중",""))</f>
        <v/>
      </c>
      <c r="E8" s="8" t="n">
        <f aca="false">COUNTIFS('판매 기록'!$A$5:$A$500,"&gt;="&amp;$A8,'판매 기록'!$A$5:$A$500,"&lt;="&amp;$B8)</f>
        <v>1</v>
      </c>
      <c r="F8" s="8" t="n">
        <f aca="false">SUMIFS('판매 기록'!$E$5:$E$500,'판매 기록'!$A$5:$A$500,"&gt;="&amp;$A8,'판매 기록'!$A$5:$A$500,"&lt;="&amp;$B8)</f>
        <v>10</v>
      </c>
      <c r="G8" s="9" t="n">
        <f aca="false">SUMIFS('판매 기록'!$E$5:$E$500,'판매 기록'!$A$5:$A$500,"&gt;="&amp;$A8,'판매 기록'!$A$5:$A$500,"&lt;="&amp;$B8,'판매 기록'!$D$5:$D$500,"쿠팡")</f>
        <v>0</v>
      </c>
      <c r="H8" s="9" t="n">
        <f aca="false">SUMIFS('판매 기록'!$E$5:$E$500,'판매 기록'!$A$5:$A$500,"&gt;="&amp;$A8,'판매 기록'!$A$5:$A$500,"&lt;="&amp;$B8,'판매 기록'!$D$5:$D$500,"지마켓")</f>
        <v>0</v>
      </c>
      <c r="I8" s="9" t="n">
        <f aca="false">SUMIFS('판매 기록'!$E$5:$E$500,'판매 기록'!$A$5:$A$500,"&gt;="&amp;$A8,'판매 기록'!$A$5:$A$500,"&lt;="&amp;$B8,'판매 기록'!$D$5:$D$500,"11번가")</f>
        <v>0</v>
      </c>
      <c r="J8" s="9" t="n">
        <f aca="false">SUMIFS('판매 기록'!$E$5:$E$500,'판매 기록'!$A$5:$A$500,"&gt;="&amp;$A8,'판매 기록'!$A$5:$A$500,"&lt;="&amp;$B8,'판매 기록'!$D$5:$D$500,"전문몰")</f>
        <v>10</v>
      </c>
      <c r="K8" s="9" t="n">
        <f aca="false">SUMIFS('판매 기록'!$E$5:$E$500,'판매 기록'!$A$5:$A$500,"&gt;="&amp;$A8,'판매 기록'!$A$5:$A$500,"&lt;="&amp;$B8,'판매 기록'!$D$5:$D$500,"코스모스몰")</f>
        <v>0</v>
      </c>
      <c r="L8" s="9" t="n">
        <f aca="false">SUMIFS('판매 기록'!$E$5:$E$500,'판매 기록'!$A$5:$A$500,"&gt;="&amp;$A8,'판매 기록'!$A$5:$A$500,"&lt;="&amp;$B8,'판매 기록'!$B$5:$B$500,"아트지")</f>
        <v>10</v>
      </c>
      <c r="M8" s="9" t="n">
        <f aca="false">SUMIFS('판매 기록'!$E$5:$E$500,'판매 기록'!$A$5:$A$500,"&gt;="&amp;$A8,'판매 기록'!$A$5:$A$500,"&lt;="&amp;$B8,'판매 기록'!$B$5:$B$500,"유포지")</f>
        <v>0</v>
      </c>
      <c r="N8" s="9" t="n">
        <f aca="false">SUMIFS('판매 기록'!$E$5:$E$500,'판매 기록'!$A$5:$A$500,"&gt;="&amp;$A8,'판매 기록'!$A$5:$A$500,"&lt;="&amp;$B8,'판매 기록'!$B$5:$B$500,"감열지")</f>
        <v>0</v>
      </c>
      <c r="O8" s="9" t="n">
        <f aca="false">COUNTIFS('판매 기록'!$A$5:$A$500,"&gt;="&amp;$A8,'판매 기록'!$A$5:$A$500,"&lt;="&amp;$B8,'판매 기록'!$D$5:$D$500,"전문몰")</f>
        <v>1</v>
      </c>
      <c r="P8" s="9" t="n">
        <f aca="false">E8-O8</f>
        <v>0</v>
      </c>
    </row>
    <row r="9" customFormat="false" ht="15" hidden="false" customHeight="false" outlineLevel="0" collapsed="false">
      <c r="A9" s="5" t="n">
        <v>46195</v>
      </c>
      <c r="B9" s="5" t="n">
        <v>46201</v>
      </c>
      <c r="C9" s="6" t="str">
        <f aca="false">TEXT(A9,"m/d")&amp;" – "&amp;TEXT(B9,"m/d")</f>
        <v>6/22 – 6/28</v>
      </c>
      <c r="D9" s="7" t="str">
        <f aca="false">IF(AND('광고 효과'!$C$5&gt;=A9,'광고 효과'!$C$5&lt;=B9),"광고 시작",IF(A9&gt;'광고 효과'!$C$5,"광고 중",""))</f>
        <v/>
      </c>
      <c r="E9" s="8" t="n">
        <f aca="false">COUNTIFS('판매 기록'!$A$5:$A$500,"&gt;="&amp;$A9,'판매 기록'!$A$5:$A$500,"&lt;="&amp;$B9)</f>
        <v>1</v>
      </c>
      <c r="F9" s="8" t="n">
        <f aca="false">SUMIFS('판매 기록'!$E$5:$E$500,'판매 기록'!$A$5:$A$500,"&gt;="&amp;$A9,'판매 기록'!$A$5:$A$500,"&lt;="&amp;$B9)</f>
        <v>5</v>
      </c>
      <c r="G9" s="9" t="n">
        <f aca="false">SUMIFS('판매 기록'!$E$5:$E$500,'판매 기록'!$A$5:$A$500,"&gt;="&amp;$A9,'판매 기록'!$A$5:$A$500,"&lt;="&amp;$B9,'판매 기록'!$D$5:$D$500,"쿠팡")</f>
        <v>0</v>
      </c>
      <c r="H9" s="9" t="n">
        <f aca="false">SUMIFS('판매 기록'!$E$5:$E$500,'판매 기록'!$A$5:$A$500,"&gt;="&amp;$A9,'판매 기록'!$A$5:$A$500,"&lt;="&amp;$B9,'판매 기록'!$D$5:$D$500,"지마켓")</f>
        <v>0</v>
      </c>
      <c r="I9" s="9" t="n">
        <f aca="false">SUMIFS('판매 기록'!$E$5:$E$500,'판매 기록'!$A$5:$A$500,"&gt;="&amp;$A9,'판매 기록'!$A$5:$A$500,"&lt;="&amp;$B9,'판매 기록'!$D$5:$D$500,"11번가")</f>
        <v>0</v>
      </c>
      <c r="J9" s="9" t="n">
        <f aca="false">SUMIFS('판매 기록'!$E$5:$E$500,'판매 기록'!$A$5:$A$500,"&gt;="&amp;$A9,'판매 기록'!$A$5:$A$500,"&lt;="&amp;$B9,'판매 기록'!$D$5:$D$500,"전문몰")</f>
        <v>5</v>
      </c>
      <c r="K9" s="9" t="n">
        <f aca="false">SUMIFS('판매 기록'!$E$5:$E$500,'판매 기록'!$A$5:$A$500,"&gt;="&amp;$A9,'판매 기록'!$A$5:$A$500,"&lt;="&amp;$B9,'판매 기록'!$D$5:$D$500,"코스모스몰")</f>
        <v>0</v>
      </c>
      <c r="L9" s="9" t="n">
        <f aca="false">SUMIFS('판매 기록'!$E$5:$E$500,'판매 기록'!$A$5:$A$500,"&gt;="&amp;$A9,'판매 기록'!$A$5:$A$500,"&lt;="&amp;$B9,'판매 기록'!$B$5:$B$500,"아트지")</f>
        <v>0</v>
      </c>
      <c r="M9" s="9" t="n">
        <f aca="false">SUMIFS('판매 기록'!$E$5:$E$500,'판매 기록'!$A$5:$A$500,"&gt;="&amp;$A9,'판매 기록'!$A$5:$A$500,"&lt;="&amp;$B9,'판매 기록'!$B$5:$B$500,"유포지")</f>
        <v>5</v>
      </c>
      <c r="N9" s="9" t="n">
        <f aca="false">SUMIFS('판매 기록'!$E$5:$E$500,'판매 기록'!$A$5:$A$500,"&gt;="&amp;$A9,'판매 기록'!$A$5:$A$500,"&lt;="&amp;$B9,'판매 기록'!$B$5:$B$500,"감열지")</f>
        <v>0</v>
      </c>
      <c r="O9" s="9" t="n">
        <f aca="false">COUNTIFS('판매 기록'!$A$5:$A$500,"&gt;="&amp;$A9,'판매 기록'!$A$5:$A$500,"&lt;="&amp;$B9,'판매 기록'!$D$5:$D$500,"전문몰")</f>
        <v>1</v>
      </c>
      <c r="P9" s="9" t="n">
        <f aca="false">E9-O9</f>
        <v>0</v>
      </c>
    </row>
    <row r="10" customFormat="false" ht="15" hidden="false" customHeight="false" outlineLevel="0" collapsed="false">
      <c r="A10" s="5" t="n">
        <v>46202</v>
      </c>
      <c r="B10" s="5" t="n">
        <v>46208</v>
      </c>
      <c r="C10" s="6" t="str">
        <f aca="false">TEXT(A10,"m/d")&amp;" – "&amp;TEXT(B10,"m/d")</f>
        <v>6/29 – 7/5</v>
      </c>
      <c r="D10" s="7" t="str">
        <f aca="false">IF(AND('광고 효과'!$C$5&gt;=A10,'광고 효과'!$C$5&lt;=B10),"광고 시작",IF(A10&gt;'광고 효과'!$C$5,"광고 중",""))</f>
        <v/>
      </c>
      <c r="E10" s="8" t="n">
        <f aca="false">COUNTIFS('판매 기록'!$A$5:$A$500,"&gt;="&amp;$A10,'판매 기록'!$A$5:$A$500,"&lt;="&amp;$B10)</f>
        <v>1</v>
      </c>
      <c r="F10" s="8" t="n">
        <f aca="false">SUMIFS('판매 기록'!$E$5:$E$500,'판매 기록'!$A$5:$A$500,"&gt;="&amp;$A10,'판매 기록'!$A$5:$A$500,"&lt;="&amp;$B10)</f>
        <v>5</v>
      </c>
      <c r="G10" s="9" t="n">
        <f aca="false">SUMIFS('판매 기록'!$E$5:$E$500,'판매 기록'!$A$5:$A$500,"&gt;="&amp;$A10,'판매 기록'!$A$5:$A$500,"&lt;="&amp;$B10,'판매 기록'!$D$5:$D$500,"쿠팡")</f>
        <v>0</v>
      </c>
      <c r="H10" s="9" t="n">
        <f aca="false">SUMIFS('판매 기록'!$E$5:$E$500,'판매 기록'!$A$5:$A$500,"&gt;="&amp;$A10,'판매 기록'!$A$5:$A$500,"&lt;="&amp;$B10,'판매 기록'!$D$5:$D$500,"지마켓")</f>
        <v>0</v>
      </c>
      <c r="I10" s="9" t="n">
        <f aca="false">SUMIFS('판매 기록'!$E$5:$E$500,'판매 기록'!$A$5:$A$500,"&gt;="&amp;$A10,'판매 기록'!$A$5:$A$500,"&lt;="&amp;$B10,'판매 기록'!$D$5:$D$500,"11번가")</f>
        <v>0</v>
      </c>
      <c r="J10" s="9" t="n">
        <f aca="false">SUMIFS('판매 기록'!$E$5:$E$500,'판매 기록'!$A$5:$A$500,"&gt;="&amp;$A10,'판매 기록'!$A$5:$A$500,"&lt;="&amp;$B10,'판매 기록'!$D$5:$D$500,"전문몰")</f>
        <v>5</v>
      </c>
      <c r="K10" s="9" t="n">
        <f aca="false">SUMIFS('판매 기록'!$E$5:$E$500,'판매 기록'!$A$5:$A$500,"&gt;="&amp;$A10,'판매 기록'!$A$5:$A$500,"&lt;="&amp;$B10,'판매 기록'!$D$5:$D$500,"코스모스몰")</f>
        <v>0</v>
      </c>
      <c r="L10" s="9" t="n">
        <f aca="false">SUMIFS('판매 기록'!$E$5:$E$500,'판매 기록'!$A$5:$A$500,"&gt;="&amp;$A10,'판매 기록'!$A$5:$A$500,"&lt;="&amp;$B10,'판매 기록'!$B$5:$B$500,"아트지")</f>
        <v>0</v>
      </c>
      <c r="M10" s="9" t="n">
        <f aca="false">SUMIFS('판매 기록'!$E$5:$E$500,'판매 기록'!$A$5:$A$500,"&gt;="&amp;$A10,'판매 기록'!$A$5:$A$500,"&lt;="&amp;$B10,'판매 기록'!$B$5:$B$500,"유포지")</f>
        <v>5</v>
      </c>
      <c r="N10" s="9" t="n">
        <f aca="false">SUMIFS('판매 기록'!$E$5:$E$500,'판매 기록'!$A$5:$A$500,"&gt;="&amp;$A10,'판매 기록'!$A$5:$A$500,"&lt;="&amp;$B10,'판매 기록'!$B$5:$B$500,"감열지")</f>
        <v>0</v>
      </c>
      <c r="O10" s="9" t="n">
        <f aca="false">COUNTIFS('판매 기록'!$A$5:$A$500,"&gt;="&amp;$A10,'판매 기록'!$A$5:$A$500,"&lt;="&amp;$B10,'판매 기록'!$D$5:$D$500,"전문몰")</f>
        <v>1</v>
      </c>
      <c r="P10" s="9" t="n">
        <f aca="false">E10-O10</f>
        <v>0</v>
      </c>
    </row>
    <row r="11" customFormat="false" ht="15" hidden="false" customHeight="false" outlineLevel="0" collapsed="false">
      <c r="A11" s="5" t="n">
        <v>46209</v>
      </c>
      <c r="B11" s="5" t="n">
        <v>46215</v>
      </c>
      <c r="C11" s="6" t="str">
        <f aca="false">TEXT(A11,"m/d")&amp;" – "&amp;TEXT(B11,"m/d")</f>
        <v>7/6 – 7/12</v>
      </c>
      <c r="D11" s="7" t="str">
        <f aca="false">IF(AND('광고 효과'!$C$5&gt;=A11,'광고 효과'!$C$5&lt;=B11),"광고 시작",IF(A11&gt;'광고 효과'!$C$5,"광고 중",""))</f>
        <v/>
      </c>
      <c r="E11" s="8" t="n">
        <f aca="false">COUNTIFS('판매 기록'!$A$5:$A$500,"&gt;="&amp;$A11,'판매 기록'!$A$5:$A$500,"&lt;="&amp;$B11)</f>
        <v>1</v>
      </c>
      <c r="F11" s="8" t="n">
        <f aca="false">SUMIFS('판매 기록'!$E$5:$E$500,'판매 기록'!$A$5:$A$500,"&gt;="&amp;$A11,'판매 기록'!$A$5:$A$500,"&lt;="&amp;$B11)</f>
        <v>1</v>
      </c>
      <c r="G11" s="9" t="n">
        <f aca="false">SUMIFS('판매 기록'!$E$5:$E$500,'판매 기록'!$A$5:$A$500,"&gt;="&amp;$A11,'판매 기록'!$A$5:$A$500,"&lt;="&amp;$B11,'판매 기록'!$D$5:$D$500,"쿠팡")</f>
        <v>1</v>
      </c>
      <c r="H11" s="9" t="n">
        <f aca="false">SUMIFS('판매 기록'!$E$5:$E$500,'판매 기록'!$A$5:$A$500,"&gt;="&amp;$A11,'판매 기록'!$A$5:$A$500,"&lt;="&amp;$B11,'판매 기록'!$D$5:$D$500,"지마켓")</f>
        <v>0</v>
      </c>
      <c r="I11" s="9" t="n">
        <f aca="false">SUMIFS('판매 기록'!$E$5:$E$500,'판매 기록'!$A$5:$A$500,"&gt;="&amp;$A11,'판매 기록'!$A$5:$A$500,"&lt;="&amp;$B11,'판매 기록'!$D$5:$D$500,"11번가")</f>
        <v>0</v>
      </c>
      <c r="J11" s="9" t="n">
        <f aca="false">SUMIFS('판매 기록'!$E$5:$E$500,'판매 기록'!$A$5:$A$500,"&gt;="&amp;$A11,'판매 기록'!$A$5:$A$500,"&lt;="&amp;$B11,'판매 기록'!$D$5:$D$500,"전문몰")</f>
        <v>0</v>
      </c>
      <c r="K11" s="9" t="n">
        <f aca="false">SUMIFS('판매 기록'!$E$5:$E$500,'판매 기록'!$A$5:$A$500,"&gt;="&amp;$A11,'판매 기록'!$A$5:$A$500,"&lt;="&amp;$B11,'판매 기록'!$D$5:$D$500,"코스모스몰")</f>
        <v>0</v>
      </c>
      <c r="L11" s="9" t="n">
        <f aca="false">SUMIFS('판매 기록'!$E$5:$E$500,'판매 기록'!$A$5:$A$500,"&gt;="&amp;$A11,'판매 기록'!$A$5:$A$500,"&lt;="&amp;$B11,'판매 기록'!$B$5:$B$500,"아트지")</f>
        <v>0</v>
      </c>
      <c r="M11" s="9" t="n">
        <f aca="false">SUMIFS('판매 기록'!$E$5:$E$500,'판매 기록'!$A$5:$A$500,"&gt;="&amp;$A11,'판매 기록'!$A$5:$A$500,"&lt;="&amp;$B11,'판매 기록'!$B$5:$B$500,"유포지")</f>
        <v>1</v>
      </c>
      <c r="N11" s="9" t="n">
        <f aca="false">SUMIFS('판매 기록'!$E$5:$E$500,'판매 기록'!$A$5:$A$500,"&gt;="&amp;$A11,'판매 기록'!$A$5:$A$500,"&lt;="&amp;$B11,'판매 기록'!$B$5:$B$500,"감열지")</f>
        <v>0</v>
      </c>
      <c r="O11" s="9" t="n">
        <f aca="false">COUNTIFS('판매 기록'!$A$5:$A$500,"&gt;="&amp;$A11,'판매 기록'!$A$5:$A$500,"&lt;="&amp;$B11,'판매 기록'!$D$5:$D$500,"전문몰")</f>
        <v>0</v>
      </c>
      <c r="P11" s="9" t="n">
        <f aca="false">E11-O11</f>
        <v>1</v>
      </c>
    </row>
    <row r="12" customFormat="false" ht="15" hidden="false" customHeight="false" outlineLevel="0" collapsed="false">
      <c r="A12" s="5" t="n">
        <v>46216</v>
      </c>
      <c r="B12" s="5" t="n">
        <v>46222</v>
      </c>
      <c r="C12" s="6" t="str">
        <f aca="false">TEXT(A12,"m/d")&amp;" – "&amp;TEXT(B12,"m/d")</f>
        <v>7/13 – 7/19</v>
      </c>
      <c r="D12" s="7" t="str">
        <f aca="false">IF(AND('광고 효과'!$C$5&gt;=A12,'광고 효과'!$C$5&lt;=B12),"광고 시작",IF(A12&gt;'광고 효과'!$C$5,"광고 중",""))</f>
        <v/>
      </c>
      <c r="E12" s="8" t="n">
        <f aca="false">COUNTIFS('판매 기록'!$A$5:$A$500,"&gt;="&amp;$A12,'판매 기록'!$A$5:$A$500,"&lt;="&amp;$B12)</f>
        <v>0</v>
      </c>
      <c r="F12" s="8" t="n">
        <f aca="false">SUMIFS('판매 기록'!$E$5:$E$500,'판매 기록'!$A$5:$A$500,"&gt;="&amp;$A12,'판매 기록'!$A$5:$A$500,"&lt;="&amp;$B12)</f>
        <v>0</v>
      </c>
      <c r="G12" s="9" t="n">
        <f aca="false">SUMIFS('판매 기록'!$E$5:$E$500,'판매 기록'!$A$5:$A$500,"&gt;="&amp;$A12,'판매 기록'!$A$5:$A$500,"&lt;="&amp;$B12,'판매 기록'!$D$5:$D$500,"쿠팡")</f>
        <v>0</v>
      </c>
      <c r="H12" s="9" t="n">
        <f aca="false">SUMIFS('판매 기록'!$E$5:$E$500,'판매 기록'!$A$5:$A$500,"&gt;="&amp;$A12,'판매 기록'!$A$5:$A$500,"&lt;="&amp;$B12,'판매 기록'!$D$5:$D$500,"지마켓")</f>
        <v>0</v>
      </c>
      <c r="I12" s="9" t="n">
        <f aca="false">SUMIFS('판매 기록'!$E$5:$E$500,'판매 기록'!$A$5:$A$500,"&gt;="&amp;$A12,'판매 기록'!$A$5:$A$500,"&lt;="&amp;$B12,'판매 기록'!$D$5:$D$500,"11번가")</f>
        <v>0</v>
      </c>
      <c r="J12" s="9" t="n">
        <f aca="false">SUMIFS('판매 기록'!$E$5:$E$500,'판매 기록'!$A$5:$A$500,"&gt;="&amp;$A12,'판매 기록'!$A$5:$A$500,"&lt;="&amp;$B12,'판매 기록'!$D$5:$D$500,"전문몰")</f>
        <v>0</v>
      </c>
      <c r="K12" s="9" t="n">
        <f aca="false">SUMIFS('판매 기록'!$E$5:$E$500,'판매 기록'!$A$5:$A$500,"&gt;="&amp;$A12,'판매 기록'!$A$5:$A$500,"&lt;="&amp;$B12,'판매 기록'!$D$5:$D$500,"코스모스몰")</f>
        <v>0</v>
      </c>
      <c r="L12" s="9" t="n">
        <f aca="false">SUMIFS('판매 기록'!$E$5:$E$500,'판매 기록'!$A$5:$A$500,"&gt;="&amp;$A12,'판매 기록'!$A$5:$A$500,"&lt;="&amp;$B12,'판매 기록'!$B$5:$B$500,"아트지")</f>
        <v>0</v>
      </c>
      <c r="M12" s="9" t="n">
        <f aca="false">SUMIFS('판매 기록'!$E$5:$E$500,'판매 기록'!$A$5:$A$500,"&gt;="&amp;$A12,'판매 기록'!$A$5:$A$500,"&lt;="&amp;$B12,'판매 기록'!$B$5:$B$500,"유포지")</f>
        <v>0</v>
      </c>
      <c r="N12" s="9" t="n">
        <f aca="false">SUMIFS('판매 기록'!$E$5:$E$500,'판매 기록'!$A$5:$A$500,"&gt;="&amp;$A12,'판매 기록'!$A$5:$A$500,"&lt;="&amp;$B12,'판매 기록'!$B$5:$B$500,"감열지")</f>
        <v>0</v>
      </c>
      <c r="O12" s="9" t="n">
        <f aca="false">COUNTIFS('판매 기록'!$A$5:$A$500,"&gt;="&amp;$A12,'판매 기록'!$A$5:$A$500,"&lt;="&amp;$B12,'판매 기록'!$D$5:$D$500,"전문몰")</f>
        <v>0</v>
      </c>
      <c r="P12" s="9" t="n">
        <f aca="false">E12-O12</f>
        <v>0</v>
      </c>
    </row>
    <row r="13" customFormat="false" ht="15" hidden="false" customHeight="false" outlineLevel="0" collapsed="false">
      <c r="A13" s="5" t="n">
        <v>46223</v>
      </c>
      <c r="B13" s="5" t="n">
        <v>46229</v>
      </c>
      <c r="C13" s="6" t="str">
        <f aca="false">TEXT(A13,"m/d")&amp;" – "&amp;TEXT(B13,"m/d")</f>
        <v>7/20 – 7/26</v>
      </c>
      <c r="D13" s="7" t="str">
        <f aca="false">IF(AND('광고 효과'!$C$5&gt;=A13,'광고 효과'!$C$5&lt;=B13),"광고 시작",IF(A13&gt;'광고 효과'!$C$5,"광고 중",""))</f>
        <v/>
      </c>
      <c r="E13" s="8" t="n">
        <f aca="false">COUNTIFS('판매 기록'!$A$5:$A$500,"&gt;="&amp;$A13,'판매 기록'!$A$5:$A$500,"&lt;="&amp;$B13)</f>
        <v>0</v>
      </c>
      <c r="F13" s="8" t="n">
        <f aca="false">SUMIFS('판매 기록'!$E$5:$E$500,'판매 기록'!$A$5:$A$500,"&gt;="&amp;$A13,'판매 기록'!$A$5:$A$500,"&lt;="&amp;$B13)</f>
        <v>0</v>
      </c>
      <c r="G13" s="9" t="n">
        <f aca="false">SUMIFS('판매 기록'!$E$5:$E$500,'판매 기록'!$A$5:$A$500,"&gt;="&amp;$A13,'판매 기록'!$A$5:$A$500,"&lt;="&amp;$B13,'판매 기록'!$D$5:$D$500,"쿠팡")</f>
        <v>0</v>
      </c>
      <c r="H13" s="9" t="n">
        <f aca="false">SUMIFS('판매 기록'!$E$5:$E$500,'판매 기록'!$A$5:$A$500,"&gt;="&amp;$A13,'판매 기록'!$A$5:$A$500,"&lt;="&amp;$B13,'판매 기록'!$D$5:$D$500,"지마켓")</f>
        <v>0</v>
      </c>
      <c r="I13" s="9" t="n">
        <f aca="false">SUMIFS('판매 기록'!$E$5:$E$500,'판매 기록'!$A$5:$A$500,"&gt;="&amp;$A13,'판매 기록'!$A$5:$A$500,"&lt;="&amp;$B13,'판매 기록'!$D$5:$D$500,"11번가")</f>
        <v>0</v>
      </c>
      <c r="J13" s="9" t="n">
        <f aca="false">SUMIFS('판매 기록'!$E$5:$E$500,'판매 기록'!$A$5:$A$500,"&gt;="&amp;$A13,'판매 기록'!$A$5:$A$500,"&lt;="&amp;$B13,'판매 기록'!$D$5:$D$500,"전문몰")</f>
        <v>0</v>
      </c>
      <c r="K13" s="9" t="n">
        <f aca="false">SUMIFS('판매 기록'!$E$5:$E$500,'판매 기록'!$A$5:$A$500,"&gt;="&amp;$A13,'판매 기록'!$A$5:$A$500,"&lt;="&amp;$B13,'판매 기록'!$D$5:$D$500,"코스모스몰")</f>
        <v>0</v>
      </c>
      <c r="L13" s="9" t="n">
        <f aca="false">SUMIFS('판매 기록'!$E$5:$E$500,'판매 기록'!$A$5:$A$500,"&gt;="&amp;$A13,'판매 기록'!$A$5:$A$500,"&lt;="&amp;$B13,'판매 기록'!$B$5:$B$500,"아트지")</f>
        <v>0</v>
      </c>
      <c r="M13" s="9" t="n">
        <f aca="false">SUMIFS('판매 기록'!$E$5:$E$500,'판매 기록'!$A$5:$A$500,"&gt;="&amp;$A13,'판매 기록'!$A$5:$A$500,"&lt;="&amp;$B13,'판매 기록'!$B$5:$B$500,"유포지")</f>
        <v>0</v>
      </c>
      <c r="N13" s="9" t="n">
        <f aca="false">SUMIFS('판매 기록'!$E$5:$E$500,'판매 기록'!$A$5:$A$500,"&gt;="&amp;$A13,'판매 기록'!$A$5:$A$500,"&lt;="&amp;$B13,'판매 기록'!$B$5:$B$500,"감열지")</f>
        <v>0</v>
      </c>
      <c r="O13" s="9" t="n">
        <f aca="false">COUNTIFS('판매 기록'!$A$5:$A$500,"&gt;="&amp;$A13,'판매 기록'!$A$5:$A$500,"&lt;="&amp;$B13,'판매 기록'!$D$5:$D$500,"전문몰")</f>
        <v>0</v>
      </c>
      <c r="P13" s="9" t="n">
        <f aca="false">E13-O13</f>
        <v>0</v>
      </c>
    </row>
    <row r="14" customFormat="false" ht="15" hidden="false" customHeight="false" outlineLevel="0" collapsed="false">
      <c r="A14" s="5" t="n">
        <v>46230</v>
      </c>
      <c r="B14" s="5" t="n">
        <v>46236</v>
      </c>
      <c r="C14" s="6" t="str">
        <f aca="false">TEXT(A14,"m/d")&amp;" – "&amp;TEXT(B14,"m/d")</f>
        <v>7/27 – 8/2</v>
      </c>
      <c r="D14" s="7" t="str">
        <f aca="false">IF(AND('광고 효과'!$C$5&gt;=A14,'광고 효과'!$C$5&lt;=B14),"광고 시작",IF(A14&gt;'광고 효과'!$C$5,"광고 중",""))</f>
        <v/>
      </c>
      <c r="E14" s="8" t="n">
        <f aca="false">COUNTIFS('판매 기록'!$A$5:$A$500,"&gt;="&amp;$A14,'판매 기록'!$A$5:$A$500,"&lt;="&amp;$B14)</f>
        <v>1</v>
      </c>
      <c r="F14" s="8" t="n">
        <f aca="false">SUMIFS('판매 기록'!$E$5:$E$500,'판매 기록'!$A$5:$A$500,"&gt;="&amp;$A14,'판매 기록'!$A$5:$A$500,"&lt;="&amp;$B14)</f>
        <v>1</v>
      </c>
      <c r="G14" s="9" t="n">
        <f aca="false">SUMIFS('판매 기록'!$E$5:$E$500,'판매 기록'!$A$5:$A$500,"&gt;="&amp;$A14,'판매 기록'!$A$5:$A$500,"&lt;="&amp;$B14,'판매 기록'!$D$5:$D$500,"쿠팡")</f>
        <v>1</v>
      </c>
      <c r="H14" s="9" t="n">
        <f aca="false">SUMIFS('판매 기록'!$E$5:$E$500,'판매 기록'!$A$5:$A$500,"&gt;="&amp;$A14,'판매 기록'!$A$5:$A$500,"&lt;="&amp;$B14,'판매 기록'!$D$5:$D$500,"지마켓")</f>
        <v>0</v>
      </c>
      <c r="I14" s="9" t="n">
        <f aca="false">SUMIFS('판매 기록'!$E$5:$E$500,'판매 기록'!$A$5:$A$500,"&gt;="&amp;$A14,'판매 기록'!$A$5:$A$500,"&lt;="&amp;$B14,'판매 기록'!$D$5:$D$500,"11번가")</f>
        <v>0</v>
      </c>
      <c r="J14" s="9" t="n">
        <f aca="false">SUMIFS('판매 기록'!$E$5:$E$500,'판매 기록'!$A$5:$A$500,"&gt;="&amp;$A14,'판매 기록'!$A$5:$A$500,"&lt;="&amp;$B14,'판매 기록'!$D$5:$D$500,"전문몰")</f>
        <v>0</v>
      </c>
      <c r="K14" s="9" t="n">
        <f aca="false">SUMIFS('판매 기록'!$E$5:$E$500,'판매 기록'!$A$5:$A$500,"&gt;="&amp;$A14,'판매 기록'!$A$5:$A$500,"&lt;="&amp;$B14,'판매 기록'!$D$5:$D$500,"코스모스몰")</f>
        <v>0</v>
      </c>
      <c r="L14" s="9" t="n">
        <f aca="false">SUMIFS('판매 기록'!$E$5:$E$500,'판매 기록'!$A$5:$A$500,"&gt;="&amp;$A14,'판매 기록'!$A$5:$A$500,"&lt;="&amp;$B14,'판매 기록'!$B$5:$B$500,"아트지")</f>
        <v>0</v>
      </c>
      <c r="M14" s="9" t="n">
        <f aca="false">SUMIFS('판매 기록'!$E$5:$E$500,'판매 기록'!$A$5:$A$500,"&gt;="&amp;$A14,'판매 기록'!$A$5:$A$500,"&lt;="&amp;$B14,'판매 기록'!$B$5:$B$500,"유포지")</f>
        <v>1</v>
      </c>
      <c r="N14" s="9" t="n">
        <f aca="false">SUMIFS('판매 기록'!$E$5:$E$500,'판매 기록'!$A$5:$A$500,"&gt;="&amp;$A14,'판매 기록'!$A$5:$A$500,"&lt;="&amp;$B14,'판매 기록'!$B$5:$B$500,"감열지")</f>
        <v>0</v>
      </c>
      <c r="O14" s="9" t="n">
        <f aca="false">COUNTIFS('판매 기록'!$A$5:$A$500,"&gt;="&amp;$A14,'판매 기록'!$A$5:$A$500,"&lt;="&amp;$B14,'판매 기록'!$D$5:$D$500,"전문몰")</f>
        <v>0</v>
      </c>
      <c r="P14" s="9" t="n">
        <f aca="false">E14-O14</f>
        <v>1</v>
      </c>
    </row>
    <row r="15" customFormat="false" ht="15" hidden="false" customHeight="false" outlineLevel="0" collapsed="false">
      <c r="A15" s="5" t="n">
        <v>46237</v>
      </c>
      <c r="B15" s="5" t="n">
        <v>46243</v>
      </c>
      <c r="C15" s="6" t="str">
        <f aca="false">TEXT(A15,"m/d")&amp;" – "&amp;TEXT(B15,"m/d")</f>
        <v>8/3 – 8/9</v>
      </c>
      <c r="D15" s="7" t="str">
        <f aca="false">IF(AND('광고 효과'!$C$5&gt;=A15,'광고 효과'!$C$5&lt;=B15),"광고 시작",IF(A15&gt;'광고 효과'!$C$5,"광고 중",""))</f>
        <v/>
      </c>
      <c r="E15" s="8" t="n">
        <f aca="false">COUNTIFS('판매 기록'!$A$5:$A$500,"&gt;="&amp;$A15,'판매 기록'!$A$5:$A$500,"&lt;="&amp;$B15)</f>
        <v>3</v>
      </c>
      <c r="F15" s="8" t="n">
        <f aca="false">SUMIFS('판매 기록'!$E$5:$E$500,'판매 기록'!$A$5:$A$500,"&gt;="&amp;$A15,'판매 기록'!$A$5:$A$500,"&lt;="&amp;$B15)</f>
        <v>4</v>
      </c>
      <c r="G15" s="9" t="n">
        <f aca="false">SUMIFS('판매 기록'!$E$5:$E$500,'판매 기록'!$A$5:$A$500,"&gt;="&amp;$A15,'판매 기록'!$A$5:$A$500,"&lt;="&amp;$B15,'판매 기록'!$D$5:$D$500,"쿠팡")</f>
        <v>1</v>
      </c>
      <c r="H15" s="9" t="n">
        <f aca="false">SUMIFS('판매 기록'!$E$5:$E$500,'판매 기록'!$A$5:$A$500,"&gt;="&amp;$A15,'판매 기록'!$A$5:$A$500,"&lt;="&amp;$B15,'판매 기록'!$D$5:$D$500,"지마켓")</f>
        <v>0</v>
      </c>
      <c r="I15" s="9" t="n">
        <f aca="false">SUMIFS('판매 기록'!$E$5:$E$500,'판매 기록'!$A$5:$A$500,"&gt;="&amp;$A15,'판매 기록'!$A$5:$A$500,"&lt;="&amp;$B15,'판매 기록'!$D$5:$D$500,"11번가")</f>
        <v>0</v>
      </c>
      <c r="J15" s="9" t="n">
        <f aca="false">SUMIFS('판매 기록'!$E$5:$E$500,'판매 기록'!$A$5:$A$500,"&gt;="&amp;$A15,'판매 기록'!$A$5:$A$500,"&lt;="&amp;$B15,'판매 기록'!$D$5:$D$500,"전문몰")</f>
        <v>3</v>
      </c>
      <c r="K15" s="9" t="n">
        <f aca="false">SUMIFS('판매 기록'!$E$5:$E$500,'판매 기록'!$A$5:$A$500,"&gt;="&amp;$A15,'판매 기록'!$A$5:$A$500,"&lt;="&amp;$B15,'판매 기록'!$D$5:$D$500,"코스모스몰")</f>
        <v>0</v>
      </c>
      <c r="L15" s="9" t="n">
        <f aca="false">SUMIFS('판매 기록'!$E$5:$E$500,'판매 기록'!$A$5:$A$500,"&gt;="&amp;$A15,'판매 기록'!$A$5:$A$500,"&lt;="&amp;$B15,'판매 기록'!$B$5:$B$500,"아트지")</f>
        <v>1</v>
      </c>
      <c r="M15" s="9" t="n">
        <f aca="false">SUMIFS('판매 기록'!$E$5:$E$500,'판매 기록'!$A$5:$A$500,"&gt;="&amp;$A15,'판매 기록'!$A$5:$A$500,"&lt;="&amp;$B15,'판매 기록'!$B$5:$B$500,"유포지")</f>
        <v>3</v>
      </c>
      <c r="N15" s="9" t="n">
        <f aca="false">SUMIFS('판매 기록'!$E$5:$E$500,'판매 기록'!$A$5:$A$500,"&gt;="&amp;$A15,'판매 기록'!$A$5:$A$500,"&lt;="&amp;$B15,'판매 기록'!$B$5:$B$500,"감열지")</f>
        <v>0</v>
      </c>
      <c r="O15" s="9" t="n">
        <f aca="false">COUNTIFS('판매 기록'!$A$5:$A$500,"&gt;="&amp;$A15,'판매 기록'!$A$5:$A$500,"&lt;="&amp;$B15,'판매 기록'!$D$5:$D$500,"전문몰")</f>
        <v>2</v>
      </c>
      <c r="P15" s="9" t="n">
        <f aca="false">E15-O15</f>
        <v>1</v>
      </c>
    </row>
    <row r="16" customFormat="false" ht="15" hidden="false" customHeight="false" outlineLevel="0" collapsed="false">
      <c r="A16" s="5" t="n">
        <v>46244</v>
      </c>
      <c r="B16" s="5" t="n">
        <v>46250</v>
      </c>
      <c r="C16" s="6" t="str">
        <f aca="false">TEXT(A16,"m/d")&amp;" – "&amp;TEXT(B16,"m/d")</f>
        <v>8/10 – 8/16</v>
      </c>
      <c r="D16" s="7" t="str">
        <f aca="false">IF(AND('광고 효과'!$C$5&gt;=A16,'광고 효과'!$C$5&lt;=B16),"광고 시작",IF(A16&gt;'광고 효과'!$C$5,"광고 중",""))</f>
        <v/>
      </c>
      <c r="E16" s="8" t="n">
        <f aca="false">COUNTIFS('판매 기록'!$A$5:$A$500,"&gt;="&amp;$A16,'판매 기록'!$A$5:$A$500,"&lt;="&amp;$B16)</f>
        <v>2</v>
      </c>
      <c r="F16" s="8" t="n">
        <f aca="false">SUMIFS('판매 기록'!$E$5:$E$500,'판매 기록'!$A$5:$A$500,"&gt;="&amp;$A16,'판매 기록'!$A$5:$A$500,"&lt;="&amp;$B16)</f>
        <v>7</v>
      </c>
      <c r="G16" s="9" t="n">
        <f aca="false">SUMIFS('판매 기록'!$E$5:$E$500,'판매 기록'!$A$5:$A$500,"&gt;="&amp;$A16,'판매 기록'!$A$5:$A$500,"&lt;="&amp;$B16,'판매 기록'!$D$5:$D$500,"쿠팡")</f>
        <v>0</v>
      </c>
      <c r="H16" s="9" t="n">
        <f aca="false">SUMIFS('판매 기록'!$E$5:$E$500,'판매 기록'!$A$5:$A$500,"&gt;="&amp;$A16,'판매 기록'!$A$5:$A$500,"&lt;="&amp;$B16,'판매 기록'!$D$5:$D$500,"지마켓")</f>
        <v>0</v>
      </c>
      <c r="I16" s="9" t="n">
        <f aca="false">SUMIFS('판매 기록'!$E$5:$E$500,'판매 기록'!$A$5:$A$500,"&gt;="&amp;$A16,'판매 기록'!$A$5:$A$500,"&lt;="&amp;$B16,'판매 기록'!$D$5:$D$500,"11번가")</f>
        <v>0</v>
      </c>
      <c r="J16" s="9" t="n">
        <f aca="false">SUMIFS('판매 기록'!$E$5:$E$500,'판매 기록'!$A$5:$A$500,"&gt;="&amp;$A16,'판매 기록'!$A$5:$A$500,"&lt;="&amp;$B16,'판매 기록'!$D$5:$D$500,"전문몰")</f>
        <v>7</v>
      </c>
      <c r="K16" s="9" t="n">
        <f aca="false">SUMIFS('판매 기록'!$E$5:$E$500,'판매 기록'!$A$5:$A$500,"&gt;="&amp;$A16,'판매 기록'!$A$5:$A$500,"&lt;="&amp;$B16,'판매 기록'!$D$5:$D$500,"코스모스몰")</f>
        <v>0</v>
      </c>
      <c r="L16" s="9" t="n">
        <f aca="false">SUMIFS('판매 기록'!$E$5:$E$500,'판매 기록'!$A$5:$A$500,"&gt;="&amp;$A16,'판매 기록'!$A$5:$A$500,"&lt;="&amp;$B16,'판매 기록'!$B$5:$B$500,"아트지")</f>
        <v>0</v>
      </c>
      <c r="M16" s="9" t="n">
        <f aca="false">SUMIFS('판매 기록'!$E$5:$E$500,'판매 기록'!$A$5:$A$500,"&gt;="&amp;$A16,'판매 기록'!$A$5:$A$500,"&lt;="&amp;$B16,'판매 기록'!$B$5:$B$500,"유포지")</f>
        <v>7</v>
      </c>
      <c r="N16" s="9" t="n">
        <f aca="false">SUMIFS('판매 기록'!$E$5:$E$500,'판매 기록'!$A$5:$A$500,"&gt;="&amp;$A16,'판매 기록'!$A$5:$A$500,"&lt;="&amp;$B16,'판매 기록'!$B$5:$B$500,"감열지")</f>
        <v>0</v>
      </c>
      <c r="O16" s="9" t="n">
        <f aca="false">COUNTIFS('판매 기록'!$A$5:$A$500,"&gt;="&amp;$A16,'판매 기록'!$A$5:$A$500,"&lt;="&amp;$B16,'판매 기록'!$D$5:$D$500,"전문몰")</f>
        <v>2</v>
      </c>
      <c r="P16" s="9" t="n">
        <f aca="false">E16-O16</f>
        <v>0</v>
      </c>
    </row>
    <row r="17" customFormat="false" ht="15" hidden="false" customHeight="false" outlineLevel="0" collapsed="false">
      <c r="A17" s="5" t="n">
        <v>46251</v>
      </c>
      <c r="B17" s="5" t="n">
        <v>46257</v>
      </c>
      <c r="C17" s="6" t="str">
        <f aca="false">TEXT(A17,"m/d")&amp;" – "&amp;TEXT(B17,"m/d")</f>
        <v>8/17 – 8/23</v>
      </c>
      <c r="D17" s="7" t="str">
        <f aca="false">IF(AND('광고 효과'!$C$5&gt;=A17,'광고 효과'!$C$5&lt;=B17),"광고 시작",IF(A17&gt;'광고 효과'!$C$5,"광고 중",""))</f>
        <v/>
      </c>
      <c r="E17" s="8" t="n">
        <f aca="false">COUNTIFS('판매 기록'!$A$5:$A$500,"&gt;="&amp;$A17,'판매 기록'!$A$5:$A$500,"&lt;="&amp;$B17)</f>
        <v>5</v>
      </c>
      <c r="F17" s="8" t="n">
        <f aca="false">SUMIFS('판매 기록'!$E$5:$E$500,'판매 기록'!$A$5:$A$500,"&gt;="&amp;$A17,'판매 기록'!$A$5:$A$500,"&lt;="&amp;$B17)</f>
        <v>28</v>
      </c>
      <c r="G17" s="9" t="n">
        <f aca="false">SUMIFS('판매 기록'!$E$5:$E$500,'판매 기록'!$A$5:$A$500,"&gt;="&amp;$A17,'판매 기록'!$A$5:$A$500,"&lt;="&amp;$B17,'판매 기록'!$D$5:$D$500,"쿠팡")</f>
        <v>0</v>
      </c>
      <c r="H17" s="9" t="n">
        <f aca="false">SUMIFS('판매 기록'!$E$5:$E$500,'판매 기록'!$A$5:$A$500,"&gt;="&amp;$A17,'판매 기록'!$A$5:$A$500,"&lt;="&amp;$B17,'판매 기록'!$D$5:$D$500,"지마켓")</f>
        <v>21</v>
      </c>
      <c r="I17" s="9" t="n">
        <f aca="false">SUMIFS('판매 기록'!$E$5:$E$500,'판매 기록'!$A$5:$A$500,"&gt;="&amp;$A17,'판매 기록'!$A$5:$A$500,"&lt;="&amp;$B17,'판매 기록'!$D$5:$D$500,"11번가")</f>
        <v>0</v>
      </c>
      <c r="J17" s="9" t="n">
        <f aca="false">SUMIFS('판매 기록'!$E$5:$E$500,'판매 기록'!$A$5:$A$500,"&gt;="&amp;$A17,'판매 기록'!$A$5:$A$500,"&lt;="&amp;$B17,'판매 기록'!$D$5:$D$500,"전문몰")</f>
        <v>7</v>
      </c>
      <c r="K17" s="9" t="n">
        <f aca="false">SUMIFS('판매 기록'!$E$5:$E$500,'판매 기록'!$A$5:$A$500,"&gt;="&amp;$A17,'판매 기록'!$A$5:$A$500,"&lt;="&amp;$B17,'판매 기록'!$D$5:$D$500,"코스모스몰")</f>
        <v>0</v>
      </c>
      <c r="L17" s="9" t="n">
        <f aca="false">SUMIFS('판매 기록'!$E$5:$E$500,'판매 기록'!$A$5:$A$500,"&gt;="&amp;$A17,'판매 기록'!$A$5:$A$500,"&lt;="&amp;$B17,'판매 기록'!$B$5:$B$500,"아트지")</f>
        <v>5</v>
      </c>
      <c r="M17" s="9" t="n">
        <f aca="false">SUMIFS('판매 기록'!$E$5:$E$500,'판매 기록'!$A$5:$A$500,"&gt;="&amp;$A17,'판매 기록'!$A$5:$A$500,"&lt;="&amp;$B17,'판매 기록'!$B$5:$B$500,"유포지")</f>
        <v>7</v>
      </c>
      <c r="N17" s="9" t="n">
        <f aca="false">SUMIFS('판매 기록'!$E$5:$E$500,'판매 기록'!$A$5:$A$500,"&gt;="&amp;$A17,'판매 기록'!$A$5:$A$500,"&lt;="&amp;$B17,'판매 기록'!$B$5:$B$500,"감열지")</f>
        <v>16</v>
      </c>
      <c r="O17" s="9" t="n">
        <f aca="false">COUNTIFS('판매 기록'!$A$5:$A$500,"&gt;="&amp;$A17,'판매 기록'!$A$5:$A$500,"&lt;="&amp;$B17,'판매 기록'!$D$5:$D$500,"전문몰")</f>
        <v>3</v>
      </c>
      <c r="P17" s="9" t="n">
        <f aca="false">E17-O17</f>
        <v>2</v>
      </c>
    </row>
    <row r="18" customFormat="false" ht="15" hidden="false" customHeight="false" outlineLevel="0" collapsed="false">
      <c r="A18" s="5" t="n">
        <v>46258</v>
      </c>
      <c r="B18" s="5" t="n">
        <v>46264</v>
      </c>
      <c r="C18" s="6" t="str">
        <f aca="false">TEXT(A18,"m/d")&amp;" – "&amp;TEXT(B18,"m/d")</f>
        <v>8/24 – 8/30</v>
      </c>
      <c r="D18" s="7" t="str">
        <f aca="false">IF(AND('광고 효과'!$C$5&gt;=A18,'광고 효과'!$C$5&lt;=B18),"광고 시작",IF(A18&gt;'광고 효과'!$C$5,"광고 중",""))</f>
        <v/>
      </c>
      <c r="E18" s="8" t="n">
        <f aca="false">COUNTIFS('판매 기록'!$A$5:$A$500,"&gt;="&amp;$A18,'판매 기록'!$A$5:$A$500,"&lt;="&amp;$B18)</f>
        <v>6</v>
      </c>
      <c r="F18" s="8" t="n">
        <f aca="false">SUMIFS('판매 기록'!$E$5:$E$500,'판매 기록'!$A$5:$A$500,"&gt;="&amp;$A18,'판매 기록'!$A$5:$A$500,"&lt;="&amp;$B18)</f>
        <v>29</v>
      </c>
      <c r="G18" s="9" t="n">
        <f aca="false">SUMIFS('판매 기록'!$E$5:$E$500,'판매 기록'!$A$5:$A$500,"&gt;="&amp;$A18,'판매 기록'!$A$5:$A$500,"&lt;="&amp;$B18,'판매 기록'!$D$5:$D$500,"쿠팡")</f>
        <v>5</v>
      </c>
      <c r="H18" s="9" t="n">
        <f aca="false">SUMIFS('판매 기록'!$E$5:$E$500,'판매 기록'!$A$5:$A$500,"&gt;="&amp;$A18,'판매 기록'!$A$5:$A$500,"&lt;="&amp;$B18,'판매 기록'!$D$5:$D$500,"지마켓")</f>
        <v>19</v>
      </c>
      <c r="I18" s="9" t="n">
        <f aca="false">SUMIFS('판매 기록'!$E$5:$E$500,'판매 기록'!$A$5:$A$500,"&gt;="&amp;$A18,'판매 기록'!$A$5:$A$500,"&lt;="&amp;$B18,'판매 기록'!$D$5:$D$500,"11번가")</f>
        <v>0</v>
      </c>
      <c r="J18" s="9" t="n">
        <f aca="false">SUMIFS('판매 기록'!$E$5:$E$500,'판매 기록'!$A$5:$A$500,"&gt;="&amp;$A18,'판매 기록'!$A$5:$A$500,"&lt;="&amp;$B18,'판매 기록'!$D$5:$D$500,"전문몰")</f>
        <v>5</v>
      </c>
      <c r="K18" s="9" t="n">
        <f aca="false">SUMIFS('판매 기록'!$E$5:$E$500,'판매 기록'!$A$5:$A$500,"&gt;="&amp;$A18,'판매 기록'!$A$5:$A$500,"&lt;="&amp;$B18,'판매 기록'!$D$5:$D$500,"코스모스몰")</f>
        <v>0</v>
      </c>
      <c r="L18" s="9" t="n">
        <f aca="false">SUMIFS('판매 기록'!$E$5:$E$500,'판매 기록'!$A$5:$A$500,"&gt;="&amp;$A18,'판매 기록'!$A$5:$A$500,"&lt;="&amp;$B18,'판매 기록'!$B$5:$B$500,"아트지")</f>
        <v>2</v>
      </c>
      <c r="M18" s="9" t="n">
        <f aca="false">SUMIFS('판매 기록'!$E$5:$E$500,'판매 기록'!$A$5:$A$500,"&gt;="&amp;$A18,'판매 기록'!$A$5:$A$500,"&lt;="&amp;$B18,'판매 기록'!$B$5:$B$500,"유포지")</f>
        <v>26</v>
      </c>
      <c r="N18" s="9" t="n">
        <f aca="false">SUMIFS('판매 기록'!$E$5:$E$500,'판매 기록'!$A$5:$A$500,"&gt;="&amp;$A18,'판매 기록'!$A$5:$A$500,"&lt;="&amp;$B18,'판매 기록'!$B$5:$B$500,"감열지")</f>
        <v>1</v>
      </c>
      <c r="O18" s="9" t="n">
        <f aca="false">COUNTIFS('판매 기록'!$A$5:$A$500,"&gt;="&amp;$A18,'판매 기록'!$A$5:$A$500,"&lt;="&amp;$B18,'판매 기록'!$D$5:$D$500,"전문몰")</f>
        <v>2</v>
      </c>
      <c r="P18" s="9" t="n">
        <f aca="false">E18-O18</f>
        <v>4</v>
      </c>
    </row>
    <row r="19" customFormat="false" ht="15" hidden="false" customHeight="false" outlineLevel="0" collapsed="false">
      <c r="A19" s="5" t="n">
        <v>46265</v>
      </c>
      <c r="B19" s="5" t="n">
        <v>46271</v>
      </c>
      <c r="C19" s="6" t="str">
        <f aca="false">TEXT(A19,"m/d")&amp;" – "&amp;TEXT(B19,"m/d")</f>
        <v>8/31 – 9/6</v>
      </c>
      <c r="D19" s="7" t="str">
        <f aca="false">IF(AND('광고 효과'!$C$5&gt;=A19,'광고 효과'!$C$5&lt;=B19),"광고 시작",IF(A19&gt;'광고 효과'!$C$5,"광고 중",""))</f>
        <v/>
      </c>
      <c r="E19" s="8" t="n">
        <f aca="false">COUNTIFS('판매 기록'!$A$5:$A$500,"&gt;="&amp;$A19,'판매 기록'!$A$5:$A$500,"&lt;="&amp;$B19)</f>
        <v>4</v>
      </c>
      <c r="F19" s="8" t="n">
        <f aca="false">SUMIFS('판매 기록'!$E$5:$E$500,'판매 기록'!$A$5:$A$500,"&gt;="&amp;$A19,'판매 기록'!$A$5:$A$500,"&lt;="&amp;$B19)</f>
        <v>9</v>
      </c>
      <c r="G19" s="9" t="n">
        <f aca="false">SUMIFS('판매 기록'!$E$5:$E$500,'판매 기록'!$A$5:$A$500,"&gt;="&amp;$A19,'판매 기록'!$A$5:$A$500,"&lt;="&amp;$B19,'판매 기록'!$D$5:$D$500,"쿠팡")</f>
        <v>0</v>
      </c>
      <c r="H19" s="9" t="n">
        <f aca="false">SUMIFS('판매 기록'!$E$5:$E$500,'판매 기록'!$A$5:$A$500,"&gt;="&amp;$A19,'판매 기록'!$A$5:$A$500,"&lt;="&amp;$B19,'판매 기록'!$D$5:$D$500,"지마켓")</f>
        <v>0</v>
      </c>
      <c r="I19" s="9" t="n">
        <f aca="false">SUMIFS('판매 기록'!$E$5:$E$500,'판매 기록'!$A$5:$A$500,"&gt;="&amp;$A19,'판매 기록'!$A$5:$A$500,"&lt;="&amp;$B19,'판매 기록'!$D$5:$D$500,"11번가")</f>
        <v>0</v>
      </c>
      <c r="J19" s="9" t="n">
        <f aca="false">SUMIFS('판매 기록'!$E$5:$E$500,'판매 기록'!$A$5:$A$500,"&gt;="&amp;$A19,'판매 기록'!$A$5:$A$500,"&lt;="&amp;$B19,'판매 기록'!$D$5:$D$500,"전문몰")</f>
        <v>9</v>
      </c>
      <c r="K19" s="9" t="n">
        <f aca="false">SUMIFS('판매 기록'!$E$5:$E$500,'판매 기록'!$A$5:$A$500,"&gt;="&amp;$A19,'판매 기록'!$A$5:$A$500,"&lt;="&amp;$B19,'판매 기록'!$D$5:$D$500,"코스모스몰")</f>
        <v>0</v>
      </c>
      <c r="L19" s="9" t="n">
        <f aca="false">SUMIFS('판매 기록'!$E$5:$E$500,'판매 기록'!$A$5:$A$500,"&gt;="&amp;$A19,'판매 기록'!$A$5:$A$500,"&lt;="&amp;$B19,'판매 기록'!$B$5:$B$500,"아트지")</f>
        <v>6</v>
      </c>
      <c r="M19" s="9" t="n">
        <f aca="false">SUMIFS('판매 기록'!$E$5:$E$500,'판매 기록'!$A$5:$A$500,"&gt;="&amp;$A19,'판매 기록'!$A$5:$A$500,"&lt;="&amp;$B19,'판매 기록'!$B$5:$B$500,"유포지")</f>
        <v>3</v>
      </c>
      <c r="N19" s="9" t="n">
        <f aca="false">SUMIFS('판매 기록'!$E$5:$E$500,'판매 기록'!$A$5:$A$500,"&gt;="&amp;$A19,'판매 기록'!$A$5:$A$500,"&lt;="&amp;$B19,'판매 기록'!$B$5:$B$500,"감열지")</f>
        <v>0</v>
      </c>
      <c r="O19" s="9" t="n">
        <f aca="false">COUNTIFS('판매 기록'!$A$5:$A$500,"&gt;="&amp;$A19,'판매 기록'!$A$5:$A$500,"&lt;="&amp;$B19,'판매 기록'!$D$5:$D$500,"전문몰")</f>
        <v>4</v>
      </c>
      <c r="P19" s="9" t="n">
        <f aca="false">E19-O19</f>
        <v>0</v>
      </c>
    </row>
    <row r="20" customFormat="false" ht="15" hidden="false" customHeight="false" outlineLevel="0" collapsed="false">
      <c r="A20" s="5" t="n">
        <v>46272</v>
      </c>
      <c r="B20" s="5" t="n">
        <v>46278</v>
      </c>
      <c r="C20" s="6" t="str">
        <f aca="false">TEXT(A20,"m/d")&amp;" – "&amp;TEXT(B20,"m/d")</f>
        <v>9/7 – 9/13</v>
      </c>
      <c r="D20" s="7" t="str">
        <f aca="false">IF(AND('광고 효과'!$C$5&gt;=A20,'광고 효과'!$C$5&lt;=B20),"광고 시작",IF(A20&gt;'광고 효과'!$C$5,"광고 중",""))</f>
        <v/>
      </c>
      <c r="E20" s="8" t="n">
        <f aca="false">COUNTIFS('판매 기록'!$A$5:$A$500,"&gt;="&amp;$A20,'판매 기록'!$A$5:$A$500,"&lt;="&amp;$B20)</f>
        <v>6</v>
      </c>
      <c r="F20" s="8" t="n">
        <f aca="false">SUMIFS('판매 기록'!$E$5:$E$500,'판매 기록'!$A$5:$A$500,"&gt;="&amp;$A20,'판매 기록'!$A$5:$A$500,"&lt;="&amp;$B20)</f>
        <v>7</v>
      </c>
      <c r="G20" s="9" t="n">
        <f aca="false">SUMIFS('판매 기록'!$E$5:$E$500,'판매 기록'!$A$5:$A$500,"&gt;="&amp;$A20,'판매 기록'!$A$5:$A$500,"&lt;="&amp;$B20,'판매 기록'!$D$5:$D$500,"쿠팡")</f>
        <v>3</v>
      </c>
      <c r="H20" s="9" t="n">
        <f aca="false">SUMIFS('판매 기록'!$E$5:$E$500,'판매 기록'!$A$5:$A$500,"&gt;="&amp;$A20,'판매 기록'!$A$5:$A$500,"&lt;="&amp;$B20,'판매 기록'!$D$5:$D$500,"지마켓")</f>
        <v>0</v>
      </c>
      <c r="I20" s="9" t="n">
        <f aca="false">SUMIFS('판매 기록'!$E$5:$E$500,'판매 기록'!$A$5:$A$500,"&gt;="&amp;$A20,'판매 기록'!$A$5:$A$500,"&lt;="&amp;$B20,'판매 기록'!$D$5:$D$500,"11번가")</f>
        <v>0</v>
      </c>
      <c r="J20" s="9" t="n">
        <f aca="false">SUMIFS('판매 기록'!$E$5:$E$500,'판매 기록'!$A$5:$A$500,"&gt;="&amp;$A20,'판매 기록'!$A$5:$A$500,"&lt;="&amp;$B20,'판매 기록'!$D$5:$D$500,"전문몰")</f>
        <v>4</v>
      </c>
      <c r="K20" s="9" t="n">
        <f aca="false">SUMIFS('판매 기록'!$E$5:$E$500,'판매 기록'!$A$5:$A$500,"&gt;="&amp;$A20,'판매 기록'!$A$5:$A$500,"&lt;="&amp;$B20,'판매 기록'!$D$5:$D$500,"코스모스몰")</f>
        <v>0</v>
      </c>
      <c r="L20" s="9" t="n">
        <f aca="false">SUMIFS('판매 기록'!$E$5:$E$500,'판매 기록'!$A$5:$A$500,"&gt;="&amp;$A20,'판매 기록'!$A$5:$A$500,"&lt;="&amp;$B20,'판매 기록'!$B$5:$B$500,"아트지")</f>
        <v>6</v>
      </c>
      <c r="M20" s="9" t="n">
        <f aca="false">SUMIFS('판매 기록'!$E$5:$E$500,'판매 기록'!$A$5:$A$500,"&gt;="&amp;$A20,'판매 기록'!$A$5:$A$500,"&lt;="&amp;$B20,'판매 기록'!$B$5:$B$500,"유포지")</f>
        <v>1</v>
      </c>
      <c r="N20" s="9" t="n">
        <f aca="false">SUMIFS('판매 기록'!$E$5:$E$500,'판매 기록'!$A$5:$A$500,"&gt;="&amp;$A20,'판매 기록'!$A$5:$A$500,"&lt;="&amp;$B20,'판매 기록'!$B$5:$B$500,"감열지")</f>
        <v>0</v>
      </c>
      <c r="O20" s="9" t="n">
        <f aca="false">COUNTIFS('판매 기록'!$A$5:$A$500,"&gt;="&amp;$A20,'판매 기록'!$A$5:$A$500,"&lt;="&amp;$B20,'판매 기록'!$D$5:$D$500,"전문몰")</f>
        <v>3</v>
      </c>
      <c r="P20" s="9" t="n">
        <f aca="false">E20-O20</f>
        <v>3</v>
      </c>
    </row>
    <row r="21" customFormat="false" ht="15" hidden="false" customHeight="false" outlineLevel="0" collapsed="false">
      <c r="A21" s="5" t="n">
        <v>46279</v>
      </c>
      <c r="B21" s="5" t="n">
        <v>46285</v>
      </c>
      <c r="C21" s="6" t="str">
        <f aca="false">TEXT(A21,"m/d")&amp;" – "&amp;TEXT(B21,"m/d")</f>
        <v>9/14 – 9/20</v>
      </c>
      <c r="D21" s="7" t="str">
        <f aca="false">IF(AND('광고 효과'!$C$5&gt;=A21,'광고 효과'!$C$5&lt;=B21),"광고 시작",IF(A21&gt;'광고 효과'!$C$5,"광고 중",""))</f>
        <v/>
      </c>
      <c r="E21" s="8" t="n">
        <f aca="false">COUNTIFS('판매 기록'!$A$5:$A$500,"&gt;="&amp;$A21,'판매 기록'!$A$5:$A$500,"&lt;="&amp;$B21)</f>
        <v>1</v>
      </c>
      <c r="F21" s="8" t="n">
        <f aca="false">SUMIFS('판매 기록'!$E$5:$E$500,'판매 기록'!$A$5:$A$500,"&gt;="&amp;$A21,'판매 기록'!$A$5:$A$500,"&lt;="&amp;$B21)</f>
        <v>1</v>
      </c>
      <c r="G21" s="9" t="n">
        <f aca="false">SUMIFS('판매 기록'!$E$5:$E$500,'판매 기록'!$A$5:$A$500,"&gt;="&amp;$A21,'판매 기록'!$A$5:$A$500,"&lt;="&amp;$B21,'판매 기록'!$D$5:$D$500,"쿠팡")</f>
        <v>1</v>
      </c>
      <c r="H21" s="9" t="n">
        <f aca="false">SUMIFS('판매 기록'!$E$5:$E$500,'판매 기록'!$A$5:$A$500,"&gt;="&amp;$A21,'판매 기록'!$A$5:$A$500,"&lt;="&amp;$B21,'판매 기록'!$D$5:$D$500,"지마켓")</f>
        <v>0</v>
      </c>
      <c r="I21" s="9" t="n">
        <f aca="false">SUMIFS('판매 기록'!$E$5:$E$500,'판매 기록'!$A$5:$A$500,"&gt;="&amp;$A21,'판매 기록'!$A$5:$A$500,"&lt;="&amp;$B21,'판매 기록'!$D$5:$D$500,"11번가")</f>
        <v>0</v>
      </c>
      <c r="J21" s="9" t="n">
        <f aca="false">SUMIFS('판매 기록'!$E$5:$E$500,'판매 기록'!$A$5:$A$500,"&gt;="&amp;$A21,'판매 기록'!$A$5:$A$500,"&lt;="&amp;$B21,'판매 기록'!$D$5:$D$500,"전문몰")</f>
        <v>0</v>
      </c>
      <c r="K21" s="9" t="n">
        <f aca="false">SUMIFS('판매 기록'!$E$5:$E$500,'판매 기록'!$A$5:$A$500,"&gt;="&amp;$A21,'판매 기록'!$A$5:$A$500,"&lt;="&amp;$B21,'판매 기록'!$D$5:$D$500,"코스모스몰")</f>
        <v>0</v>
      </c>
      <c r="L21" s="9" t="n">
        <f aca="false">SUMIFS('판매 기록'!$E$5:$E$500,'판매 기록'!$A$5:$A$500,"&gt;="&amp;$A21,'판매 기록'!$A$5:$A$500,"&lt;="&amp;$B21,'판매 기록'!$B$5:$B$500,"아트지")</f>
        <v>1</v>
      </c>
      <c r="M21" s="9" t="n">
        <f aca="false">SUMIFS('판매 기록'!$E$5:$E$500,'판매 기록'!$A$5:$A$500,"&gt;="&amp;$A21,'판매 기록'!$A$5:$A$500,"&lt;="&amp;$B21,'판매 기록'!$B$5:$B$500,"유포지")</f>
        <v>0</v>
      </c>
      <c r="N21" s="9" t="n">
        <f aca="false">SUMIFS('판매 기록'!$E$5:$E$500,'판매 기록'!$A$5:$A$500,"&gt;="&amp;$A21,'판매 기록'!$A$5:$A$500,"&lt;="&amp;$B21,'판매 기록'!$B$5:$B$500,"감열지")</f>
        <v>0</v>
      </c>
      <c r="O21" s="9" t="n">
        <f aca="false">COUNTIFS('판매 기록'!$A$5:$A$500,"&gt;="&amp;$A21,'판매 기록'!$A$5:$A$500,"&lt;="&amp;$B21,'판매 기록'!$D$5:$D$500,"전문몰")</f>
        <v>0</v>
      </c>
      <c r="P21" s="9" t="n">
        <f aca="false">E21-O21</f>
        <v>1</v>
      </c>
    </row>
    <row r="22" customFormat="false" ht="15" hidden="false" customHeight="false" outlineLevel="0" collapsed="false">
      <c r="A22" s="5" t="n">
        <v>46286</v>
      </c>
      <c r="B22" s="5" t="n">
        <v>46292</v>
      </c>
      <c r="C22" s="6" t="str">
        <f aca="false">TEXT(A22,"m/d")&amp;" – "&amp;TEXT(B22,"m/d")</f>
        <v>9/21 – 9/27</v>
      </c>
      <c r="D22" s="7" t="str">
        <f aca="false">IF(AND('광고 효과'!$C$5&gt;=A22,'광고 효과'!$C$5&lt;=B22),"광고 시작",IF(A22&gt;'광고 효과'!$C$5,"광고 중",""))</f>
        <v/>
      </c>
      <c r="E22" s="8" t="n">
        <f aca="false">COUNTIFS('판매 기록'!$A$5:$A$500,"&gt;="&amp;$A22,'판매 기록'!$A$5:$A$500,"&lt;="&amp;$B22)</f>
        <v>1</v>
      </c>
      <c r="F22" s="8" t="n">
        <f aca="false">SUMIFS('판매 기록'!$E$5:$E$500,'판매 기록'!$A$5:$A$500,"&gt;="&amp;$A22,'판매 기록'!$A$5:$A$500,"&lt;="&amp;$B22)</f>
        <v>5</v>
      </c>
      <c r="G22" s="9" t="n">
        <f aca="false">SUMIFS('판매 기록'!$E$5:$E$500,'판매 기록'!$A$5:$A$500,"&gt;="&amp;$A22,'판매 기록'!$A$5:$A$500,"&lt;="&amp;$B22,'판매 기록'!$D$5:$D$500,"쿠팡")</f>
        <v>0</v>
      </c>
      <c r="H22" s="9" t="n">
        <f aca="false">SUMIFS('판매 기록'!$E$5:$E$500,'판매 기록'!$A$5:$A$500,"&gt;="&amp;$A22,'판매 기록'!$A$5:$A$500,"&lt;="&amp;$B22,'판매 기록'!$D$5:$D$500,"지마켓")</f>
        <v>0</v>
      </c>
      <c r="I22" s="9" t="n">
        <f aca="false">SUMIFS('판매 기록'!$E$5:$E$500,'판매 기록'!$A$5:$A$500,"&gt;="&amp;$A22,'판매 기록'!$A$5:$A$500,"&lt;="&amp;$B22,'판매 기록'!$D$5:$D$500,"11번가")</f>
        <v>0</v>
      </c>
      <c r="J22" s="9" t="n">
        <f aca="false">SUMIFS('판매 기록'!$E$5:$E$500,'판매 기록'!$A$5:$A$500,"&gt;="&amp;$A22,'판매 기록'!$A$5:$A$500,"&lt;="&amp;$B22,'판매 기록'!$D$5:$D$500,"전문몰")</f>
        <v>5</v>
      </c>
      <c r="K22" s="9" t="n">
        <f aca="false">SUMIFS('판매 기록'!$E$5:$E$500,'판매 기록'!$A$5:$A$500,"&gt;="&amp;$A22,'판매 기록'!$A$5:$A$500,"&lt;="&amp;$B22,'판매 기록'!$D$5:$D$500,"코스모스몰")</f>
        <v>0</v>
      </c>
      <c r="L22" s="9" t="n">
        <f aca="false">SUMIFS('판매 기록'!$E$5:$E$500,'판매 기록'!$A$5:$A$500,"&gt;="&amp;$A22,'판매 기록'!$A$5:$A$500,"&lt;="&amp;$B22,'판매 기록'!$B$5:$B$500,"아트지")</f>
        <v>5</v>
      </c>
      <c r="M22" s="9" t="n">
        <f aca="false">SUMIFS('판매 기록'!$E$5:$E$500,'판매 기록'!$A$5:$A$500,"&gt;="&amp;$A22,'판매 기록'!$A$5:$A$500,"&lt;="&amp;$B22,'판매 기록'!$B$5:$B$500,"유포지")</f>
        <v>0</v>
      </c>
      <c r="N22" s="9" t="n">
        <f aca="false">SUMIFS('판매 기록'!$E$5:$E$500,'판매 기록'!$A$5:$A$500,"&gt;="&amp;$A22,'판매 기록'!$A$5:$A$500,"&lt;="&amp;$B22,'판매 기록'!$B$5:$B$500,"감열지")</f>
        <v>0</v>
      </c>
      <c r="O22" s="9" t="n">
        <f aca="false">COUNTIFS('판매 기록'!$A$5:$A$500,"&gt;="&amp;$A22,'판매 기록'!$A$5:$A$500,"&lt;="&amp;$B22,'판매 기록'!$D$5:$D$500,"전문몰")</f>
        <v>1</v>
      </c>
      <c r="P22" s="9" t="n">
        <f aca="false">E22-O22</f>
        <v>0</v>
      </c>
    </row>
    <row r="23" customFormat="false" ht="15" hidden="false" customHeight="false" outlineLevel="0" collapsed="false">
      <c r="A23" s="5" t="n">
        <v>46293</v>
      </c>
      <c r="B23" s="5" t="n">
        <v>46299</v>
      </c>
      <c r="C23" s="6" t="str">
        <f aca="false">TEXT(A23,"m/d")&amp;" – "&amp;TEXT(B23,"m/d")</f>
        <v>9/28 – 10/4</v>
      </c>
      <c r="D23" s="7" t="str">
        <f aca="false">IF(AND('광고 효과'!$C$5&gt;=A23,'광고 효과'!$C$5&lt;=B23),"광고 시작",IF(A23&gt;'광고 효과'!$C$5,"광고 중",""))</f>
        <v>광고 시작</v>
      </c>
      <c r="E23" s="8" t="n">
        <f aca="false">COUNTIFS('판매 기록'!$A$5:$A$500,"&gt;="&amp;$A23,'판매 기록'!$A$5:$A$500,"&lt;="&amp;$B23)</f>
        <v>6</v>
      </c>
      <c r="F23" s="8" t="n">
        <f aca="false">SUMIFS('판매 기록'!$E$5:$E$500,'판매 기록'!$A$5:$A$500,"&gt;="&amp;$A23,'판매 기록'!$A$5:$A$500,"&lt;="&amp;$B23)</f>
        <v>21</v>
      </c>
      <c r="G23" s="9" t="n">
        <f aca="false">SUMIFS('판매 기록'!$E$5:$E$500,'판매 기록'!$A$5:$A$500,"&gt;="&amp;$A23,'판매 기록'!$A$5:$A$500,"&lt;="&amp;$B23,'판매 기록'!$D$5:$D$500,"쿠팡")</f>
        <v>12</v>
      </c>
      <c r="H23" s="9" t="n">
        <f aca="false">SUMIFS('판매 기록'!$E$5:$E$500,'판매 기록'!$A$5:$A$500,"&gt;="&amp;$A23,'판매 기록'!$A$5:$A$500,"&lt;="&amp;$B23,'판매 기록'!$D$5:$D$500,"지마켓")</f>
        <v>1</v>
      </c>
      <c r="I23" s="9" t="n">
        <f aca="false">SUMIFS('판매 기록'!$E$5:$E$500,'판매 기록'!$A$5:$A$500,"&gt;="&amp;$A23,'판매 기록'!$A$5:$A$500,"&lt;="&amp;$B23,'판매 기록'!$D$5:$D$500,"11번가")</f>
        <v>0</v>
      </c>
      <c r="J23" s="9" t="n">
        <f aca="false">SUMIFS('판매 기록'!$E$5:$E$500,'판매 기록'!$A$5:$A$500,"&gt;="&amp;$A23,'판매 기록'!$A$5:$A$500,"&lt;="&amp;$B23,'판매 기록'!$D$5:$D$500,"전문몰")</f>
        <v>8</v>
      </c>
      <c r="K23" s="9" t="n">
        <f aca="false">SUMIFS('판매 기록'!$E$5:$E$500,'판매 기록'!$A$5:$A$500,"&gt;="&amp;$A23,'판매 기록'!$A$5:$A$500,"&lt;="&amp;$B23,'판매 기록'!$D$5:$D$500,"코스모스몰")</f>
        <v>0</v>
      </c>
      <c r="L23" s="9" t="n">
        <f aca="false">SUMIFS('판매 기록'!$E$5:$E$500,'판매 기록'!$A$5:$A$500,"&gt;="&amp;$A23,'판매 기록'!$A$5:$A$500,"&lt;="&amp;$B23,'판매 기록'!$B$5:$B$500,"아트지")</f>
        <v>13</v>
      </c>
      <c r="M23" s="9" t="n">
        <f aca="false">SUMIFS('판매 기록'!$E$5:$E$500,'판매 기록'!$A$5:$A$500,"&gt;="&amp;$A23,'판매 기록'!$A$5:$A$500,"&lt;="&amp;$B23,'판매 기록'!$B$5:$B$500,"유포지")</f>
        <v>7</v>
      </c>
      <c r="N23" s="9" t="n">
        <f aca="false">SUMIFS('판매 기록'!$E$5:$E$500,'판매 기록'!$A$5:$A$500,"&gt;="&amp;$A23,'판매 기록'!$A$5:$A$500,"&lt;="&amp;$B23,'판매 기록'!$B$5:$B$500,"감열지")</f>
        <v>1</v>
      </c>
      <c r="O23" s="9" t="n">
        <f aca="false">COUNTIFS('판매 기록'!$A$5:$A$500,"&gt;="&amp;$A23,'판매 기록'!$A$5:$A$500,"&lt;="&amp;$B23,'판매 기록'!$D$5:$D$500,"전문몰")</f>
        <v>4</v>
      </c>
      <c r="P23" s="9" t="n">
        <f aca="false">E23-O23</f>
        <v>2</v>
      </c>
    </row>
    <row r="24" customFormat="false" ht="15" hidden="false" customHeight="false" outlineLevel="0" collapsed="false">
      <c r="A24" s="5" t="n">
        <v>46300</v>
      </c>
      <c r="B24" s="5" t="n">
        <v>46306</v>
      </c>
      <c r="C24" s="6" t="str">
        <f aca="false">TEXT(A24,"m/d")&amp;" – "&amp;TEXT(B24,"m/d")</f>
        <v>10/5 – 10/11</v>
      </c>
      <c r="D24" s="7" t="str">
        <f aca="false">IF(AND('광고 효과'!$C$5&gt;=A24,'광고 효과'!$C$5&lt;=B24),"광고 시작",IF(A24&gt;'광고 효과'!$C$5,"광고 중",""))</f>
        <v>광고 중</v>
      </c>
      <c r="E24" s="8" t="n">
        <f aca="false">COUNTIFS('판매 기록'!$A$5:$A$500,"&gt;="&amp;$A24,'판매 기록'!$A$5:$A$500,"&lt;="&amp;$B24)</f>
        <v>4</v>
      </c>
      <c r="F24" s="8" t="n">
        <f aca="false">SUMIFS('판매 기록'!$E$5:$E$500,'판매 기록'!$A$5:$A$500,"&gt;="&amp;$A24,'판매 기록'!$A$5:$A$500,"&lt;="&amp;$B24)</f>
        <v>18</v>
      </c>
      <c r="G24" s="9" t="n">
        <f aca="false">SUMIFS('판매 기록'!$E$5:$E$500,'판매 기록'!$A$5:$A$500,"&gt;="&amp;$A24,'판매 기록'!$A$5:$A$500,"&lt;="&amp;$B24,'판매 기록'!$D$5:$D$500,"쿠팡")</f>
        <v>12</v>
      </c>
      <c r="H24" s="9" t="n">
        <f aca="false">SUMIFS('판매 기록'!$E$5:$E$500,'판매 기록'!$A$5:$A$500,"&gt;="&amp;$A24,'판매 기록'!$A$5:$A$500,"&lt;="&amp;$B24,'판매 기록'!$D$5:$D$500,"지마켓")</f>
        <v>0</v>
      </c>
      <c r="I24" s="9" t="n">
        <f aca="false">SUMIFS('판매 기록'!$E$5:$E$500,'판매 기록'!$A$5:$A$500,"&gt;="&amp;$A24,'판매 기록'!$A$5:$A$500,"&lt;="&amp;$B24,'판매 기록'!$D$5:$D$500,"11번가")</f>
        <v>0</v>
      </c>
      <c r="J24" s="9" t="n">
        <f aca="false">SUMIFS('판매 기록'!$E$5:$E$500,'판매 기록'!$A$5:$A$500,"&gt;="&amp;$A24,'판매 기록'!$A$5:$A$500,"&lt;="&amp;$B24,'판매 기록'!$D$5:$D$500,"전문몰")</f>
        <v>0</v>
      </c>
      <c r="K24" s="9" t="n">
        <f aca="false">SUMIFS('판매 기록'!$E$5:$E$500,'판매 기록'!$A$5:$A$500,"&gt;="&amp;$A24,'판매 기록'!$A$5:$A$500,"&lt;="&amp;$B24,'판매 기록'!$D$5:$D$500,"코스모스몰")</f>
        <v>6</v>
      </c>
      <c r="L24" s="9" t="n">
        <f aca="false">SUMIFS('판매 기록'!$E$5:$E$500,'판매 기록'!$A$5:$A$500,"&gt;="&amp;$A24,'판매 기록'!$A$5:$A$500,"&lt;="&amp;$B24,'판매 기록'!$B$5:$B$500,"아트지")</f>
        <v>2</v>
      </c>
      <c r="M24" s="9" t="n">
        <f aca="false">SUMIFS('판매 기록'!$E$5:$E$500,'판매 기록'!$A$5:$A$500,"&gt;="&amp;$A24,'판매 기록'!$A$5:$A$500,"&lt;="&amp;$B24,'판매 기록'!$B$5:$B$500,"유포지")</f>
        <v>0</v>
      </c>
      <c r="N24" s="9" t="n">
        <f aca="false">SUMIFS('판매 기록'!$E$5:$E$500,'판매 기록'!$A$5:$A$500,"&gt;="&amp;$A24,'판매 기록'!$A$5:$A$500,"&lt;="&amp;$B24,'판매 기록'!$B$5:$B$500,"감열지")</f>
        <v>16</v>
      </c>
      <c r="O24" s="9" t="n">
        <f aca="false">COUNTIFS('판매 기록'!$A$5:$A$500,"&gt;="&amp;$A24,'판매 기록'!$A$5:$A$500,"&lt;="&amp;$B24,'판매 기록'!$D$5:$D$500,"전문몰")</f>
        <v>0</v>
      </c>
      <c r="P24" s="9" t="n">
        <f aca="false">E24-O24</f>
        <v>4</v>
      </c>
    </row>
    <row r="25" customFormat="false" ht="15" hidden="false" customHeight="false" outlineLevel="0" collapsed="false">
      <c r="C25" s="10" t="s">
        <v>18</v>
      </c>
      <c r="E25" s="8" t="n">
        <f aca="false">SUM(E5:E24)</f>
        <v>48</v>
      </c>
      <c r="F25" s="8" t="n">
        <f aca="false">SUM(F5:F24)</f>
        <v>228</v>
      </c>
      <c r="G25" s="8" t="n">
        <f aca="false">SUM(G5:G24)</f>
        <v>36</v>
      </c>
      <c r="H25" s="8" t="n">
        <f aca="false">SUM(H5:H24)</f>
        <v>61</v>
      </c>
      <c r="I25" s="8" t="n">
        <f aca="false">SUM(I5:I24)</f>
        <v>0</v>
      </c>
      <c r="J25" s="8" t="n">
        <f aca="false">SUM(J5:J24)</f>
        <v>125</v>
      </c>
      <c r="K25" s="8" t="n">
        <f aca="false">SUM(K5:K24)</f>
        <v>6</v>
      </c>
      <c r="L25" s="8" t="n">
        <f aca="false">SUM(L5:L24)</f>
        <v>71</v>
      </c>
      <c r="M25" s="8" t="n">
        <f aca="false">SUM(M5:M24)</f>
        <v>123</v>
      </c>
      <c r="N25" s="8" t="n">
        <f aca="false">SUM(N5:N24)</f>
        <v>34</v>
      </c>
      <c r="O25" s="8" t="n">
        <f aca="false">SUM(O5:O24)</f>
        <v>28</v>
      </c>
      <c r="P25" s="8" t="n">
        <f aca="false">SUM(P5:P24)</f>
        <v>20</v>
      </c>
    </row>
  </sheetData>
  <conditionalFormatting sqref="A5:P24">
    <cfRule type="expression" priority="2" aboveAverage="0" equalAverage="0" bottom="0" percent="0" rank="0" text="" dxfId="0">
      <formula>$D5&lt;&gt;""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10" min="7" style="0" width="8"/>
    <col collapsed="false" customWidth="true" hidden="false" outlineLevel="0" max="11" min="11" style="0" width="10"/>
    <col collapsed="false" customWidth="true" hidden="false" outlineLevel="0" max="16" min="12" style="0" width="8"/>
  </cols>
  <sheetData>
    <row r="1" customFormat="false" ht="20.1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5" t="n">
        <v>46143</v>
      </c>
      <c r="B5" s="5" t="n">
        <v>46173</v>
      </c>
      <c r="C5" s="6" t="str">
        <f aca="false">MONTH(A5)&amp;"월"</f>
        <v>5월</v>
      </c>
      <c r="D5" s="7" t="str">
        <f aca="false">IF(AND('광고 효과'!$C$5&gt;=A5,'광고 효과'!$C$5&lt;=B5),"광고 시작",IF(A5&gt;'광고 효과'!$C$5,"광고 중",""))</f>
        <v/>
      </c>
      <c r="E5" s="8" t="n">
        <f aca="false">COUNTIFS('판매 기록'!$A$5:$A$500,"&gt;="&amp;$A5,'판매 기록'!$A$5:$A$500,"&lt;="&amp;$B5)</f>
        <v>2</v>
      </c>
      <c r="F5" s="8" t="n">
        <f aca="false">SUMIFS('판매 기록'!$E$5:$E$500,'판매 기록'!$A$5:$A$500,"&gt;="&amp;$A5,'판매 기록'!$A$5:$A$500,"&lt;="&amp;$B5)</f>
        <v>70</v>
      </c>
      <c r="G5" s="9" t="n">
        <f aca="false">SUMIFS('판매 기록'!$E$5:$E$500,'판매 기록'!$A$5:$A$500,"&gt;="&amp;$A5,'판매 기록'!$A$5:$A$500,"&lt;="&amp;$B5,'판매 기록'!$D$5:$D$500,"쿠팡")</f>
        <v>0</v>
      </c>
      <c r="H5" s="9" t="n">
        <f aca="false">SUMIFS('판매 기록'!$E$5:$E$500,'판매 기록'!$A$5:$A$500,"&gt;="&amp;$A5,'판매 기록'!$A$5:$A$500,"&lt;="&amp;$B5,'판매 기록'!$D$5:$D$500,"지마켓")</f>
        <v>20</v>
      </c>
      <c r="I5" s="9" t="n">
        <f aca="false">SUMIFS('판매 기록'!$E$5:$E$500,'판매 기록'!$A$5:$A$500,"&gt;="&amp;$A5,'판매 기록'!$A$5:$A$500,"&lt;="&amp;$B5,'판매 기록'!$D$5:$D$500,"11번가")</f>
        <v>0</v>
      </c>
      <c r="J5" s="9" t="n">
        <f aca="false">SUMIFS('판매 기록'!$E$5:$E$500,'판매 기록'!$A$5:$A$500,"&gt;="&amp;$A5,'판매 기록'!$A$5:$A$500,"&lt;="&amp;$B5,'판매 기록'!$D$5:$D$500,"전문몰")</f>
        <v>50</v>
      </c>
      <c r="K5" s="9" t="n">
        <f aca="false">SUMIFS('판매 기록'!$E$5:$E$500,'판매 기록'!$A$5:$A$500,"&gt;="&amp;$A5,'판매 기록'!$A$5:$A$500,"&lt;="&amp;$B5,'판매 기록'!$D$5:$D$500,"코스모스몰")</f>
        <v>0</v>
      </c>
      <c r="L5" s="9" t="n">
        <f aca="false">SUMIFS('판매 기록'!$E$5:$E$500,'판매 기록'!$A$5:$A$500,"&gt;="&amp;$A5,'판매 기록'!$A$5:$A$500,"&lt;="&amp;$B5,'판매 기록'!$B$5:$B$500,"아트지")</f>
        <v>20</v>
      </c>
      <c r="M5" s="9" t="n">
        <f aca="false">SUMIFS('판매 기록'!$E$5:$E$500,'판매 기록'!$A$5:$A$500,"&gt;="&amp;$A5,'판매 기록'!$A$5:$A$500,"&lt;="&amp;$B5,'판매 기록'!$B$5:$B$500,"유포지")</f>
        <v>50</v>
      </c>
      <c r="N5" s="9" t="n">
        <f aca="false">SUMIFS('판매 기록'!$E$5:$E$500,'판매 기록'!$A$5:$A$500,"&gt;="&amp;$A5,'판매 기록'!$A$5:$A$500,"&lt;="&amp;$B5,'판매 기록'!$B$5:$B$500,"감열지")</f>
        <v>0</v>
      </c>
      <c r="O5" s="9" t="n">
        <f aca="false">COUNTIFS('판매 기록'!$A$5:$A$500,"&gt;="&amp;$A5,'판매 기록'!$A$5:$A$500,"&lt;="&amp;$B5,'판매 기록'!$D$5:$D$500,"전문몰")</f>
        <v>1</v>
      </c>
      <c r="P5" s="9" t="n">
        <f aca="false">E5-O5</f>
        <v>1</v>
      </c>
    </row>
    <row r="6" customFormat="false" ht="15" hidden="false" customHeight="false" outlineLevel="0" collapsed="false">
      <c r="A6" s="5" t="n">
        <v>46174</v>
      </c>
      <c r="B6" s="5" t="n">
        <v>46203</v>
      </c>
      <c r="C6" s="6" t="str">
        <f aca="false">MONTH(A6)&amp;"월"</f>
        <v>6월</v>
      </c>
      <c r="D6" s="7" t="str">
        <f aca="false">IF(AND('광고 효과'!$C$5&gt;=A6,'광고 효과'!$C$5&lt;=B6),"광고 시작",IF(A6&gt;'광고 효과'!$C$5,"광고 중",""))</f>
        <v/>
      </c>
      <c r="E6" s="8" t="n">
        <f aca="false">COUNTIFS('판매 기록'!$A$5:$A$500,"&gt;="&amp;$A6,'판매 기록'!$A$5:$A$500,"&lt;="&amp;$B6)</f>
        <v>6</v>
      </c>
      <c r="F6" s="8" t="n">
        <f aca="false">SUMIFS('판매 기록'!$E$5:$E$500,'판매 기록'!$A$5:$A$500,"&gt;="&amp;$A6,'판매 기록'!$A$5:$A$500,"&lt;="&amp;$B6)</f>
        <v>27</v>
      </c>
      <c r="G6" s="9" t="n">
        <f aca="false">SUMIFS('판매 기록'!$E$5:$E$500,'판매 기록'!$A$5:$A$500,"&gt;="&amp;$A6,'판매 기록'!$A$5:$A$500,"&lt;="&amp;$B6,'판매 기록'!$D$5:$D$500,"쿠팡")</f>
        <v>0</v>
      </c>
      <c r="H6" s="9" t="n">
        <f aca="false">SUMIFS('판매 기록'!$E$5:$E$500,'판매 기록'!$A$5:$A$500,"&gt;="&amp;$A6,'판매 기록'!$A$5:$A$500,"&lt;="&amp;$B6,'판매 기록'!$D$5:$D$500,"지마켓")</f>
        <v>0</v>
      </c>
      <c r="I6" s="9" t="n">
        <f aca="false">SUMIFS('판매 기록'!$E$5:$E$500,'판매 기록'!$A$5:$A$500,"&gt;="&amp;$A6,'판매 기록'!$A$5:$A$500,"&lt;="&amp;$B6,'판매 기록'!$D$5:$D$500,"11번가")</f>
        <v>0</v>
      </c>
      <c r="J6" s="9" t="n">
        <f aca="false">SUMIFS('판매 기록'!$E$5:$E$500,'판매 기록'!$A$5:$A$500,"&gt;="&amp;$A6,'판매 기록'!$A$5:$A$500,"&lt;="&amp;$B6,'판매 기록'!$D$5:$D$500,"전문몰")</f>
        <v>27</v>
      </c>
      <c r="K6" s="9" t="n">
        <f aca="false">SUMIFS('판매 기록'!$E$5:$E$500,'판매 기록'!$A$5:$A$500,"&gt;="&amp;$A6,'판매 기록'!$A$5:$A$500,"&lt;="&amp;$B6,'판매 기록'!$D$5:$D$500,"코스모스몰")</f>
        <v>0</v>
      </c>
      <c r="L6" s="9" t="n">
        <f aca="false">SUMIFS('판매 기록'!$E$5:$E$500,'판매 기록'!$A$5:$A$500,"&gt;="&amp;$A6,'판매 기록'!$A$5:$A$500,"&lt;="&amp;$B6,'판매 기록'!$B$5:$B$500,"아트지")</f>
        <v>10</v>
      </c>
      <c r="M6" s="9" t="n">
        <f aca="false">SUMIFS('판매 기록'!$E$5:$E$500,'판매 기록'!$A$5:$A$500,"&gt;="&amp;$A6,'판매 기록'!$A$5:$A$500,"&lt;="&amp;$B6,'판매 기록'!$B$5:$B$500,"유포지")</f>
        <v>17</v>
      </c>
      <c r="N6" s="9" t="n">
        <f aca="false">SUMIFS('판매 기록'!$E$5:$E$500,'판매 기록'!$A$5:$A$500,"&gt;="&amp;$A6,'판매 기록'!$A$5:$A$500,"&lt;="&amp;$B6,'판매 기록'!$B$5:$B$500,"감열지")</f>
        <v>0</v>
      </c>
      <c r="O6" s="9" t="n">
        <f aca="false">COUNTIFS('판매 기록'!$A$5:$A$500,"&gt;="&amp;$A6,'판매 기록'!$A$5:$A$500,"&lt;="&amp;$B6,'판매 기록'!$D$5:$D$500,"전문몰")</f>
        <v>6</v>
      </c>
      <c r="P6" s="9" t="n">
        <f aca="false">E6-O6</f>
        <v>0</v>
      </c>
    </row>
    <row r="7" customFormat="false" ht="15" hidden="false" customHeight="false" outlineLevel="0" collapsed="false">
      <c r="A7" s="5" t="n">
        <v>46204</v>
      </c>
      <c r="B7" s="5" t="n">
        <v>46234</v>
      </c>
      <c r="C7" s="6" t="str">
        <f aca="false">MONTH(A7)&amp;"월"</f>
        <v>7월</v>
      </c>
      <c r="D7" s="7" t="str">
        <f aca="false">IF(AND('광고 효과'!$C$5&gt;=A7,'광고 효과'!$C$5&lt;=B7),"광고 시작",IF(A7&gt;'광고 효과'!$C$5,"광고 중",""))</f>
        <v/>
      </c>
      <c r="E7" s="8" t="n">
        <f aca="false">COUNTIFS('판매 기록'!$A$5:$A$500,"&gt;="&amp;$A7,'판매 기록'!$A$5:$A$500,"&lt;="&amp;$B7)</f>
        <v>2</v>
      </c>
      <c r="F7" s="8" t="n">
        <f aca="false">SUMIFS('판매 기록'!$E$5:$E$500,'판매 기록'!$A$5:$A$500,"&gt;="&amp;$A7,'판매 기록'!$A$5:$A$500,"&lt;="&amp;$B7)</f>
        <v>2</v>
      </c>
      <c r="G7" s="9" t="n">
        <f aca="false">SUMIFS('판매 기록'!$E$5:$E$500,'판매 기록'!$A$5:$A$500,"&gt;="&amp;$A7,'판매 기록'!$A$5:$A$500,"&lt;="&amp;$B7,'판매 기록'!$D$5:$D$500,"쿠팡")</f>
        <v>2</v>
      </c>
      <c r="H7" s="9" t="n">
        <f aca="false">SUMIFS('판매 기록'!$E$5:$E$500,'판매 기록'!$A$5:$A$500,"&gt;="&amp;$A7,'판매 기록'!$A$5:$A$500,"&lt;="&amp;$B7,'판매 기록'!$D$5:$D$500,"지마켓")</f>
        <v>0</v>
      </c>
      <c r="I7" s="9" t="n">
        <f aca="false">SUMIFS('판매 기록'!$E$5:$E$500,'판매 기록'!$A$5:$A$500,"&gt;="&amp;$A7,'판매 기록'!$A$5:$A$500,"&lt;="&amp;$B7,'판매 기록'!$D$5:$D$500,"11번가")</f>
        <v>0</v>
      </c>
      <c r="J7" s="9" t="n">
        <f aca="false">SUMIFS('판매 기록'!$E$5:$E$500,'판매 기록'!$A$5:$A$500,"&gt;="&amp;$A7,'판매 기록'!$A$5:$A$500,"&lt;="&amp;$B7,'판매 기록'!$D$5:$D$500,"전문몰")</f>
        <v>0</v>
      </c>
      <c r="K7" s="9" t="n">
        <f aca="false">SUMIFS('판매 기록'!$E$5:$E$500,'판매 기록'!$A$5:$A$500,"&gt;="&amp;$A7,'판매 기록'!$A$5:$A$500,"&lt;="&amp;$B7,'판매 기록'!$D$5:$D$500,"코스모스몰")</f>
        <v>0</v>
      </c>
      <c r="L7" s="9" t="n">
        <f aca="false">SUMIFS('판매 기록'!$E$5:$E$500,'판매 기록'!$A$5:$A$500,"&gt;="&amp;$A7,'판매 기록'!$A$5:$A$500,"&lt;="&amp;$B7,'판매 기록'!$B$5:$B$500,"아트지")</f>
        <v>0</v>
      </c>
      <c r="M7" s="9" t="n">
        <f aca="false">SUMIFS('판매 기록'!$E$5:$E$500,'판매 기록'!$A$5:$A$500,"&gt;="&amp;$A7,'판매 기록'!$A$5:$A$500,"&lt;="&amp;$B7,'판매 기록'!$B$5:$B$500,"유포지")</f>
        <v>2</v>
      </c>
      <c r="N7" s="9" t="n">
        <f aca="false">SUMIFS('판매 기록'!$E$5:$E$500,'판매 기록'!$A$5:$A$500,"&gt;="&amp;$A7,'판매 기록'!$A$5:$A$500,"&lt;="&amp;$B7,'판매 기록'!$B$5:$B$500,"감열지")</f>
        <v>0</v>
      </c>
      <c r="O7" s="9" t="n">
        <f aca="false">COUNTIFS('판매 기록'!$A$5:$A$500,"&gt;="&amp;$A7,'판매 기록'!$A$5:$A$500,"&lt;="&amp;$B7,'판매 기록'!$D$5:$D$500,"전문몰")</f>
        <v>0</v>
      </c>
      <c r="P7" s="9" t="n">
        <f aca="false">E7-O7</f>
        <v>2</v>
      </c>
    </row>
    <row r="8" customFormat="false" ht="15" hidden="false" customHeight="false" outlineLevel="0" collapsed="false">
      <c r="A8" s="5" t="n">
        <v>46235</v>
      </c>
      <c r="B8" s="5" t="n">
        <v>46265</v>
      </c>
      <c r="C8" s="6" t="str">
        <f aca="false">MONTH(A8)&amp;"월"</f>
        <v>8월</v>
      </c>
      <c r="D8" s="7" t="str">
        <f aca="false">IF(AND('광고 효과'!$C$5&gt;=A8,'광고 효과'!$C$5&lt;=B8),"광고 시작",IF(A8&gt;'광고 효과'!$C$5,"광고 중",""))</f>
        <v/>
      </c>
      <c r="E8" s="8" t="n">
        <f aca="false">COUNTIFS('판매 기록'!$A$5:$A$500,"&gt;="&amp;$A8,'판매 기록'!$A$5:$A$500,"&lt;="&amp;$B8)</f>
        <v>16</v>
      </c>
      <c r="F8" s="8" t="n">
        <f aca="false">SUMIFS('판매 기록'!$E$5:$E$500,'판매 기록'!$A$5:$A$500,"&gt;="&amp;$A8,'판매 기록'!$A$5:$A$500,"&lt;="&amp;$B8)</f>
        <v>68</v>
      </c>
      <c r="G8" s="9" t="n">
        <f aca="false">SUMIFS('판매 기록'!$E$5:$E$500,'판매 기록'!$A$5:$A$500,"&gt;="&amp;$A8,'판매 기록'!$A$5:$A$500,"&lt;="&amp;$B8,'판매 기록'!$D$5:$D$500,"쿠팡")</f>
        <v>6</v>
      </c>
      <c r="H8" s="9" t="n">
        <f aca="false">SUMIFS('판매 기록'!$E$5:$E$500,'판매 기록'!$A$5:$A$500,"&gt;="&amp;$A8,'판매 기록'!$A$5:$A$500,"&lt;="&amp;$B8,'판매 기록'!$D$5:$D$500,"지마켓")</f>
        <v>40</v>
      </c>
      <c r="I8" s="9" t="n">
        <f aca="false">SUMIFS('판매 기록'!$E$5:$E$500,'판매 기록'!$A$5:$A$500,"&gt;="&amp;$A8,'판매 기록'!$A$5:$A$500,"&lt;="&amp;$B8,'판매 기록'!$D$5:$D$500,"11번가")</f>
        <v>0</v>
      </c>
      <c r="J8" s="9" t="n">
        <f aca="false">SUMIFS('판매 기록'!$E$5:$E$500,'판매 기록'!$A$5:$A$500,"&gt;="&amp;$A8,'판매 기록'!$A$5:$A$500,"&lt;="&amp;$B8,'판매 기록'!$D$5:$D$500,"전문몰")</f>
        <v>22</v>
      </c>
      <c r="K8" s="9" t="n">
        <f aca="false">SUMIFS('판매 기록'!$E$5:$E$500,'판매 기록'!$A$5:$A$500,"&gt;="&amp;$A8,'판매 기록'!$A$5:$A$500,"&lt;="&amp;$B8,'판매 기록'!$D$5:$D$500,"코스모스몰")</f>
        <v>0</v>
      </c>
      <c r="L8" s="9" t="n">
        <f aca="false">SUMIFS('판매 기록'!$E$5:$E$500,'판매 기록'!$A$5:$A$500,"&gt;="&amp;$A8,'판매 기록'!$A$5:$A$500,"&lt;="&amp;$B8,'판매 기록'!$B$5:$B$500,"아트지")</f>
        <v>8</v>
      </c>
      <c r="M8" s="9" t="n">
        <f aca="false">SUMIFS('판매 기록'!$E$5:$E$500,'판매 기록'!$A$5:$A$500,"&gt;="&amp;$A8,'판매 기록'!$A$5:$A$500,"&lt;="&amp;$B8,'판매 기록'!$B$5:$B$500,"유포지")</f>
        <v>43</v>
      </c>
      <c r="N8" s="9" t="n">
        <f aca="false">SUMIFS('판매 기록'!$E$5:$E$500,'판매 기록'!$A$5:$A$500,"&gt;="&amp;$A8,'판매 기록'!$A$5:$A$500,"&lt;="&amp;$B8,'판매 기록'!$B$5:$B$500,"감열지")</f>
        <v>17</v>
      </c>
      <c r="O8" s="9" t="n">
        <f aca="false">COUNTIFS('판매 기록'!$A$5:$A$500,"&gt;="&amp;$A8,'판매 기록'!$A$5:$A$500,"&lt;="&amp;$B8,'판매 기록'!$D$5:$D$500,"전문몰")</f>
        <v>9</v>
      </c>
      <c r="P8" s="9" t="n">
        <f aca="false">E8-O8</f>
        <v>7</v>
      </c>
    </row>
    <row r="9" customFormat="false" ht="15" hidden="false" customHeight="false" outlineLevel="0" collapsed="false">
      <c r="A9" s="5" t="n">
        <v>46266</v>
      </c>
      <c r="B9" s="5" t="n">
        <v>46295</v>
      </c>
      <c r="C9" s="6" t="str">
        <f aca="false">MONTH(A9)&amp;"월"</f>
        <v>9월</v>
      </c>
      <c r="D9" s="7" t="str">
        <f aca="false">IF(AND('광고 효과'!$C$5&gt;=A9,'광고 효과'!$C$5&lt;=B9),"광고 시작",IF(A9&gt;'광고 효과'!$C$5,"광고 중",""))</f>
        <v>광고 시작</v>
      </c>
      <c r="E9" s="8" t="n">
        <f aca="false">COUNTIFS('판매 기록'!$A$5:$A$500,"&gt;="&amp;$A9,'판매 기록'!$A$5:$A$500,"&lt;="&amp;$B9)</f>
        <v>16</v>
      </c>
      <c r="F9" s="8" t="n">
        <f aca="false">SUMIFS('판매 기록'!$E$5:$E$500,'판매 기록'!$A$5:$A$500,"&gt;="&amp;$A9,'판매 기록'!$A$5:$A$500,"&lt;="&amp;$B9)</f>
        <v>30</v>
      </c>
      <c r="G9" s="9" t="n">
        <f aca="false">SUMIFS('판매 기록'!$E$5:$E$500,'판매 기록'!$A$5:$A$500,"&gt;="&amp;$A9,'판매 기록'!$A$5:$A$500,"&lt;="&amp;$B9,'판매 기록'!$D$5:$D$500,"쿠팡")</f>
        <v>4</v>
      </c>
      <c r="H9" s="9" t="n">
        <f aca="false">SUMIFS('판매 기록'!$E$5:$E$500,'판매 기록'!$A$5:$A$500,"&gt;="&amp;$A9,'판매 기록'!$A$5:$A$500,"&lt;="&amp;$B9,'판매 기록'!$D$5:$D$500,"지마켓")</f>
        <v>1</v>
      </c>
      <c r="I9" s="9" t="n">
        <f aca="false">SUMIFS('판매 기록'!$E$5:$E$500,'판매 기록'!$A$5:$A$500,"&gt;="&amp;$A9,'판매 기록'!$A$5:$A$500,"&lt;="&amp;$B9,'판매 기록'!$D$5:$D$500,"11번가")</f>
        <v>0</v>
      </c>
      <c r="J9" s="9" t="n">
        <f aca="false">SUMIFS('판매 기록'!$E$5:$E$500,'판매 기록'!$A$5:$A$500,"&gt;="&amp;$A9,'판매 기록'!$A$5:$A$500,"&lt;="&amp;$B9,'판매 기록'!$D$5:$D$500,"전문몰")</f>
        <v>25</v>
      </c>
      <c r="K9" s="9" t="n">
        <f aca="false">SUMIFS('판매 기록'!$E$5:$E$500,'판매 기록'!$A$5:$A$500,"&gt;="&amp;$A9,'판매 기록'!$A$5:$A$500,"&lt;="&amp;$B9,'판매 기록'!$D$5:$D$500,"코스모스몰")</f>
        <v>0</v>
      </c>
      <c r="L9" s="9" t="n">
        <f aca="false">SUMIFS('판매 기록'!$E$5:$E$500,'판매 기록'!$A$5:$A$500,"&gt;="&amp;$A9,'판매 기록'!$A$5:$A$500,"&lt;="&amp;$B9,'판매 기록'!$B$5:$B$500,"아트지")</f>
        <v>19</v>
      </c>
      <c r="M9" s="9" t="n">
        <f aca="false">SUMIFS('판매 기록'!$E$5:$E$500,'판매 기록'!$A$5:$A$500,"&gt;="&amp;$A9,'판매 기록'!$A$5:$A$500,"&lt;="&amp;$B9,'판매 기록'!$B$5:$B$500,"유포지")</f>
        <v>10</v>
      </c>
      <c r="N9" s="9" t="n">
        <f aca="false">SUMIFS('판매 기록'!$E$5:$E$500,'판매 기록'!$A$5:$A$500,"&gt;="&amp;$A9,'판매 기록'!$A$5:$A$500,"&lt;="&amp;$B9,'판매 기록'!$B$5:$B$500,"감열지")</f>
        <v>1</v>
      </c>
      <c r="O9" s="9" t="n">
        <f aca="false">COUNTIFS('판매 기록'!$A$5:$A$500,"&gt;="&amp;$A9,'판매 기록'!$A$5:$A$500,"&lt;="&amp;$B9,'판매 기록'!$D$5:$D$500,"전문몰")</f>
        <v>11</v>
      </c>
      <c r="P9" s="9" t="n">
        <f aca="false">E9-O9</f>
        <v>5</v>
      </c>
    </row>
    <row r="10" customFormat="false" ht="15" hidden="false" customHeight="false" outlineLevel="0" collapsed="false">
      <c r="A10" s="5" t="n">
        <v>46296</v>
      </c>
      <c r="B10" s="5" t="n">
        <v>46326</v>
      </c>
      <c r="C10" s="6" t="str">
        <f aca="false">MONTH(A10)&amp;"월"</f>
        <v>10월</v>
      </c>
      <c r="D10" s="7" t="str">
        <f aca="false">IF(AND('광고 효과'!$C$5&gt;=A10,'광고 효과'!$C$5&lt;=B10),"광고 시작",IF(A10&gt;'광고 효과'!$C$5,"광고 중",""))</f>
        <v>광고 중</v>
      </c>
      <c r="E10" s="8" t="n">
        <f aca="false">COUNTIFS('판매 기록'!$A$5:$A$500,"&gt;="&amp;$A10,'판매 기록'!$A$5:$A$500,"&lt;="&amp;$B10)</f>
        <v>6</v>
      </c>
      <c r="F10" s="8" t="n">
        <f aca="false">SUMIFS('판매 기록'!$E$5:$E$500,'판매 기록'!$A$5:$A$500,"&gt;="&amp;$A10,'판매 기록'!$A$5:$A$500,"&lt;="&amp;$B10)</f>
        <v>31</v>
      </c>
      <c r="G10" s="9" t="n">
        <f aca="false">SUMIFS('판매 기록'!$E$5:$E$500,'판매 기록'!$A$5:$A$500,"&gt;="&amp;$A10,'판매 기록'!$A$5:$A$500,"&lt;="&amp;$B10,'판매 기록'!$D$5:$D$500,"쿠팡")</f>
        <v>24</v>
      </c>
      <c r="H10" s="9" t="n">
        <f aca="false">SUMIFS('판매 기록'!$E$5:$E$500,'판매 기록'!$A$5:$A$500,"&gt;="&amp;$A10,'판매 기록'!$A$5:$A$500,"&lt;="&amp;$B10,'판매 기록'!$D$5:$D$500,"지마켓")</f>
        <v>0</v>
      </c>
      <c r="I10" s="9" t="n">
        <f aca="false">SUMIFS('판매 기록'!$E$5:$E$500,'판매 기록'!$A$5:$A$500,"&gt;="&amp;$A10,'판매 기록'!$A$5:$A$500,"&lt;="&amp;$B10,'판매 기록'!$D$5:$D$500,"11번가")</f>
        <v>0</v>
      </c>
      <c r="J10" s="9" t="n">
        <f aca="false">SUMIFS('판매 기록'!$E$5:$E$500,'판매 기록'!$A$5:$A$500,"&gt;="&amp;$A10,'판매 기록'!$A$5:$A$500,"&lt;="&amp;$B10,'판매 기록'!$D$5:$D$500,"전문몰")</f>
        <v>1</v>
      </c>
      <c r="K10" s="9" t="n">
        <f aca="false">SUMIFS('판매 기록'!$E$5:$E$500,'판매 기록'!$A$5:$A$500,"&gt;="&amp;$A10,'판매 기록'!$A$5:$A$500,"&lt;="&amp;$B10,'판매 기록'!$D$5:$D$500,"코스모스몰")</f>
        <v>6</v>
      </c>
      <c r="L10" s="9" t="n">
        <f aca="false">SUMIFS('판매 기록'!$E$5:$E$500,'판매 기록'!$A$5:$A$500,"&gt;="&amp;$A10,'판매 기록'!$A$5:$A$500,"&lt;="&amp;$B10,'판매 기록'!$B$5:$B$500,"아트지")</f>
        <v>14</v>
      </c>
      <c r="M10" s="9" t="n">
        <f aca="false">SUMIFS('판매 기록'!$E$5:$E$500,'판매 기록'!$A$5:$A$500,"&gt;="&amp;$A10,'판매 기록'!$A$5:$A$500,"&lt;="&amp;$B10,'판매 기록'!$B$5:$B$500,"유포지")</f>
        <v>1</v>
      </c>
      <c r="N10" s="9" t="n">
        <f aca="false">SUMIFS('판매 기록'!$E$5:$E$500,'판매 기록'!$A$5:$A$500,"&gt;="&amp;$A10,'판매 기록'!$A$5:$A$500,"&lt;="&amp;$B10,'판매 기록'!$B$5:$B$500,"감열지")</f>
        <v>16</v>
      </c>
      <c r="O10" s="9" t="n">
        <f aca="false">COUNTIFS('판매 기록'!$A$5:$A$500,"&gt;="&amp;$A10,'판매 기록'!$A$5:$A$500,"&lt;="&amp;$B10,'판매 기록'!$D$5:$D$500,"전문몰")</f>
        <v>1</v>
      </c>
      <c r="P10" s="9" t="n">
        <f aca="false">E10-O10</f>
        <v>5</v>
      </c>
    </row>
    <row r="11" customFormat="false" ht="15" hidden="false" customHeight="false" outlineLevel="0" collapsed="false">
      <c r="C11" s="10" t="s">
        <v>18</v>
      </c>
      <c r="E11" s="8" t="n">
        <f aca="false">SUM(E5:E10)</f>
        <v>48</v>
      </c>
      <c r="F11" s="8" t="n">
        <f aca="false">SUM(F5:F10)</f>
        <v>228</v>
      </c>
      <c r="G11" s="8" t="n">
        <f aca="false">SUM(G5:G10)</f>
        <v>36</v>
      </c>
      <c r="H11" s="8" t="n">
        <f aca="false">SUM(H5:H10)</f>
        <v>61</v>
      </c>
      <c r="I11" s="8" t="n">
        <f aca="false">SUM(I5:I10)</f>
        <v>0</v>
      </c>
      <c r="J11" s="8" t="n">
        <f aca="false">SUM(J5:J10)</f>
        <v>125</v>
      </c>
      <c r="K11" s="8" t="n">
        <f aca="false">SUM(K5:K10)</f>
        <v>6</v>
      </c>
      <c r="L11" s="8" t="n">
        <f aca="false">SUM(L5:L10)</f>
        <v>71</v>
      </c>
      <c r="M11" s="8" t="n">
        <f aca="false">SUM(M5:M10)</f>
        <v>123</v>
      </c>
      <c r="N11" s="8" t="n">
        <f aca="false">SUM(N5:N10)</f>
        <v>34</v>
      </c>
      <c r="O11" s="8" t="n">
        <f aca="false">SUM(O5:O10)</f>
        <v>28</v>
      </c>
      <c r="P11" s="8" t="n">
        <f aca="false">SUM(P5:P10)</f>
        <v>20</v>
      </c>
    </row>
  </sheetData>
  <conditionalFormatting sqref="A5:P10">
    <cfRule type="expression" priority="2" aboveAverage="0" equalAverage="0" bottom="0" percent="0" rank="0" text="" dxfId="0">
      <formula>$D5&lt;&gt;""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7" min="3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14"/>
  </cols>
  <sheetData>
    <row r="1" customFormat="false" ht="18.5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11" t="s">
        <v>22</v>
      </c>
      <c r="B4" s="12"/>
      <c r="C4" s="13" t="s">
        <v>23</v>
      </c>
      <c r="D4" s="13" t="s">
        <v>24</v>
      </c>
      <c r="E4" s="13" t="s">
        <v>25</v>
      </c>
    </row>
    <row r="5" customFormat="false" ht="15" hidden="false" customHeight="false" outlineLevel="0" collapsed="false">
      <c r="A5" s="14" t="s">
        <v>26</v>
      </c>
      <c r="C5" s="15" t="n">
        <v>46293</v>
      </c>
      <c r="D5" s="15" t="n">
        <v>46302</v>
      </c>
      <c r="E5" s="16" t="n">
        <f aca="false">D5-C5+1</f>
        <v>10</v>
      </c>
      <c r="F5" s="2" t="s">
        <v>27</v>
      </c>
    </row>
    <row r="6" customFormat="false" ht="15" hidden="false" customHeight="false" outlineLevel="0" collapsed="false">
      <c r="A6" s="14" t="s">
        <v>28</v>
      </c>
      <c r="C6" s="17" t="n">
        <f aca="false">C5-56</f>
        <v>46237</v>
      </c>
      <c r="D6" s="17" t="n">
        <f aca="false">C5-1</f>
        <v>46292</v>
      </c>
      <c r="E6" s="16" t="n">
        <f aca="false">D6-C6+1</f>
        <v>56</v>
      </c>
    </row>
    <row r="8" customFormat="false" ht="30" hidden="false" customHeight="true" outlineLevel="0" collapsed="false">
      <c r="A8" s="3" t="s">
        <v>22</v>
      </c>
      <c r="B8" s="3"/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35</v>
      </c>
      <c r="J8" s="3" t="s">
        <v>36</v>
      </c>
      <c r="K8" s="3" t="s">
        <v>37</v>
      </c>
      <c r="L8" s="3" t="s">
        <v>35</v>
      </c>
    </row>
    <row r="9" customFormat="false" ht="15" hidden="false" customHeight="false" outlineLevel="0" collapsed="false">
      <c r="A9" s="14" t="s">
        <v>38</v>
      </c>
      <c r="B9" s="14"/>
      <c r="C9" s="9" t="n">
        <f aca="false">COUNTIFS('판매 기록'!$A$5:$A$500,"&gt;="&amp;$C$6,'판매 기록'!$A$5:$A$500,"&lt;="&amp;$D$6,'판매 기록'!$D$5:$D$500,"전문몰")</f>
        <v>17</v>
      </c>
      <c r="D9" s="9" t="n">
        <f aca="false">SUMIFS('판매 기록'!$E$5:$E$500,'판매 기록'!$A$5:$A$500,"&gt;="&amp;$C$6,'판매 기록'!$A$5:$A$500,"&lt;="&amp;$D$6,'판매 기록'!$D$5:$D$500,"전문몰")</f>
        <v>40</v>
      </c>
      <c r="E9" s="8" t="n">
        <f aca="false">COUNTIFS('판매 기록'!$A$5:$A$500,"&gt;="&amp;$C$5,'판매 기록'!$A$5:$A$500,"&lt;="&amp;$D$5,'판매 기록'!$D$5:$D$500,"전문몰")</f>
        <v>4</v>
      </c>
      <c r="F9" s="8" t="n">
        <f aca="false">SUMIFS('판매 기록'!$E$5:$E$500,'판매 기록'!$A$5:$A$500,"&gt;="&amp;$C$5,'판매 기록'!$A$5:$A$500,"&lt;="&amp;$D$5,'판매 기록'!$D$5:$D$500,"전문몰")</f>
        <v>8</v>
      </c>
      <c r="G9" s="18" t="n">
        <f aca="false">C9/$E$6*7</f>
        <v>2.125</v>
      </c>
      <c r="H9" s="19" t="n">
        <f aca="false">E9/$E$5*7</f>
        <v>2.8</v>
      </c>
      <c r="I9" s="20" t="n">
        <f aca="false">IF(G9=0,"-",H9/G9-1)</f>
        <v>0.31764705882353</v>
      </c>
      <c r="J9" s="18" t="n">
        <f aca="false">D9/$E$6*7</f>
        <v>5</v>
      </c>
      <c r="K9" s="19" t="n">
        <f aca="false">F9/$E$5*7</f>
        <v>5.6</v>
      </c>
      <c r="L9" s="20" t="n">
        <f aca="false">IF(J9=0,"-",K9/J9-1)</f>
        <v>0.12</v>
      </c>
    </row>
    <row r="10" customFormat="false" ht="15" hidden="false" customHeight="false" outlineLevel="0" collapsed="false">
      <c r="A10" s="14" t="s">
        <v>39</v>
      </c>
      <c r="B10" s="14"/>
      <c r="C10" s="9" t="n">
        <f aca="false">COUNTIFS('판매 기록'!$A$5:$A$500,"&gt;="&amp;$C$6,'판매 기록'!$A$5:$A$500,"&lt;="&amp;$D$6,'판매 기록'!$D$5:$D$500,"&lt;&gt;전문몰")</f>
        <v>11</v>
      </c>
      <c r="D10" s="9" t="n">
        <f aca="false">SUMIFS('판매 기록'!$E$5:$E$500,'판매 기록'!$A$5:$A$500,"&gt;="&amp;$C$6,'판매 기록'!$A$5:$A$500,"&lt;="&amp;$D$6,'판매 기록'!$D$5:$D$500,"&lt;&gt;전문몰")</f>
        <v>50</v>
      </c>
      <c r="E10" s="8" t="n">
        <f aca="false">COUNTIFS('판매 기록'!$A$5:$A$500,"&gt;="&amp;$C$5,'판매 기록'!$A$5:$A$500,"&lt;="&amp;$D$5,'판매 기록'!$D$5:$D$500,"&lt;&gt;전문몰")</f>
        <v>6</v>
      </c>
      <c r="F10" s="8" t="n">
        <f aca="false">SUMIFS('판매 기록'!$E$5:$E$500,'판매 기록'!$A$5:$A$500,"&gt;="&amp;$C$5,'판매 기록'!$A$5:$A$500,"&lt;="&amp;$D$5,'판매 기록'!$D$5:$D$500,"&lt;&gt;전문몰")</f>
        <v>31</v>
      </c>
      <c r="G10" s="18" t="n">
        <f aca="false">C10/$E$6*7</f>
        <v>1.375</v>
      </c>
      <c r="H10" s="19" t="n">
        <f aca="false">E10/$E$5*7</f>
        <v>4.2</v>
      </c>
      <c r="I10" s="20" t="n">
        <f aca="false">IF(G10=0,"-",H10/G10-1)</f>
        <v>2.05454545454545</v>
      </c>
      <c r="J10" s="18" t="n">
        <f aca="false">D10/$E$6*7</f>
        <v>6.25</v>
      </c>
      <c r="K10" s="19" t="n">
        <f aca="false">F10/$E$5*7</f>
        <v>21.7</v>
      </c>
      <c r="L10" s="20" t="n">
        <f aca="false">IF(J10=0,"-",K10/J10-1)</f>
        <v>2.472</v>
      </c>
    </row>
    <row r="11" customFormat="false" ht="15" hidden="false" customHeight="false" outlineLevel="0" collapsed="false">
      <c r="A11" s="14" t="s">
        <v>40</v>
      </c>
      <c r="B11" s="14"/>
      <c r="C11" s="9" t="n">
        <f aca="false">COUNTIFS('판매 기록'!$A$5:$A$500,"&gt;="&amp;$C$6,'판매 기록'!$A$5:$A$500,"&lt;="&amp;$D$6)</f>
        <v>28</v>
      </c>
      <c r="D11" s="9" t="n">
        <f aca="false">SUMIFS('판매 기록'!$E$5:$E$500,'판매 기록'!$A$5:$A$500,"&gt;="&amp;$C$6,'판매 기록'!$A$5:$A$500,"&lt;="&amp;$D$6)</f>
        <v>90</v>
      </c>
      <c r="E11" s="8" t="n">
        <f aca="false">COUNTIFS('판매 기록'!$A$5:$A$500,"&gt;="&amp;$C$5,'판매 기록'!$A$5:$A$500,"&lt;="&amp;$D$5)</f>
        <v>10</v>
      </c>
      <c r="F11" s="8" t="n">
        <f aca="false">SUMIFS('판매 기록'!$E$5:$E$500,'판매 기록'!$A$5:$A$500,"&gt;="&amp;$C$5,'판매 기록'!$A$5:$A$500,"&lt;="&amp;$D$5)</f>
        <v>39</v>
      </c>
      <c r="G11" s="18" t="n">
        <f aca="false">C11/$E$6*7</f>
        <v>3.5</v>
      </c>
      <c r="H11" s="19" t="n">
        <f aca="false">E11/$E$5*7</f>
        <v>7</v>
      </c>
      <c r="I11" s="20" t="n">
        <f aca="false">IF(G11=0,"-",H11/G11-1)</f>
        <v>1</v>
      </c>
      <c r="J11" s="18" t="n">
        <f aca="false">D11/$E$6*7</f>
        <v>11.25</v>
      </c>
      <c r="K11" s="19" t="n">
        <f aca="false">F11/$E$5*7</f>
        <v>27.3</v>
      </c>
      <c r="L11" s="20" t="n">
        <f aca="false">IF(J11=0,"-",K11/J11-1)</f>
        <v>1.42666666666667</v>
      </c>
    </row>
    <row r="13" customFormat="false" ht="15" hidden="false" customHeight="false" outlineLevel="0" collapsed="false">
      <c r="A13" s="21" t="s">
        <v>41</v>
      </c>
    </row>
    <row r="14" customFormat="false" ht="19.5" hidden="false" customHeight="true" outlineLevel="0" collapsed="false">
      <c r="A14" s="22" t="str">
        <f aca="false">IF(H9&gt;G9,"전문몰 판매가 주평균 "&amp;TEXT(G9,"0.0")&amp;"건 → "&amp;TEXT(H9,"0.0")&amp;"건으로 늘었습니다. ","전문몰 판매가 주평균 "&amp;TEXT(G9,"0.0")&amp;"건 → "&amp;TEXT(H9,"0.0")&amp;"건으로 늘지 않았습니다. ")&amp;IF(AND(H9&gt;G9,H10&gt;G10),"다만 광고하지 않은 판매처도 "&amp;TEXT(I10,"+0%")&amp;" 늘어서 광고 효과와 전체 수요 증가를 구분하기 어렵습니다. ",IF(H9&gt;G9,"그 외 판매처는 늘지 않아 광고 영향일 가능성이 있습니다. ",""))&amp;IF(E5&lt;28,"광고 기간이 "&amp;E5&amp;"일뿐이라 4주 이상 쌓인 뒤 다시 보는 것이 안전합니다.","")</f>
        <v>전문몰 판매가 주평균 2.1건 → 2.8건으로 늘었습니다. 다만 광고하지 않은 판매처도 +205% 늘어서 광고 효과와 전체 수요 증가를 구분하기 어렵습니다. 광고 기간이 10일뿐이라 4주 이상 쌓인 뒤 다시 보는 것이 안전합니다.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8" customFormat="false" ht="15" hidden="false" customHeight="false" outlineLevel="0" collapsed="false">
      <c r="A18" s="21" t="s">
        <v>42</v>
      </c>
    </row>
    <row r="19" customFormat="false" ht="30" hidden="false" customHeight="true" outlineLevel="0" collapsed="false">
      <c r="A19" s="3" t="s">
        <v>43</v>
      </c>
      <c r="B19" s="3" t="s">
        <v>44</v>
      </c>
      <c r="C19" s="3" t="s">
        <v>45</v>
      </c>
      <c r="D19" s="3" t="s">
        <v>46</v>
      </c>
      <c r="E19" s="3" t="s">
        <v>47</v>
      </c>
      <c r="F19" s="3" t="s">
        <v>48</v>
      </c>
      <c r="G19" s="3" t="s">
        <v>49</v>
      </c>
      <c r="H19" s="3" t="s">
        <v>50</v>
      </c>
      <c r="I19" s="3" t="s">
        <v>51</v>
      </c>
      <c r="J19" s="3" t="s">
        <v>52</v>
      </c>
      <c r="K19" s="3" t="s">
        <v>53</v>
      </c>
      <c r="L19" s="3" t="s">
        <v>54</v>
      </c>
    </row>
    <row r="20" customFormat="false" ht="15" hidden="false" customHeight="false" outlineLevel="0" collapsed="false">
      <c r="A20" s="14" t="s">
        <v>55</v>
      </c>
      <c r="B20" s="23" t="s">
        <v>56</v>
      </c>
      <c r="C20" s="24" t="s">
        <v>57</v>
      </c>
      <c r="D20" s="9" t="n">
        <f aca="false">COUNTIFS('판매 기록'!$A$5:$A$500,"&gt;="&amp;$C$6,'판매 기록'!$A$5:$A$500,"&lt;="&amp;$D$6,'판매 기록'!$B$5:$B$500,$B20,'판매 기록'!$C$5:$C$500,$C20,'판매 기록'!$D$5:$D$500,"전문몰")</f>
        <v>1</v>
      </c>
      <c r="E20" s="9" t="n">
        <f aca="false">SUMIFS('판매 기록'!$E$5:$E$500,'판매 기록'!$A$5:$A$500,"&gt;="&amp;$C$6,'판매 기록'!$A$5:$A$500,"&lt;="&amp;$D$6,'판매 기록'!$B$5:$B$500,$B20,'판매 기록'!$C$5:$C$500,$C20,'판매 기록'!$D$5:$D$500,"전문몰")</f>
        <v>2</v>
      </c>
      <c r="F20" s="8" t="n">
        <f aca="false">COUNTIFS('판매 기록'!$A$5:$A$500,"&gt;="&amp;$C$5,'판매 기록'!$A$5:$A$500,"&lt;="&amp;$D$5,'판매 기록'!$B$5:$B$500,$B20,'판매 기록'!$C$5:$C$500,$C20,'판매 기록'!$D$5:$D$500,"전문몰")</f>
        <v>2</v>
      </c>
      <c r="G20" s="8" t="n">
        <f aca="false">SUMIFS('판매 기록'!$E$5:$E$500,'판매 기록'!$A$5:$A$500,"&gt;="&amp;$C$5,'판매 기록'!$A$5:$A$500,"&lt;="&amp;$D$5,'판매 기록'!$B$5:$B$500,$B20,'판매 기록'!$C$5:$C$500,$C20,'판매 기록'!$D$5:$D$500,"전문몰")</f>
        <v>2</v>
      </c>
      <c r="H20" s="9" t="n">
        <f aca="false">COUNTIFS('판매 기록'!$A$5:$A$500,"&gt;="&amp;$C$5,'판매 기록'!$A$5:$A$500,"&lt;="&amp;$D$5,'판매 기록'!$B$5:$B$500,$B20,'판매 기록'!$C$5:$C$500,$C20)</f>
        <v>2</v>
      </c>
      <c r="I20" s="9" t="n">
        <f aca="false">SUMIFS('판매 기록'!$E$5:$E$500,'판매 기록'!$A$5:$A$500,"&gt;="&amp;$C$5,'판매 기록'!$A$5:$A$500,"&lt;="&amp;$D$5,'판매 기록'!$B$5:$B$500,$B20,'판매 기록'!$C$5:$C$500,$C20)</f>
        <v>2</v>
      </c>
      <c r="J20" s="25" t="n">
        <v>68</v>
      </c>
      <c r="K20" s="26" t="s">
        <v>58</v>
      </c>
      <c r="L20" s="26" t="s">
        <v>59</v>
      </c>
    </row>
    <row r="21" customFormat="false" ht="15" hidden="false" customHeight="false" outlineLevel="0" collapsed="false">
      <c r="A21" s="14" t="s">
        <v>60</v>
      </c>
      <c r="B21" s="23" t="s">
        <v>61</v>
      </c>
      <c r="C21" s="24" t="s">
        <v>62</v>
      </c>
      <c r="D21" s="9" t="n">
        <f aca="false">COUNTIFS('판매 기록'!$A$5:$A$500,"&gt;="&amp;$C$6,'판매 기록'!$A$5:$A$500,"&lt;="&amp;$D$6,'판매 기록'!$B$5:$B$500,$B21,'판매 기록'!$C$5:$C$500,$C21,'판매 기록'!$D$5:$D$500,"전문몰")</f>
        <v>0</v>
      </c>
      <c r="E21" s="9" t="n">
        <f aca="false">SUMIFS('판매 기록'!$E$5:$E$500,'판매 기록'!$A$5:$A$500,"&gt;="&amp;$C$6,'판매 기록'!$A$5:$A$500,"&lt;="&amp;$D$6,'판매 기록'!$B$5:$B$500,$B21,'판매 기록'!$C$5:$C$500,$C21,'판매 기록'!$D$5:$D$500,"전문몰")</f>
        <v>0</v>
      </c>
      <c r="F21" s="8" t="n">
        <f aca="false">COUNTIFS('판매 기록'!$A$5:$A$500,"&gt;="&amp;$C$5,'판매 기록'!$A$5:$A$500,"&lt;="&amp;$D$5,'판매 기록'!$B$5:$B$500,$B21,'판매 기록'!$C$5:$C$500,$C21,'판매 기록'!$D$5:$D$500,"전문몰")</f>
        <v>0</v>
      </c>
      <c r="G21" s="8" t="n">
        <f aca="false">SUMIFS('판매 기록'!$E$5:$E$500,'판매 기록'!$A$5:$A$500,"&gt;="&amp;$C$5,'판매 기록'!$A$5:$A$500,"&lt;="&amp;$D$5,'판매 기록'!$B$5:$B$500,$B21,'판매 기록'!$C$5:$C$500,$C21,'판매 기록'!$D$5:$D$500,"전문몰")</f>
        <v>0</v>
      </c>
      <c r="H21" s="9" t="n">
        <f aca="false">COUNTIFS('판매 기록'!$A$5:$A$500,"&gt;="&amp;$C$5,'판매 기록'!$A$5:$A$500,"&lt;="&amp;$D$5,'판매 기록'!$B$5:$B$500,$B21,'판매 기록'!$C$5:$C$500,$C21)</f>
        <v>2</v>
      </c>
      <c r="I21" s="9" t="n">
        <f aca="false">SUMIFS('판매 기록'!$E$5:$E$500,'판매 기록'!$A$5:$A$500,"&gt;="&amp;$C$5,'판매 기록'!$A$5:$A$500,"&lt;="&amp;$D$5,'판매 기록'!$B$5:$B$500,$B21,'판매 기록'!$C$5:$C$500,$C21)</f>
        <v>7</v>
      </c>
      <c r="J21" s="25" t="n">
        <v>329</v>
      </c>
      <c r="K21" s="26" t="s">
        <v>63</v>
      </c>
      <c r="L21" s="26" t="s">
        <v>64</v>
      </c>
    </row>
    <row r="22" customFormat="false" ht="15" hidden="false" customHeight="false" outlineLevel="0" collapsed="false">
      <c r="A22" s="14" t="s">
        <v>65</v>
      </c>
      <c r="B22" s="23" t="s">
        <v>66</v>
      </c>
      <c r="C22" s="24" t="s">
        <v>67</v>
      </c>
      <c r="D22" s="9" t="n">
        <f aca="false">COUNTIFS('판매 기록'!$A$5:$A$500,"&gt;="&amp;$C$6,'판매 기록'!$A$5:$A$500,"&lt;="&amp;$D$6,'판매 기록'!$B$5:$B$500,$B22,'판매 기록'!$C$5:$C$500,$C22,'판매 기록'!$D$5:$D$500,"전문몰")</f>
        <v>1</v>
      </c>
      <c r="E22" s="9" t="n">
        <f aca="false">SUMIFS('판매 기록'!$E$5:$E$500,'판매 기록'!$A$5:$A$500,"&gt;="&amp;$C$6,'판매 기록'!$A$5:$A$500,"&lt;="&amp;$D$6,'판매 기록'!$B$5:$B$500,$B22,'판매 기록'!$C$5:$C$500,$C22,'판매 기록'!$D$5:$D$500,"전문몰")</f>
        <v>5</v>
      </c>
      <c r="F22" s="8" t="n">
        <f aca="false">COUNTIFS('판매 기록'!$A$5:$A$500,"&gt;="&amp;$C$5,'판매 기록'!$A$5:$A$500,"&lt;="&amp;$D$5,'판매 기록'!$B$5:$B$500,$B22,'판매 기록'!$C$5:$C$500,$C22,'판매 기록'!$D$5:$D$500,"전문몰")</f>
        <v>0</v>
      </c>
      <c r="G22" s="8" t="n">
        <f aca="false">SUMIFS('판매 기록'!$E$5:$E$500,'판매 기록'!$A$5:$A$500,"&gt;="&amp;$C$5,'판매 기록'!$A$5:$A$500,"&lt;="&amp;$D$5,'판매 기록'!$B$5:$B$500,$B22,'판매 기록'!$C$5:$C$500,$C22,'판매 기록'!$D$5:$D$500,"전문몰")</f>
        <v>0</v>
      </c>
      <c r="H22" s="9" t="n">
        <f aca="false">COUNTIFS('판매 기록'!$A$5:$A$500,"&gt;="&amp;$C$5,'판매 기록'!$A$5:$A$500,"&lt;="&amp;$D$5,'판매 기록'!$B$5:$B$500,$B22,'판매 기록'!$C$5:$C$500,$C22)</f>
        <v>2</v>
      </c>
      <c r="I22" s="9" t="n">
        <f aca="false">SUMIFS('판매 기록'!$E$5:$E$500,'판매 기록'!$A$5:$A$500,"&gt;="&amp;$C$5,'판매 기록'!$A$5:$A$500,"&lt;="&amp;$D$5,'판매 기록'!$B$5:$B$500,$B22,'판매 기록'!$C$5:$C$500,$C22)</f>
        <v>2</v>
      </c>
      <c r="J22" s="25" t="n">
        <v>91</v>
      </c>
      <c r="K22" s="26" t="s">
        <v>68</v>
      </c>
      <c r="L22" s="26" t="s">
        <v>69</v>
      </c>
    </row>
    <row r="23" customFormat="false" ht="15" hidden="false" customHeight="false" outlineLevel="0" collapsed="false">
      <c r="A23" s="2" t="s">
        <v>70</v>
      </c>
    </row>
  </sheetData>
  <mergeCells count="4">
    <mergeCell ref="A9:B9"/>
    <mergeCell ref="A10:B10"/>
    <mergeCell ref="A11:B11"/>
    <mergeCell ref="A14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8.5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0" hidden="false" customHeight="true" outlineLevel="0" collapsed="false">
      <c r="A4" s="3" t="s">
        <v>73</v>
      </c>
      <c r="B4" s="3" t="s">
        <v>44</v>
      </c>
      <c r="C4" s="3" t="s">
        <v>45</v>
      </c>
      <c r="D4" s="3" t="s">
        <v>74</v>
      </c>
      <c r="E4" s="3" t="s">
        <v>7</v>
      </c>
      <c r="F4" s="3" t="s">
        <v>75</v>
      </c>
    </row>
    <row r="5" customFormat="false" ht="15" hidden="false" customHeight="false" outlineLevel="0" collapsed="false">
      <c r="A5" s="27" t="n">
        <v>46168</v>
      </c>
      <c r="B5" s="28" t="s">
        <v>56</v>
      </c>
      <c r="C5" s="26" t="s">
        <v>76</v>
      </c>
      <c r="D5" s="28" t="s">
        <v>77</v>
      </c>
      <c r="E5" s="25" t="n">
        <v>50</v>
      </c>
      <c r="F5" s="28" t="s">
        <v>78</v>
      </c>
    </row>
    <row r="6" customFormat="false" ht="15" hidden="false" customHeight="false" outlineLevel="0" collapsed="false">
      <c r="A6" s="27" t="n">
        <v>46169</v>
      </c>
      <c r="B6" s="28" t="s">
        <v>66</v>
      </c>
      <c r="C6" s="26" t="s">
        <v>79</v>
      </c>
      <c r="D6" s="28" t="s">
        <v>80</v>
      </c>
      <c r="E6" s="25" t="n">
        <v>20</v>
      </c>
      <c r="F6" s="26"/>
    </row>
    <row r="7" customFormat="false" ht="15" hidden="false" customHeight="false" outlineLevel="0" collapsed="false">
      <c r="A7" s="27" t="n">
        <v>46183</v>
      </c>
      <c r="B7" s="28" t="s">
        <v>56</v>
      </c>
      <c r="C7" s="26" t="s">
        <v>57</v>
      </c>
      <c r="D7" s="28" t="s">
        <v>77</v>
      </c>
      <c r="E7" s="25" t="n">
        <v>5</v>
      </c>
      <c r="F7" s="28" t="s">
        <v>81</v>
      </c>
    </row>
    <row r="8" customFormat="false" ht="15" hidden="false" customHeight="false" outlineLevel="0" collapsed="false">
      <c r="A8" s="27" t="n">
        <v>46184</v>
      </c>
      <c r="B8" s="28" t="s">
        <v>56</v>
      </c>
      <c r="C8" s="26" t="s">
        <v>82</v>
      </c>
      <c r="D8" s="28" t="s">
        <v>77</v>
      </c>
      <c r="E8" s="25" t="n">
        <v>1</v>
      </c>
      <c r="F8" s="26"/>
    </row>
    <row r="9" customFormat="false" ht="15" hidden="false" customHeight="false" outlineLevel="0" collapsed="false">
      <c r="A9" s="27" t="n">
        <v>46185</v>
      </c>
      <c r="B9" s="28" t="s">
        <v>56</v>
      </c>
      <c r="C9" s="26" t="s">
        <v>57</v>
      </c>
      <c r="D9" s="28" t="s">
        <v>77</v>
      </c>
      <c r="E9" s="25" t="n">
        <v>1</v>
      </c>
      <c r="F9" s="26"/>
    </row>
    <row r="10" customFormat="false" ht="15" hidden="false" customHeight="false" outlineLevel="0" collapsed="false">
      <c r="A10" s="27" t="n">
        <v>46191</v>
      </c>
      <c r="B10" s="28" t="s">
        <v>66</v>
      </c>
      <c r="C10" s="26" t="s">
        <v>62</v>
      </c>
      <c r="D10" s="28" t="s">
        <v>77</v>
      </c>
      <c r="E10" s="25" t="n">
        <v>10</v>
      </c>
      <c r="F10" s="28" t="s">
        <v>83</v>
      </c>
    </row>
    <row r="11" customFormat="false" ht="15" hidden="false" customHeight="false" outlineLevel="0" collapsed="false">
      <c r="A11" s="27" t="n">
        <v>46195</v>
      </c>
      <c r="B11" s="28" t="s">
        <v>56</v>
      </c>
      <c r="C11" s="26" t="s">
        <v>67</v>
      </c>
      <c r="D11" s="28" t="s">
        <v>77</v>
      </c>
      <c r="E11" s="25" t="n">
        <v>5</v>
      </c>
      <c r="F11" s="28" t="s">
        <v>84</v>
      </c>
    </row>
    <row r="12" customFormat="false" ht="15" hidden="false" customHeight="false" outlineLevel="0" collapsed="false">
      <c r="A12" s="27" t="n">
        <v>46203</v>
      </c>
      <c r="B12" s="28" t="s">
        <v>56</v>
      </c>
      <c r="C12" s="26" t="s">
        <v>85</v>
      </c>
      <c r="D12" s="28" t="s">
        <v>77</v>
      </c>
      <c r="E12" s="25" t="n">
        <v>5</v>
      </c>
      <c r="F12" s="26"/>
    </row>
    <row r="13" customFormat="false" ht="15" hidden="false" customHeight="false" outlineLevel="0" collapsed="false">
      <c r="A13" s="27" t="n">
        <v>46211</v>
      </c>
      <c r="B13" s="28" t="s">
        <v>56</v>
      </c>
      <c r="C13" s="26" t="s">
        <v>86</v>
      </c>
      <c r="D13" s="28" t="s">
        <v>87</v>
      </c>
      <c r="E13" s="25" t="n">
        <v>1</v>
      </c>
      <c r="F13" s="26"/>
    </row>
    <row r="14" customFormat="false" ht="15" hidden="false" customHeight="false" outlineLevel="0" collapsed="false">
      <c r="A14" s="27" t="n">
        <v>46234</v>
      </c>
      <c r="B14" s="28" t="s">
        <v>56</v>
      </c>
      <c r="C14" s="26" t="s">
        <v>88</v>
      </c>
      <c r="D14" s="28" t="s">
        <v>87</v>
      </c>
      <c r="E14" s="25" t="n">
        <v>1</v>
      </c>
      <c r="F14" s="26"/>
    </row>
    <row r="15" customFormat="false" ht="15" hidden="false" customHeight="false" outlineLevel="0" collapsed="false">
      <c r="A15" s="27" t="n">
        <v>46237</v>
      </c>
      <c r="B15" s="28" t="s">
        <v>66</v>
      </c>
      <c r="C15" s="26" t="s">
        <v>67</v>
      </c>
      <c r="D15" s="28" t="s">
        <v>87</v>
      </c>
      <c r="E15" s="25" t="n">
        <v>1</v>
      </c>
      <c r="F15" s="26"/>
    </row>
    <row r="16" customFormat="false" ht="15" hidden="false" customHeight="false" outlineLevel="0" collapsed="false">
      <c r="A16" s="27" t="n">
        <v>46238</v>
      </c>
      <c r="B16" s="28" t="s">
        <v>56</v>
      </c>
      <c r="C16" s="26" t="s">
        <v>88</v>
      </c>
      <c r="D16" s="28" t="s">
        <v>77</v>
      </c>
      <c r="E16" s="25" t="n">
        <v>2</v>
      </c>
      <c r="F16" s="26"/>
    </row>
    <row r="17" customFormat="false" ht="15" hidden="false" customHeight="false" outlineLevel="0" collapsed="false">
      <c r="A17" s="27" t="n">
        <v>46241</v>
      </c>
      <c r="B17" s="28" t="s">
        <v>56</v>
      </c>
      <c r="C17" s="26" t="s">
        <v>89</v>
      </c>
      <c r="D17" s="28" t="s">
        <v>77</v>
      </c>
      <c r="E17" s="25" t="n">
        <v>1</v>
      </c>
      <c r="F17" s="26"/>
    </row>
    <row r="18" customFormat="false" ht="15" hidden="false" customHeight="false" outlineLevel="0" collapsed="false">
      <c r="A18" s="27" t="n">
        <v>46247</v>
      </c>
      <c r="B18" s="28" t="s">
        <v>56</v>
      </c>
      <c r="C18" s="26" t="s">
        <v>62</v>
      </c>
      <c r="D18" s="28" t="s">
        <v>77</v>
      </c>
      <c r="E18" s="25" t="n">
        <v>2</v>
      </c>
      <c r="F18" s="26"/>
    </row>
    <row r="19" customFormat="false" ht="15" hidden="false" customHeight="false" outlineLevel="0" collapsed="false">
      <c r="A19" s="27" t="n">
        <v>46247</v>
      </c>
      <c r="B19" s="28" t="s">
        <v>56</v>
      </c>
      <c r="C19" s="26" t="s">
        <v>62</v>
      </c>
      <c r="D19" s="28" t="s">
        <v>77</v>
      </c>
      <c r="E19" s="25" t="n">
        <v>5</v>
      </c>
      <c r="F19" s="26"/>
    </row>
    <row r="20" customFormat="false" ht="15" hidden="false" customHeight="false" outlineLevel="0" collapsed="false">
      <c r="A20" s="27" t="n">
        <v>46254</v>
      </c>
      <c r="B20" s="28" t="s">
        <v>66</v>
      </c>
      <c r="C20" s="26" t="s">
        <v>90</v>
      </c>
      <c r="D20" s="28" t="s">
        <v>80</v>
      </c>
      <c r="E20" s="25" t="n">
        <v>5</v>
      </c>
      <c r="F20" s="26"/>
    </row>
    <row r="21" customFormat="false" ht="15" hidden="false" customHeight="false" outlineLevel="0" collapsed="false">
      <c r="A21" s="27" t="n">
        <v>46255</v>
      </c>
      <c r="B21" s="28" t="s">
        <v>56</v>
      </c>
      <c r="C21" s="26" t="s">
        <v>62</v>
      </c>
      <c r="D21" s="28" t="s">
        <v>77</v>
      </c>
      <c r="E21" s="25" t="n">
        <v>1</v>
      </c>
      <c r="F21" s="26"/>
    </row>
    <row r="22" customFormat="false" ht="15" hidden="false" customHeight="false" outlineLevel="0" collapsed="false">
      <c r="A22" s="27" t="n">
        <v>46255</v>
      </c>
      <c r="B22" s="28" t="s">
        <v>56</v>
      </c>
      <c r="C22" s="26" t="s">
        <v>62</v>
      </c>
      <c r="D22" s="28" t="s">
        <v>77</v>
      </c>
      <c r="E22" s="25" t="n">
        <v>5</v>
      </c>
      <c r="F22" s="26"/>
    </row>
    <row r="23" customFormat="false" ht="15" hidden="false" customHeight="false" outlineLevel="0" collapsed="false">
      <c r="A23" s="27" t="n">
        <v>46255</v>
      </c>
      <c r="B23" s="28" t="s">
        <v>56</v>
      </c>
      <c r="C23" s="26" t="s">
        <v>62</v>
      </c>
      <c r="D23" s="28" t="s">
        <v>77</v>
      </c>
      <c r="E23" s="25" t="n">
        <v>1</v>
      </c>
      <c r="F23" s="26"/>
    </row>
    <row r="24" customFormat="false" ht="15" hidden="false" customHeight="false" outlineLevel="0" collapsed="false">
      <c r="A24" s="27" t="n">
        <v>46255</v>
      </c>
      <c r="B24" s="28" t="s">
        <v>61</v>
      </c>
      <c r="C24" s="26" t="s">
        <v>62</v>
      </c>
      <c r="D24" s="28" t="s">
        <v>80</v>
      </c>
      <c r="E24" s="25" t="n">
        <v>16</v>
      </c>
      <c r="F24" s="26"/>
    </row>
    <row r="25" customFormat="false" ht="15" hidden="false" customHeight="false" outlineLevel="0" collapsed="false">
      <c r="A25" s="27" t="n">
        <v>46258</v>
      </c>
      <c r="B25" s="28" t="s">
        <v>56</v>
      </c>
      <c r="C25" s="26" t="s">
        <v>86</v>
      </c>
      <c r="D25" s="28" t="s">
        <v>77</v>
      </c>
      <c r="E25" s="25" t="n">
        <v>4</v>
      </c>
      <c r="F25" s="26"/>
    </row>
    <row r="26" customFormat="false" ht="15" hidden="false" customHeight="false" outlineLevel="0" collapsed="false">
      <c r="A26" s="27" t="n">
        <v>46260</v>
      </c>
      <c r="B26" s="28" t="s">
        <v>56</v>
      </c>
      <c r="C26" s="26" t="s">
        <v>86</v>
      </c>
      <c r="D26" s="28" t="s">
        <v>77</v>
      </c>
      <c r="E26" s="25" t="n">
        <v>1</v>
      </c>
      <c r="F26" s="28" t="s">
        <v>91</v>
      </c>
    </row>
    <row r="27" customFormat="false" ht="15" hidden="false" customHeight="false" outlineLevel="0" collapsed="false">
      <c r="A27" s="27" t="n">
        <v>46261</v>
      </c>
      <c r="B27" s="28" t="s">
        <v>56</v>
      </c>
      <c r="C27" s="26" t="s">
        <v>92</v>
      </c>
      <c r="D27" s="28" t="s">
        <v>80</v>
      </c>
      <c r="E27" s="25" t="n">
        <v>19</v>
      </c>
      <c r="F27" s="28" t="s">
        <v>93</v>
      </c>
    </row>
    <row r="28" customFormat="false" ht="15" hidden="false" customHeight="false" outlineLevel="0" collapsed="false">
      <c r="A28" s="27" t="n">
        <v>46261</v>
      </c>
      <c r="B28" s="28" t="s">
        <v>61</v>
      </c>
      <c r="C28" s="26" t="s">
        <v>94</v>
      </c>
      <c r="D28" s="28" t="s">
        <v>87</v>
      </c>
      <c r="E28" s="25" t="n">
        <v>1</v>
      </c>
      <c r="F28" s="26"/>
    </row>
    <row r="29" customFormat="false" ht="15" hidden="false" customHeight="false" outlineLevel="0" collapsed="false">
      <c r="A29" s="27" t="n">
        <v>46261</v>
      </c>
      <c r="B29" s="28" t="s">
        <v>56</v>
      </c>
      <c r="C29" s="26" t="s">
        <v>57</v>
      </c>
      <c r="D29" s="28" t="s">
        <v>87</v>
      </c>
      <c r="E29" s="25" t="n">
        <v>2</v>
      </c>
      <c r="F29" s="28" t="s">
        <v>95</v>
      </c>
    </row>
    <row r="30" customFormat="false" ht="15" hidden="false" customHeight="false" outlineLevel="0" collapsed="false">
      <c r="A30" s="27" t="n">
        <v>46261</v>
      </c>
      <c r="B30" s="28" t="s">
        <v>66</v>
      </c>
      <c r="C30" s="26" t="s">
        <v>90</v>
      </c>
      <c r="D30" s="28" t="s">
        <v>87</v>
      </c>
      <c r="E30" s="25" t="n">
        <v>2</v>
      </c>
      <c r="F30" s="26"/>
    </row>
    <row r="31" customFormat="false" ht="15" hidden="false" customHeight="false" outlineLevel="0" collapsed="false">
      <c r="A31" s="27" t="n">
        <v>46267</v>
      </c>
      <c r="B31" s="28" t="s">
        <v>66</v>
      </c>
      <c r="C31" s="26" t="s">
        <v>90</v>
      </c>
      <c r="D31" s="28" t="s">
        <v>77</v>
      </c>
      <c r="E31" s="25" t="n">
        <v>5</v>
      </c>
      <c r="F31" s="26"/>
    </row>
    <row r="32" customFormat="false" ht="15" hidden="false" customHeight="false" outlineLevel="0" collapsed="false">
      <c r="A32" s="27" t="n">
        <v>46268</v>
      </c>
      <c r="B32" s="28" t="s">
        <v>66</v>
      </c>
      <c r="C32" s="26" t="s">
        <v>90</v>
      </c>
      <c r="D32" s="28" t="s">
        <v>77</v>
      </c>
      <c r="E32" s="25" t="n">
        <v>1</v>
      </c>
      <c r="F32" s="26"/>
    </row>
    <row r="33" customFormat="false" ht="15" hidden="false" customHeight="false" outlineLevel="0" collapsed="false">
      <c r="A33" s="27" t="n">
        <v>46269</v>
      </c>
      <c r="B33" s="28" t="s">
        <v>56</v>
      </c>
      <c r="C33" s="26" t="s">
        <v>57</v>
      </c>
      <c r="D33" s="28" t="s">
        <v>77</v>
      </c>
      <c r="E33" s="25" t="n">
        <v>2</v>
      </c>
      <c r="F33" s="26"/>
    </row>
    <row r="34" customFormat="false" ht="15" hidden="false" customHeight="false" outlineLevel="0" collapsed="false">
      <c r="A34" s="27" t="n">
        <v>46269</v>
      </c>
      <c r="B34" s="28" t="s">
        <v>56</v>
      </c>
      <c r="C34" s="26" t="s">
        <v>86</v>
      </c>
      <c r="D34" s="28" t="s">
        <v>77</v>
      </c>
      <c r="E34" s="25" t="n">
        <v>1</v>
      </c>
      <c r="F34" s="26"/>
    </row>
    <row r="35" customFormat="false" ht="15" hidden="false" customHeight="false" outlineLevel="0" collapsed="false">
      <c r="A35" s="27" t="n">
        <v>46272</v>
      </c>
      <c r="B35" s="28" t="s">
        <v>66</v>
      </c>
      <c r="C35" s="26" t="s">
        <v>62</v>
      </c>
      <c r="D35" s="28" t="s">
        <v>77</v>
      </c>
      <c r="E35" s="25" t="n">
        <v>1</v>
      </c>
      <c r="F35" s="26"/>
    </row>
    <row r="36" customFormat="false" ht="15" hidden="false" customHeight="false" outlineLevel="0" collapsed="false">
      <c r="A36" s="27" t="n">
        <v>46272</v>
      </c>
      <c r="B36" s="28" t="s">
        <v>66</v>
      </c>
      <c r="C36" s="26" t="s">
        <v>96</v>
      </c>
      <c r="D36" s="28" t="s">
        <v>77</v>
      </c>
      <c r="E36" s="25" t="n">
        <v>2</v>
      </c>
      <c r="F36" s="26"/>
    </row>
    <row r="37" customFormat="false" ht="15" hidden="false" customHeight="false" outlineLevel="0" collapsed="false">
      <c r="A37" s="27" t="n">
        <v>46272</v>
      </c>
      <c r="B37" s="28" t="s">
        <v>66</v>
      </c>
      <c r="C37" s="26" t="s">
        <v>79</v>
      </c>
      <c r="D37" s="28" t="s">
        <v>87</v>
      </c>
      <c r="E37" s="25" t="n">
        <v>1</v>
      </c>
      <c r="F37" s="26"/>
    </row>
    <row r="38" customFormat="false" ht="15" hidden="false" customHeight="false" outlineLevel="0" collapsed="false">
      <c r="A38" s="27" t="n">
        <v>46274</v>
      </c>
      <c r="B38" s="28" t="s">
        <v>66</v>
      </c>
      <c r="C38" s="26" t="s">
        <v>79</v>
      </c>
      <c r="D38" s="28" t="s">
        <v>87</v>
      </c>
      <c r="E38" s="25" t="n">
        <v>1</v>
      </c>
      <c r="F38" s="26"/>
    </row>
    <row r="39" customFormat="false" ht="15" hidden="false" customHeight="false" outlineLevel="0" collapsed="false">
      <c r="A39" s="27" t="n">
        <v>46275</v>
      </c>
      <c r="B39" s="28" t="s">
        <v>56</v>
      </c>
      <c r="C39" s="26" t="s">
        <v>82</v>
      </c>
      <c r="D39" s="28" t="s">
        <v>87</v>
      </c>
      <c r="E39" s="25" t="n">
        <v>1</v>
      </c>
      <c r="F39" s="26"/>
    </row>
    <row r="40" customFormat="false" ht="15" hidden="false" customHeight="false" outlineLevel="0" collapsed="false">
      <c r="A40" s="27" t="n">
        <v>46275</v>
      </c>
      <c r="B40" s="28" t="s">
        <v>66</v>
      </c>
      <c r="C40" s="26" t="s">
        <v>97</v>
      </c>
      <c r="D40" s="28" t="s">
        <v>77</v>
      </c>
      <c r="E40" s="25" t="n">
        <v>1</v>
      </c>
      <c r="F40" s="26"/>
    </row>
    <row r="41" customFormat="false" ht="15" hidden="false" customHeight="false" outlineLevel="0" collapsed="false">
      <c r="A41" s="27" t="n">
        <v>46279</v>
      </c>
      <c r="B41" s="28" t="s">
        <v>66</v>
      </c>
      <c r="C41" s="26" t="s">
        <v>67</v>
      </c>
      <c r="D41" s="28" t="s">
        <v>87</v>
      </c>
      <c r="E41" s="25" t="n">
        <v>1</v>
      </c>
      <c r="F41" s="26"/>
    </row>
    <row r="42" customFormat="false" ht="15" hidden="false" customHeight="false" outlineLevel="0" collapsed="false">
      <c r="A42" s="27" t="n">
        <v>46286</v>
      </c>
      <c r="B42" s="28" t="s">
        <v>66</v>
      </c>
      <c r="C42" s="26" t="s">
        <v>67</v>
      </c>
      <c r="D42" s="28" t="s">
        <v>77</v>
      </c>
      <c r="E42" s="25" t="n">
        <v>5</v>
      </c>
      <c r="F42" s="26"/>
    </row>
    <row r="43" customFormat="false" ht="15" hidden="false" customHeight="false" outlineLevel="0" collapsed="false">
      <c r="A43" s="27" t="n">
        <v>46295</v>
      </c>
      <c r="B43" s="28" t="s">
        <v>56</v>
      </c>
      <c r="C43" s="26" t="s">
        <v>86</v>
      </c>
      <c r="D43" s="28" t="s">
        <v>77</v>
      </c>
      <c r="E43" s="25" t="n">
        <v>5</v>
      </c>
      <c r="F43" s="26"/>
    </row>
    <row r="44" customFormat="false" ht="15" hidden="false" customHeight="false" outlineLevel="0" collapsed="false">
      <c r="A44" s="27" t="n">
        <v>46295</v>
      </c>
      <c r="B44" s="28" t="s">
        <v>56</v>
      </c>
      <c r="C44" s="26" t="s">
        <v>57</v>
      </c>
      <c r="D44" s="28" t="s">
        <v>77</v>
      </c>
      <c r="E44" s="25" t="n">
        <v>1</v>
      </c>
      <c r="F44" s="26"/>
    </row>
    <row r="45" customFormat="false" ht="15" hidden="false" customHeight="false" outlineLevel="0" collapsed="false">
      <c r="A45" s="27" t="n">
        <v>46295</v>
      </c>
      <c r="B45" s="28" t="s">
        <v>61</v>
      </c>
      <c r="C45" s="26" t="s">
        <v>62</v>
      </c>
      <c r="D45" s="28" t="s">
        <v>80</v>
      </c>
      <c r="E45" s="25" t="n">
        <v>1</v>
      </c>
      <c r="F45" s="26"/>
    </row>
    <row r="46" customFormat="false" ht="15" hidden="false" customHeight="false" outlineLevel="0" collapsed="false">
      <c r="A46" s="27" t="n">
        <v>46295</v>
      </c>
      <c r="B46" s="28" t="s">
        <v>66</v>
      </c>
      <c r="C46" s="26" t="s">
        <v>97</v>
      </c>
      <c r="D46" s="28" t="s">
        <v>77</v>
      </c>
      <c r="E46" s="25" t="n">
        <v>1</v>
      </c>
      <c r="F46" s="26"/>
    </row>
    <row r="47" customFormat="false" ht="15" hidden="false" customHeight="false" outlineLevel="0" collapsed="false">
      <c r="A47" s="27" t="n">
        <v>46296</v>
      </c>
      <c r="B47" s="28" t="s">
        <v>66</v>
      </c>
      <c r="C47" s="26" t="s">
        <v>96</v>
      </c>
      <c r="D47" s="28" t="s">
        <v>87</v>
      </c>
      <c r="E47" s="25" t="n">
        <v>12</v>
      </c>
      <c r="F47" s="26"/>
    </row>
    <row r="48" customFormat="false" ht="15" hidden="false" customHeight="false" outlineLevel="0" collapsed="false">
      <c r="A48" s="27" t="n">
        <v>46297</v>
      </c>
      <c r="B48" s="28" t="s">
        <v>56</v>
      </c>
      <c r="C48" s="26" t="s">
        <v>57</v>
      </c>
      <c r="D48" s="28" t="s">
        <v>77</v>
      </c>
      <c r="E48" s="25" t="n">
        <v>1</v>
      </c>
      <c r="F48" s="26"/>
    </row>
    <row r="49" customFormat="false" ht="15" hidden="false" customHeight="false" outlineLevel="0" collapsed="false">
      <c r="A49" s="27" t="n">
        <v>46301</v>
      </c>
      <c r="B49" s="28" t="s">
        <v>66</v>
      </c>
      <c r="C49" s="26" t="s">
        <v>67</v>
      </c>
      <c r="D49" s="28" t="s">
        <v>87</v>
      </c>
      <c r="E49" s="25" t="n">
        <v>1</v>
      </c>
      <c r="F49" s="26"/>
    </row>
    <row r="50" customFormat="false" ht="15" hidden="false" customHeight="false" outlineLevel="0" collapsed="false">
      <c r="A50" s="27" t="n">
        <v>46301</v>
      </c>
      <c r="B50" s="28" t="s">
        <v>66</v>
      </c>
      <c r="C50" s="26" t="s">
        <v>67</v>
      </c>
      <c r="D50" s="28" t="s">
        <v>87</v>
      </c>
      <c r="E50" s="25" t="n">
        <v>1</v>
      </c>
      <c r="F50" s="26"/>
    </row>
    <row r="51" customFormat="false" ht="15" hidden="false" customHeight="false" outlineLevel="0" collapsed="false">
      <c r="A51" s="27" t="n">
        <v>46301</v>
      </c>
      <c r="B51" s="28" t="s">
        <v>61</v>
      </c>
      <c r="C51" s="26" t="s">
        <v>94</v>
      </c>
      <c r="D51" s="28" t="s">
        <v>87</v>
      </c>
      <c r="E51" s="25" t="n">
        <v>10</v>
      </c>
      <c r="F51" s="26"/>
    </row>
    <row r="52" customFormat="false" ht="15" hidden="false" customHeight="false" outlineLevel="0" collapsed="false">
      <c r="A52" s="27" t="n">
        <v>46301</v>
      </c>
      <c r="B52" s="28" t="s">
        <v>61</v>
      </c>
      <c r="C52" s="26" t="s">
        <v>62</v>
      </c>
      <c r="D52" s="28" t="s">
        <v>98</v>
      </c>
      <c r="E52" s="25" t="n">
        <v>6</v>
      </c>
      <c r="F52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2026-10-07T04:45:11Z</dcterms:created>
  <dc:creator>openpyxl</dc:creator>
  <dc:description/>
  <dc:language>en-US</dc:language>
  <cp:lastModifiedBy/>
  <dcterms:modified xsi:type="dcterms:W3CDTF">2026-10-07T04:45:16Z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