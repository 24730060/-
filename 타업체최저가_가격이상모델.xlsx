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PDA" sheetId="2" state="visible" r:id="rId4"/>
    <sheet name="프린터" sheetId="3" state="visible" r:id="rId5"/>
    <sheet name="스캐너" sheetId="4" state="visible" r:id="rId6"/>
  </sheets>
  <definedNames>
    <definedName function="false" hidden="true" localSheetId="1" name="_xlnm._FilterDatabase" vbProcedure="false">PDA!$A$1:$L$2</definedName>
    <definedName function="false" hidden="true" localSheetId="3" name="_xlnm._FilterDatabase" vbProcedure="false">스캐너!$A$1:$L$5</definedName>
    <definedName function="false" hidden="true" localSheetId="2" name="_xlnm._FilterDatabase" vbProcedure="false">프린터!$A$1:$L$55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<sst xmlns="http://schemas.openxmlformats.org/spreadsheetml/2006/main" count="377" uniqueCount="232">
  <si>
    <t xml:space="preserve">타업체 최저가 대비 가격 이상 모델 정리</t>
  </si>
  <si>
    <r>
      <rPr>
        <i val="true"/>
        <sz val="11"/>
        <color rgb="FF595959"/>
        <rFont val="WenQuanYi Zen Hei"/>
        <family val="2"/>
      </rPr>
      <t xml:space="preserve">기준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WenQuanYi Zen Hei"/>
        <family val="2"/>
      </rPr>
      <t xml:space="preserve">원본 </t>
    </r>
    <r>
      <rPr>
        <i val="true"/>
        <sz val="11"/>
        <color rgb="FF595959"/>
        <rFont val="Arial"/>
        <family val="0"/>
        <charset val="1"/>
      </rPr>
      <t xml:space="preserve">visible </t>
    </r>
    <r>
      <rPr>
        <i val="true"/>
        <sz val="11"/>
        <color rgb="FF595959"/>
        <rFont val="WenQuanYi Zen Hei"/>
        <family val="2"/>
      </rPr>
      <t xml:space="preserve">시트</t>
    </r>
    <r>
      <rPr>
        <i val="true"/>
        <sz val="11"/>
        <color rgb="FF595959"/>
        <rFont val="Arial"/>
        <family val="0"/>
        <charset val="1"/>
      </rPr>
      <t xml:space="preserve">(PDA/</t>
    </r>
    <r>
      <rPr>
        <i val="true"/>
        <sz val="11"/>
        <color rgb="FF595959"/>
        <rFont val="WenQuanYi Zen Hei"/>
        <family val="2"/>
      </rPr>
      <t xml:space="preserve">프린터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WenQuanYi Zen Hei"/>
        <family val="2"/>
      </rPr>
      <t xml:space="preserve">스캐너</t>
    </r>
    <r>
      <rPr>
        <i val="true"/>
        <sz val="11"/>
        <color rgb="FF595959"/>
        <rFont val="Arial"/>
        <family val="0"/>
        <charset val="1"/>
      </rPr>
      <t xml:space="preserve">-</t>
    </r>
    <r>
      <rPr>
        <i val="true"/>
        <sz val="11"/>
        <color rgb="FF595959"/>
        <rFont val="WenQuanYi Zen Hei"/>
        <family val="2"/>
      </rPr>
      <t xml:space="preserve">코스모스몰상품목록</t>
    </r>
    <r>
      <rPr>
        <i val="true"/>
        <sz val="11"/>
        <color rgb="FF595959"/>
        <rFont val="Arial"/>
        <family val="0"/>
        <charset val="1"/>
      </rPr>
      <t xml:space="preserve">)</t>
    </r>
    <r>
      <rPr>
        <i val="true"/>
        <sz val="11"/>
        <color rgb="FF595959"/>
        <rFont val="WenQuanYi Zen Hei"/>
        <family val="2"/>
      </rPr>
      <t xml:space="preserve">의 </t>
    </r>
    <r>
      <rPr>
        <i val="true"/>
        <sz val="11"/>
        <color rgb="FF595959"/>
        <rFont val="Arial"/>
        <family val="0"/>
        <charset val="1"/>
      </rPr>
      <t xml:space="preserve">"10</t>
    </r>
    <r>
      <rPr>
        <i val="true"/>
        <sz val="11"/>
        <color rgb="FF595959"/>
        <rFont val="WenQuanYi Zen Hei"/>
        <family val="2"/>
      </rPr>
      <t xml:space="preserve">월 최저가</t>
    </r>
    <r>
      <rPr>
        <i val="true"/>
        <sz val="11"/>
        <color rgb="FF595959"/>
        <rFont val="Arial"/>
        <family val="0"/>
        <charset val="1"/>
      </rPr>
      <t xml:space="preserve">" </t>
    </r>
    <r>
      <rPr>
        <i val="true"/>
        <sz val="11"/>
        <color rgb="FF595959"/>
        <rFont val="WenQuanYi Zen Hei"/>
        <family val="2"/>
      </rPr>
      <t xml:space="preserve">확인 모델 </t>
    </r>
    <r>
      <rPr>
        <i val="true"/>
        <sz val="11"/>
        <color rgb="FF595959"/>
        <rFont val="Arial"/>
        <family val="0"/>
        <charset val="1"/>
      </rPr>
      <t xml:space="preserve">· </t>
    </r>
    <r>
      <rPr>
        <i val="true"/>
        <sz val="11"/>
        <color rgb="FF595959"/>
        <rFont val="WenQuanYi Zen Hei"/>
        <family val="2"/>
      </rPr>
      <t xml:space="preserve">숨김 열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WenQuanYi Zen Hei"/>
        <family val="2"/>
      </rPr>
      <t xml:space="preserve">숨김 시트 미사용</t>
    </r>
  </si>
  <si>
    <r>
      <rPr>
        <b val="true"/>
        <sz val="11"/>
        <rFont val="WenQuanYi Zen Hei"/>
        <family val="2"/>
      </rPr>
      <t xml:space="preserve">판정 기준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차이율 </t>
    </r>
    <r>
      <rPr>
        <b val="true"/>
        <sz val="11"/>
        <rFont val="Arial"/>
        <family val="0"/>
        <charset val="1"/>
      </rPr>
      <t xml:space="preserve">= (</t>
    </r>
    <r>
      <rPr>
        <b val="true"/>
        <sz val="11"/>
        <rFont val="WenQuanYi Zen Hei"/>
        <family val="2"/>
      </rPr>
      <t xml:space="preserve">우리가</t>
    </r>
    <r>
      <rPr>
        <b val="true"/>
        <sz val="11"/>
        <rFont val="Arial"/>
        <family val="0"/>
        <charset val="1"/>
      </rPr>
      <t xml:space="preserve">-</t>
    </r>
    <r>
      <rPr>
        <b val="true"/>
        <sz val="11"/>
        <rFont val="WenQuanYi Zen Hei"/>
        <family val="2"/>
      </rPr>
      <t xml:space="preserve">최저가</t>
    </r>
    <r>
      <rPr>
        <b val="true"/>
        <sz val="11"/>
        <rFont val="Arial"/>
        <family val="0"/>
        <charset val="1"/>
      </rPr>
      <t xml:space="preserve">)/</t>
    </r>
    <r>
      <rPr>
        <b val="true"/>
        <sz val="11"/>
        <rFont val="WenQuanYi Zen Hei"/>
        <family val="2"/>
      </rPr>
      <t xml:space="preserve">최저가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</si>
  <si>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낮음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우리가 최저가보다 이만큼 이상 저렴</t>
    </r>
    <r>
      <rPr>
        <sz val="11"/>
        <rFont val="Arial"/>
        <family val="0"/>
        <charset val="1"/>
      </rPr>
      <t xml:space="preserve">)</t>
    </r>
  </si>
  <si>
    <t xml:space="preserve">← 파란 숫자 수정 시 각 시트 판정 자동 변경</t>
  </si>
  <si>
    <r>
      <rPr>
        <sz val="11"/>
        <rFont val="WenQuanYi Zen Hei"/>
        <family val="2"/>
      </rPr>
      <t xml:space="preserve">다소 높음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</si>
  <si>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높음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</si>
  <si>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매우 높음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이상</t>
    </r>
    <r>
      <rPr>
        <sz val="11"/>
        <rFont val="Arial"/>
        <family val="0"/>
        <charset val="1"/>
      </rPr>
      <t xml:space="preserve">)</t>
    </r>
  </si>
  <si>
    <t xml:space="preserve">카테고리</t>
  </si>
  <si>
    <t xml:space="preserve">낮음</t>
  </si>
  <si>
    <t xml:space="preserve">다소 높음</t>
  </si>
  <si>
    <t xml:space="preserve">높음</t>
  </si>
  <si>
    <t xml:space="preserve">매우 높음</t>
  </si>
  <si>
    <t xml:space="preserve">합계</t>
  </si>
  <si>
    <t xml:space="preserve">PDA</t>
  </si>
  <si>
    <t xml:space="preserve">프린터</t>
  </si>
  <si>
    <t xml:space="preserve">스캐너</t>
  </si>
  <si>
    <t xml:space="preserve">참고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</si>
  <si>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최저가 업체가 코스모스몰</t>
    </r>
    <r>
      <rPr>
        <sz val="11"/>
        <rFont val="Arial"/>
        <family val="0"/>
        <charset val="1"/>
      </rPr>
      <t xml:space="preserve">/</t>
    </r>
    <r>
      <rPr>
        <sz val="11"/>
        <rFont val="WenQuanYi Zen Hei"/>
        <family val="2"/>
      </rPr>
      <t xml:space="preserve">전문몰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자사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인 모델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차이율 </t>
    </r>
    <r>
      <rPr>
        <sz val="11"/>
        <rFont val="Arial"/>
        <family val="0"/>
        <charset val="1"/>
      </rPr>
      <t xml:space="preserve">-5%~+10% </t>
    </r>
    <r>
      <rPr>
        <sz val="11"/>
        <rFont val="WenQuanYi Zen Hei"/>
        <family val="2"/>
      </rPr>
      <t xml:space="preserve">사이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적정</t>
    </r>
    <r>
      <rPr>
        <sz val="11"/>
        <rFont val="Arial"/>
        <family val="0"/>
        <charset val="1"/>
      </rPr>
      <t xml:space="preserve">) </t>
    </r>
    <r>
      <rPr>
        <sz val="11"/>
        <rFont val="WenQuanYi Zen Hei"/>
        <family val="2"/>
      </rPr>
      <t xml:space="preserve">모델은 제외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</si>
  <si>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최저가 칸에 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타업체없음</t>
    </r>
    <r>
      <rPr>
        <sz val="11"/>
        <rFont val="Arial"/>
        <family val="0"/>
        <charset val="1"/>
      </rPr>
      <t xml:space="preserve">" </t>
    </r>
    <r>
      <rPr>
        <sz val="11"/>
        <rFont val="WenQuanYi Zen Hei"/>
        <family val="2"/>
      </rPr>
      <t xml:space="preserve">등 숫자가 없는 모델은 비교 불가로 제외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</si>
  <si>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각 시트는 차이율 높은 순 정렬</t>
    </r>
    <r>
      <rPr>
        <sz val="11"/>
        <rFont val="Arial"/>
        <family val="0"/>
        <charset val="1"/>
      </rPr>
      <t xml:space="preserve">, "</t>
    </r>
    <r>
      <rPr>
        <sz val="11"/>
        <rFont val="WenQuanYi Zen Hei"/>
        <family val="2"/>
      </rPr>
      <t xml:space="preserve">비고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에 원본 행번호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데이터 이상 의심 내용 기재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</si>
  <si>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스캐너 </t>
    </r>
    <r>
      <rPr>
        <sz val="11"/>
        <rFont val="Arial"/>
        <family val="0"/>
        <charset val="1"/>
      </rPr>
      <t xml:space="preserve">SB7700, </t>
    </r>
    <r>
      <rPr>
        <sz val="11"/>
        <rFont val="WenQuanYi Zen Hei"/>
        <family val="2"/>
      </rPr>
      <t xml:space="preserve">프린터 </t>
    </r>
    <r>
      <rPr>
        <sz val="11"/>
        <rFont val="Arial"/>
        <family val="0"/>
        <charset val="1"/>
      </rPr>
      <t xml:space="preserve">XD5-40tR</t>
    </r>
    <r>
      <rPr>
        <sz val="11"/>
        <rFont val="WenQuanYi Zen Hei"/>
        <family val="2"/>
      </rPr>
      <t xml:space="preserve">은 원본 최저가 입력 오류로 보여 재확인 필요</t>
    </r>
  </si>
  <si>
    <t xml:space="preserve">No</t>
  </si>
  <si>
    <t xml:space="preserve">분류</t>
  </si>
  <si>
    <t xml:space="preserve">상품명</t>
  </si>
  <si>
    <t xml:space="preserve">우리 판매가</t>
  </si>
  <si>
    <t xml:space="preserve">타업체 최저가</t>
  </si>
  <si>
    <t xml:space="preserve">최저가 업체</t>
  </si>
  <si>
    <r>
      <rPr>
        <b val="true"/>
        <sz val="11"/>
        <color rgb="FFFFFFFF"/>
        <rFont val="WenQuanYi Zen Hei"/>
        <family val="2"/>
      </rPr>
      <t xml:space="preserve">차액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우리</t>
    </r>
    <r>
      <rPr>
        <b val="true"/>
        <sz val="11"/>
        <color rgb="FFFFFFFF"/>
        <rFont val="Arial"/>
        <family val="0"/>
        <charset val="1"/>
      </rPr>
      <t xml:space="preserve">-</t>
    </r>
    <r>
      <rPr>
        <b val="true"/>
        <sz val="11"/>
        <color rgb="FFFFFFFF"/>
        <rFont val="WenQuanYi Zen Hei"/>
        <family val="2"/>
      </rPr>
      <t xml:space="preserve">최저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</si>
  <si>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차이율</t>
  </si>
  <si>
    <t xml:space="preserve">판정</t>
  </si>
  <si>
    <t xml:space="preserve">시중가격대</t>
  </si>
  <si>
    <t xml:space="preserve">경쟁정도</t>
  </si>
  <si>
    <t xml:space="preserve">비고</t>
  </si>
  <si>
    <r>
      <rPr>
        <sz val="11"/>
        <rFont val="WenQuanYi Zen Hei"/>
        <family val="2"/>
      </rPr>
      <t xml:space="preserve">안드로이드</t>
    </r>
    <r>
      <rPr>
        <sz val="11"/>
        <rFont val="Arial"/>
        <family val="0"/>
        <charset val="1"/>
      </rPr>
      <t xml:space="preserve">OS</t>
    </r>
  </si>
  <si>
    <t xml:space="preserve">TC53</t>
  </si>
  <si>
    <t xml:space="preserve">더원시스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</si>
  <si>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18</t>
    </r>
    <r>
      <rPr>
        <sz val="11"/>
        <rFont val="WenQuanYi Zen Hei"/>
        <family val="2"/>
      </rPr>
      <t xml:space="preserve">행</t>
    </r>
  </si>
  <si>
    <r>
      <rPr>
        <sz val="11"/>
        <rFont val="WenQuanYi Zen Hei"/>
        <family val="2"/>
      </rPr>
      <t xml:space="preserve">소형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데스크탑</t>
    </r>
    <r>
      <rPr>
        <sz val="11"/>
        <rFont val="Arial"/>
        <family val="0"/>
        <charset val="1"/>
      </rPr>
      <t xml:space="preserve">)</t>
    </r>
  </si>
  <si>
    <t xml:space="preserve">G500</t>
  </si>
  <si>
    <t xml:space="preserve">글로비잇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</si>
  <si>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27</t>
    </r>
    <r>
      <rPr>
        <sz val="11"/>
        <rFont val="WenQuanYi Zen Hei"/>
        <family val="2"/>
      </rPr>
      <t xml:space="preserve">행</t>
    </r>
  </si>
  <si>
    <t xml:space="preserve">산업용</t>
  </si>
  <si>
    <t xml:space="preserve">B-EX4T1</t>
  </si>
  <si>
    <t xml:space="preserve">중간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</si>
  <si>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40</t>
    </r>
    <r>
      <rPr>
        <sz val="11"/>
        <rFont val="WenQuanYi Zen Hei"/>
        <family val="2"/>
      </rPr>
      <t xml:space="preserve">행</t>
    </r>
  </si>
  <si>
    <t xml:space="preserve">휴대용</t>
  </si>
  <si>
    <t xml:space="preserve">PT-P300BT</t>
  </si>
  <si>
    <t xml:space="preserve">바오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</si>
  <si>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93</t>
    </r>
    <r>
      <rPr>
        <sz val="11"/>
        <rFont val="WenQuanYi Zen Hei"/>
        <family val="2"/>
      </rPr>
      <t xml:space="preserve">행</t>
    </r>
  </si>
  <si>
    <t xml:space="preserve">영수증</t>
  </si>
  <si>
    <t xml:space="preserve">TM-T88VII</t>
  </si>
  <si>
    <t xml:space="preserve">엠스타샵</t>
  </si>
  <si>
    <t xml:space="preserve">234300~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</si>
  <si>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291</t>
    </r>
    <r>
      <rPr>
        <sz val="11"/>
        <rFont val="WenQuanYi Zen Hei"/>
        <family val="2"/>
      </rPr>
      <t xml:space="preserve">행</t>
    </r>
  </si>
  <si>
    <t xml:space="preserve">ZT421</t>
  </si>
  <si>
    <t xml:space="preserve">EarthWide Mark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</si>
  <si>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6</t>
    </r>
    <r>
      <rPr>
        <sz val="11"/>
        <rFont val="WenQuanYi Zen Hei"/>
        <family val="2"/>
      </rPr>
      <t xml:space="preserve">행</t>
    </r>
  </si>
  <si>
    <t xml:space="preserve">RT230i</t>
  </si>
  <si>
    <t xml:space="preserve">바코드다판다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</si>
  <si>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359</t>
    </r>
    <r>
      <rPr>
        <sz val="11"/>
        <rFont val="WenQuanYi Zen Hei"/>
        <family val="2"/>
      </rPr>
      <t xml:space="preserve">행</t>
    </r>
  </si>
  <si>
    <t xml:space="preserve">PX45</t>
  </si>
  <si>
    <t xml:space="preserve">우주사무기</t>
  </si>
  <si>
    <r>
      <rPr>
        <sz val="11"/>
        <rFont val="Arial"/>
        <family val="0"/>
        <charset val="1"/>
      </rPr>
      <t xml:space="preserve">350</t>
    </r>
    <r>
      <rPr>
        <sz val="11"/>
        <rFont val="WenQuanYi Zen Hei"/>
        <family val="2"/>
      </rPr>
      <t xml:space="preserve">만원</t>
    </r>
    <r>
      <rPr>
        <sz val="11"/>
        <rFont val="Arial"/>
        <family val="0"/>
        <charset val="1"/>
      </rPr>
      <t xml:space="preserve">~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</si>
  <si>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221</t>
    </r>
    <r>
      <rPr>
        <sz val="11"/>
        <rFont val="WenQuanYi Zen Hei"/>
        <family val="2"/>
      </rPr>
      <t xml:space="preserve">행</t>
    </r>
  </si>
  <si>
    <r>
      <rPr>
        <sz val="11"/>
        <rFont val="Arial"/>
        <family val="0"/>
        <charset val="1"/>
      </rPr>
      <t xml:space="preserve">RT200i/</t>
    </r>
    <r>
      <rPr>
        <sz val="11"/>
        <rFont val="WenQuanYi Zen Hei"/>
        <family val="2"/>
      </rPr>
      <t xml:space="preserve">최저가고민</t>
    </r>
  </si>
  <si>
    <r>
      <rPr>
        <sz val="11"/>
        <rFont val="WenQuanYi Zen Hei"/>
        <family val="2"/>
      </rPr>
      <t xml:space="preserve">아크메시스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확인필요</t>
    </r>
    <r>
      <rPr>
        <sz val="11"/>
        <rFont val="Arial"/>
        <family val="0"/>
        <charset val="1"/>
      </rPr>
      <t xml:space="preserve">)</t>
    </r>
  </si>
  <si>
    <t xml:space="preserve">435000~</t>
  </si>
  <si>
    <t xml:space="preserve">주간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</si>
  <si>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403</t>
    </r>
    <r>
      <rPr>
        <sz val="11"/>
        <rFont val="WenQuanYi Zen Hei"/>
        <family val="2"/>
      </rPr>
      <t xml:space="preserve">행</t>
    </r>
  </si>
  <si>
    <t xml:space="preserve">ZT610</t>
  </si>
  <si>
    <t xml:space="preserve">디앤에스테크</t>
  </si>
  <si>
    <t xml:space="preserve">3500000~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</si>
  <si>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14</t>
    </r>
    <r>
      <rPr>
        <sz val="11"/>
        <rFont val="WenQuanYi Zen Hei"/>
        <family val="2"/>
      </rPr>
      <t xml:space="preserve">행</t>
    </r>
  </si>
  <si>
    <t xml:space="preserve">감열</t>
  </si>
  <si>
    <t xml:space="preserve">ZD421D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</si>
  <si>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407</t>
    </r>
    <r>
      <rPr>
        <sz val="11"/>
        <rFont val="WenQuanYi Zen Hei"/>
        <family val="2"/>
      </rPr>
      <t xml:space="preserve">행</t>
    </r>
  </si>
  <si>
    <t xml:space="preserve">SLP-DL410</t>
  </si>
  <si>
    <t xml:space="preserve">에이원바코드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</si>
  <si>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154</t>
    </r>
    <r>
      <rPr>
        <sz val="11"/>
        <rFont val="WenQuanYi Zen Hei"/>
        <family val="2"/>
      </rPr>
      <t xml:space="preserve">행</t>
    </r>
  </si>
  <si>
    <t xml:space="preserve">QL-800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</si>
  <si>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89</t>
    </r>
    <r>
      <rPr>
        <sz val="11"/>
        <rFont val="WenQuanYi Zen Hei"/>
        <family val="2"/>
      </rPr>
      <t xml:space="preserve">행</t>
    </r>
  </si>
  <si>
    <t xml:space="preserve">B-EX6T1-TS</t>
  </si>
  <si>
    <t xml:space="preserve">바코드랩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</si>
  <si>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53</t>
    </r>
    <r>
      <rPr>
        <sz val="11"/>
        <rFont val="WenQuanYi Zen Hei"/>
        <family val="2"/>
      </rPr>
      <t xml:space="preserve">행</t>
    </r>
  </si>
  <si>
    <t xml:space="preserve">RT730i</t>
  </si>
  <si>
    <t xml:space="preserve">컴퓨존</t>
  </si>
  <si>
    <t xml:space="preserve">803000~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</si>
  <si>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358</t>
    </r>
    <r>
      <rPr>
        <sz val="11"/>
        <rFont val="WenQuanYi Zen Hei"/>
        <family val="2"/>
      </rPr>
      <t xml:space="preserve">행</t>
    </r>
  </si>
  <si>
    <t xml:space="preserve">G500+</t>
  </si>
  <si>
    <t xml:space="preserve">하우포유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</si>
  <si>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212</t>
    </r>
    <r>
      <rPr>
        <sz val="11"/>
        <rFont val="WenQuanYi Zen Hei"/>
        <family val="2"/>
      </rPr>
      <t xml:space="preserve">행</t>
    </r>
  </si>
  <si>
    <t xml:space="preserve">ZT510</t>
  </si>
  <si>
    <t xml:space="preserve">2099000~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</si>
  <si>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49</t>
    </r>
    <r>
      <rPr>
        <sz val="11"/>
        <rFont val="WenQuanYi Zen Hei"/>
        <family val="2"/>
      </rPr>
      <t xml:space="preserve">행</t>
    </r>
  </si>
  <si>
    <t xml:space="preserve">TTP247</t>
  </si>
  <si>
    <t xml:space="preserve">트로닉스샵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</si>
  <si>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25</t>
    </r>
    <r>
      <rPr>
        <sz val="11"/>
        <rFont val="WenQuanYi Zen Hei"/>
        <family val="2"/>
      </rPr>
      <t xml:space="preserve">행</t>
    </r>
  </si>
  <si>
    <t xml:space="preserve">TTE-72FX</t>
  </si>
  <si>
    <t xml:space="preserve">다나와바코드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</si>
  <si>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20</t>
    </r>
    <r>
      <rPr>
        <sz val="11"/>
        <rFont val="WenQuanYi Zen Hei"/>
        <family val="2"/>
      </rPr>
      <t xml:space="preserve">행</t>
    </r>
  </si>
  <si>
    <t xml:space="preserve">ZT411</t>
  </si>
  <si>
    <t xml:space="preserve">쿠쿠루마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</si>
  <si>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행</t>
    </r>
  </si>
  <si>
    <t xml:space="preserve">DA220</t>
  </si>
  <si>
    <t xml:space="preserve">포스총판</t>
  </si>
  <si>
    <t xml:space="preserve">220000!~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</si>
  <si>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398</t>
    </r>
    <r>
      <rPr>
        <sz val="11"/>
        <rFont val="WenQuanYi Zen Hei"/>
        <family val="2"/>
      </rPr>
      <t xml:space="preserve">행</t>
    </r>
  </si>
  <si>
    <t xml:space="preserve">ZD421T 200DPI</t>
  </si>
  <si>
    <r>
      <rPr>
        <sz val="11"/>
        <rFont val="Arial"/>
        <family val="0"/>
        <charset val="1"/>
      </rPr>
      <t xml:space="preserve">BA</t>
    </r>
    <r>
      <rPr>
        <sz val="11"/>
        <rFont val="WenQuanYi Zen Hei"/>
        <family val="2"/>
      </rPr>
      <t xml:space="preserve">인터네셔널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</si>
  <si>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370</t>
    </r>
    <r>
      <rPr>
        <sz val="11"/>
        <rFont val="WenQuanYi Zen Hei"/>
        <family val="2"/>
      </rPr>
      <t xml:space="preserve">행</t>
    </r>
  </si>
  <si>
    <t xml:space="preserve">TTP-384MT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</si>
  <si>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228</t>
    </r>
    <r>
      <rPr>
        <sz val="11"/>
        <rFont val="WenQuanYi Zen Hei"/>
        <family val="2"/>
      </rPr>
      <t xml:space="preserve">행</t>
    </r>
  </si>
  <si>
    <r>
      <rPr>
        <sz val="11"/>
        <rFont val="Arial"/>
        <family val="0"/>
        <charset val="1"/>
      </rPr>
      <t xml:space="preserve">RT200/</t>
    </r>
    <r>
      <rPr>
        <sz val="11"/>
        <rFont val="WenQuanYi Zen Hei"/>
        <family val="2"/>
      </rPr>
      <t xml:space="preserve">최저가고민</t>
    </r>
  </si>
  <si>
    <r>
      <rPr>
        <sz val="11"/>
        <rFont val="WenQuanYi Zen Hei"/>
        <family val="2"/>
      </rPr>
      <t xml:space="preserve">하우포유</t>
    </r>
    <r>
      <rPr>
        <sz val="11"/>
        <rFont val="Arial"/>
        <family val="0"/>
        <charset val="1"/>
      </rPr>
      <t xml:space="preserve">,</t>
    </r>
    <r>
      <rPr>
        <sz val="11"/>
        <rFont val="WenQuanYi Zen Hei"/>
        <family val="2"/>
      </rPr>
      <t xml:space="preserve">전문몰</t>
    </r>
  </si>
  <si>
    <t xml:space="preserve">330000~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</si>
  <si>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404</t>
    </r>
    <r>
      <rPr>
        <sz val="11"/>
        <rFont val="WenQuanYi Zen Hei"/>
        <family val="2"/>
      </rPr>
      <t xml:space="preserve">행</t>
    </r>
  </si>
  <si>
    <t xml:space="preserve">SLK-TS100</t>
  </si>
  <si>
    <t xml:space="preserve">신화정보시스템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</si>
  <si>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186</t>
    </r>
    <r>
      <rPr>
        <sz val="11"/>
        <rFont val="WenQuanYi Zen Hei"/>
        <family val="2"/>
      </rPr>
      <t xml:space="preserve">행</t>
    </r>
  </si>
  <si>
    <t xml:space="preserve">PX65</t>
  </si>
  <si>
    <r>
      <rPr>
        <sz val="11"/>
        <rFont val="Arial"/>
        <family val="0"/>
        <charset val="1"/>
      </rPr>
      <t xml:space="preserve">420</t>
    </r>
    <r>
      <rPr>
        <sz val="11"/>
        <rFont val="WenQuanYi Zen Hei"/>
        <family val="2"/>
      </rPr>
      <t xml:space="preserve">만원</t>
    </r>
    <r>
      <rPr>
        <sz val="11"/>
        <rFont val="Arial"/>
        <family val="0"/>
        <charset val="1"/>
      </rPr>
      <t xml:space="preserve">~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</si>
  <si>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220</t>
    </r>
    <r>
      <rPr>
        <sz val="11"/>
        <rFont val="WenQuanYi Zen Hei"/>
        <family val="2"/>
      </rPr>
      <t xml:space="preserve">행</t>
    </r>
  </si>
  <si>
    <t xml:space="preserve">ZX1200i</t>
  </si>
  <si>
    <r>
      <rPr>
        <sz val="11"/>
        <rFont val="WenQuanYi Zen Hei"/>
        <family val="2"/>
      </rPr>
      <t xml:space="preserve">지오바코드</t>
    </r>
    <r>
      <rPr>
        <sz val="11"/>
        <rFont val="Arial"/>
        <family val="0"/>
        <charset val="1"/>
      </rPr>
      <t xml:space="preserve">,</t>
    </r>
    <r>
      <rPr>
        <sz val="11"/>
        <rFont val="WenQuanYi Zen Hei"/>
        <family val="2"/>
      </rPr>
      <t xml:space="preserve">전문몰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</si>
  <si>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19</t>
    </r>
    <r>
      <rPr>
        <sz val="11"/>
        <rFont val="WenQuanYi Zen Hei"/>
        <family val="2"/>
      </rPr>
      <t xml:space="preserve">행</t>
    </r>
  </si>
  <si>
    <r>
      <rPr>
        <sz val="11"/>
        <rFont val="Arial"/>
        <family val="0"/>
        <charset val="1"/>
      </rPr>
      <t xml:space="preserve">DT2x/</t>
    </r>
    <r>
      <rPr>
        <sz val="11"/>
        <rFont val="WenQuanYi Zen Hei"/>
        <family val="2"/>
      </rPr>
      <t xml:space="preserve">최저가 고민</t>
    </r>
  </si>
  <si>
    <t xml:space="preserve">올인원솔루션</t>
  </si>
  <si>
    <t xml:space="preserve">324000~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</si>
  <si>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406</t>
    </r>
    <r>
      <rPr>
        <sz val="11"/>
        <rFont val="WenQuanYi Zen Hei"/>
        <family val="2"/>
      </rPr>
      <t xml:space="preserve">행</t>
    </r>
  </si>
  <si>
    <t xml:space="preserve">PT-P950NW</t>
  </si>
  <si>
    <t xml:space="preserve">하르덴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</si>
  <si>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90</t>
    </r>
    <r>
      <rPr>
        <sz val="11"/>
        <rFont val="WenQuanYi Zen Hei"/>
        <family val="2"/>
      </rPr>
      <t xml:space="preserve">행</t>
    </r>
  </si>
  <si>
    <t xml:space="preserve">PM45</t>
  </si>
  <si>
    <t xml:space="preserve">바코드월드</t>
  </si>
  <si>
    <r>
      <rPr>
        <sz val="11"/>
        <rFont val="Arial"/>
        <family val="0"/>
        <charset val="1"/>
      </rPr>
      <t xml:space="preserve">165</t>
    </r>
    <r>
      <rPr>
        <sz val="11"/>
        <rFont val="WenQuanYi Zen Hei"/>
        <family val="2"/>
      </rPr>
      <t xml:space="preserve">만원</t>
    </r>
    <r>
      <rPr>
        <sz val="11"/>
        <rFont val="Arial"/>
        <family val="0"/>
        <charset val="1"/>
      </rPr>
      <t xml:space="preserve">~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</si>
  <si>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15</t>
    </r>
    <r>
      <rPr>
        <sz val="11"/>
        <rFont val="WenQuanYi Zen Hei"/>
        <family val="2"/>
      </rPr>
      <t xml:space="preserve">행</t>
    </r>
  </si>
  <si>
    <t xml:space="preserve">ZD421T 300DPI</t>
  </si>
  <si>
    <t xml:space="preserve">인스텍코리아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</si>
  <si>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263</t>
    </r>
    <r>
      <rPr>
        <sz val="11"/>
        <rFont val="WenQuanYi Zen Hei"/>
        <family val="2"/>
      </rPr>
      <t xml:space="preserve">행</t>
    </r>
  </si>
  <si>
    <t xml:space="preserve">LK-B30IIE</t>
  </si>
  <si>
    <t xml:space="preserve">하이하이몰</t>
  </si>
  <si>
    <t xml:space="preserve">175000~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</si>
  <si>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284</t>
    </r>
    <r>
      <rPr>
        <sz val="11"/>
        <rFont val="WenQuanYi Zen Hei"/>
        <family val="2"/>
      </rPr>
      <t xml:space="preserve">행</t>
    </r>
  </si>
  <si>
    <t xml:space="preserve">ZT620</t>
  </si>
  <si>
    <t xml:space="preserve">바코드장터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</si>
  <si>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48</t>
    </r>
    <r>
      <rPr>
        <sz val="11"/>
        <rFont val="WenQuanYi Zen Hei"/>
        <family val="2"/>
      </rPr>
      <t xml:space="preserve">행</t>
    </r>
  </si>
  <si>
    <t xml:space="preserve">PT-H110BW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</si>
  <si>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94</t>
    </r>
    <r>
      <rPr>
        <sz val="11"/>
        <rFont val="WenQuanYi Zen Hei"/>
        <family val="2"/>
      </rPr>
      <t xml:space="preserve">행</t>
    </r>
  </si>
  <si>
    <t xml:space="preserve">ZD230T</t>
  </si>
  <si>
    <t xml:space="preserve">제벡스코리아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</si>
  <si>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153</t>
    </r>
    <r>
      <rPr>
        <sz val="11"/>
        <rFont val="WenQuanYi Zen Hei"/>
        <family val="2"/>
      </rPr>
      <t xml:space="preserve">행</t>
    </r>
  </si>
  <si>
    <t xml:space="preserve">손목띠</t>
  </si>
  <si>
    <t xml:space="preserve">TDP247</t>
  </si>
  <si>
    <t xml:space="preserve">바이라벨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</si>
  <si>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85</t>
    </r>
    <r>
      <rPr>
        <sz val="11"/>
        <rFont val="WenQuanYi Zen Hei"/>
        <family val="2"/>
      </rPr>
      <t xml:space="preserve">행</t>
    </r>
  </si>
  <si>
    <t xml:space="preserve">ZD411D</t>
  </si>
  <si>
    <t xml:space="preserve">주노바코드스토어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</si>
  <si>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290</t>
    </r>
    <r>
      <rPr>
        <sz val="11"/>
        <rFont val="WenQuanYi Zen Hei"/>
        <family val="2"/>
      </rPr>
      <t xml:space="preserve">행</t>
    </r>
  </si>
  <si>
    <t xml:space="preserve">DT4</t>
  </si>
  <si>
    <t xml:space="preserve">지오바코드</t>
  </si>
  <si>
    <t xml:space="preserve">329000~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</si>
  <si>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405</t>
    </r>
    <r>
      <rPr>
        <sz val="11"/>
        <rFont val="WenQuanYi Zen Hei"/>
        <family val="2"/>
      </rPr>
      <t xml:space="preserve">행</t>
    </r>
  </si>
  <si>
    <r>
      <rPr>
        <sz val="11"/>
        <rFont val="Arial"/>
        <family val="0"/>
        <charset val="1"/>
      </rPr>
      <t xml:space="preserve">ZD230D/</t>
    </r>
    <r>
      <rPr>
        <sz val="11"/>
        <rFont val="WenQuanYi Zen Hei"/>
        <family val="2"/>
      </rPr>
      <t xml:space="preserve">쇼핑검색</t>
    </r>
    <r>
      <rPr>
        <sz val="11"/>
        <rFont val="Arial"/>
        <family val="0"/>
        <charset val="1"/>
      </rPr>
      <t xml:space="preserve">off</t>
    </r>
  </si>
  <si>
    <t xml:space="preserve">194000~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</si>
  <si>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151</t>
    </r>
    <r>
      <rPr>
        <sz val="11"/>
        <rFont val="WenQuanYi Zen Hei"/>
        <family val="2"/>
      </rPr>
      <t xml:space="preserve">행</t>
    </r>
  </si>
  <si>
    <t xml:space="preserve">MH241T / MH341T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</si>
  <si>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56</t>
    </r>
    <r>
      <rPr>
        <sz val="11"/>
        <rFont val="WenQuanYi Zen Hei"/>
        <family val="2"/>
      </rPr>
      <t xml:space="preserve">행</t>
    </r>
  </si>
  <si>
    <t xml:space="preserve">BV420T</t>
  </si>
  <si>
    <t xml:space="preserve">한국바코드시스템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</si>
  <si>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259</t>
    </r>
    <r>
      <rPr>
        <sz val="11"/>
        <rFont val="WenQuanYi Zen Hei"/>
        <family val="2"/>
      </rPr>
      <t xml:space="preserve">행</t>
    </r>
  </si>
  <si>
    <t xml:space="preserve">PX940V</t>
  </si>
  <si>
    <t xml:space="preserve">바코드싸다구</t>
  </si>
  <si>
    <r>
      <rPr>
        <sz val="11"/>
        <rFont val="Arial"/>
        <family val="0"/>
        <charset val="1"/>
      </rPr>
      <t xml:space="preserve">485</t>
    </r>
    <r>
      <rPr>
        <sz val="11"/>
        <rFont val="WenQuanYi Zen Hei"/>
        <family val="2"/>
      </rPr>
      <t xml:space="preserve">만원</t>
    </r>
    <r>
      <rPr>
        <sz val="11"/>
        <rFont val="Arial"/>
        <family val="0"/>
        <charset val="1"/>
      </rPr>
      <t xml:space="preserve">~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</si>
  <si>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51</t>
    </r>
    <r>
      <rPr>
        <sz val="11"/>
        <rFont val="WenQuanYi Zen Hei"/>
        <family val="2"/>
      </rPr>
      <t xml:space="preserve">행</t>
    </r>
  </si>
  <si>
    <t xml:space="preserve">RT700i</t>
  </si>
  <si>
    <t xml:space="preserve">엠알오프로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</si>
  <si>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402</t>
    </r>
    <r>
      <rPr>
        <sz val="11"/>
        <rFont val="WenQuanYi Zen Hei"/>
        <family val="2"/>
      </rPr>
      <t xml:space="preserve">행</t>
    </r>
  </si>
  <si>
    <t xml:space="preserve">CL-S400DT</t>
  </si>
  <si>
    <t xml:space="preserve">바코드세일즈</t>
  </si>
  <si>
    <t xml:space="preserve">440000~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</si>
  <si>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148</t>
    </r>
    <r>
      <rPr>
        <sz val="11"/>
        <rFont val="WenQuanYi Zen Hei"/>
        <family val="2"/>
      </rPr>
      <t xml:space="preserve">행</t>
    </r>
  </si>
  <si>
    <t xml:space="preserve">TTP345</t>
  </si>
  <si>
    <t xml:space="preserve">테크스캔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</si>
  <si>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307</t>
    </r>
    <r>
      <rPr>
        <sz val="11"/>
        <rFont val="WenQuanYi Zen Hei"/>
        <family val="2"/>
      </rPr>
      <t xml:space="preserve">행</t>
    </r>
  </si>
  <si>
    <t xml:space="preserve">DA210</t>
  </si>
  <si>
    <t xml:space="preserve">223000~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</si>
  <si>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399</t>
    </r>
    <r>
      <rPr>
        <sz val="11"/>
        <rFont val="WenQuanYi Zen Hei"/>
        <family val="2"/>
      </rPr>
      <t xml:space="preserve">행</t>
    </r>
  </si>
  <si>
    <t xml:space="preserve">TSC-TX610</t>
  </si>
  <si>
    <t xml:space="preserve">트로닉스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</si>
  <si>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271</t>
    </r>
    <r>
      <rPr>
        <sz val="11"/>
        <rFont val="WenQuanYi Zen Hei"/>
        <family val="2"/>
      </rPr>
      <t xml:space="preserve">행</t>
    </r>
  </si>
  <si>
    <t xml:space="preserve">BA420T-GS</t>
  </si>
  <si>
    <t xml:space="preserve">우리바코드몰</t>
  </si>
  <si>
    <t xml:space="preserve">1199000~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</si>
  <si>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29</t>
    </r>
    <r>
      <rPr>
        <sz val="11"/>
        <rFont val="WenQuanYi Zen Hei"/>
        <family val="2"/>
      </rPr>
      <t xml:space="preserve">행</t>
    </r>
  </si>
  <si>
    <t xml:space="preserve">PT-P900W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</si>
  <si>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91</t>
    </r>
    <r>
      <rPr>
        <sz val="11"/>
        <rFont val="WenQuanYi Zen Hei"/>
        <family val="2"/>
      </rPr>
      <t xml:space="preserve">행</t>
    </r>
  </si>
  <si>
    <t xml:space="preserve">칼라프린터</t>
  </si>
  <si>
    <t xml:space="preserve">CW-C8040</t>
  </si>
  <si>
    <t xml:space="preserve">7600000~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</si>
  <si>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268</t>
    </r>
    <r>
      <rPr>
        <sz val="11"/>
        <rFont val="WenQuanYi Zen Hei"/>
        <family val="2"/>
      </rPr>
      <t xml:space="preserve">행</t>
    </r>
  </si>
  <si>
    <t xml:space="preserve">PT-D450</t>
  </si>
  <si>
    <t xml:space="preserve">게스빌</t>
  </si>
  <si>
    <t xml:space="preserve">149000~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</si>
  <si>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95</t>
    </r>
    <r>
      <rPr>
        <sz val="11"/>
        <rFont val="WenQuanYi Zen Hei"/>
        <family val="2"/>
      </rPr>
      <t xml:space="preserve">행</t>
    </r>
  </si>
  <si>
    <t xml:space="preserve">BV420D</t>
  </si>
  <si>
    <t xml:space="preserve">코드엠디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</si>
  <si>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184</t>
    </r>
    <r>
      <rPr>
        <sz val="11"/>
        <rFont val="WenQuanYi Zen Hei"/>
        <family val="2"/>
      </rPr>
      <t xml:space="preserve">행</t>
    </r>
  </si>
  <si>
    <t xml:space="preserve">TE310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</si>
  <si>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280</t>
    </r>
    <r>
      <rPr>
        <sz val="11"/>
        <rFont val="WenQuanYi Zen Hei"/>
        <family val="2"/>
      </rPr>
      <t xml:space="preserve">행</t>
    </r>
  </si>
  <si>
    <t xml:space="preserve">CL4NX PLUS</t>
  </si>
  <si>
    <r>
      <rPr>
        <sz val="11"/>
        <rFont val="Arial"/>
        <family val="0"/>
        <charset val="1"/>
      </rPr>
      <t xml:space="preserve">200</t>
    </r>
    <r>
      <rPr>
        <sz val="11"/>
        <rFont val="WenQuanYi Zen Hei"/>
        <family val="2"/>
      </rPr>
      <t xml:space="preserve">만원</t>
    </r>
    <r>
      <rPr>
        <sz val="11"/>
        <rFont val="Arial"/>
        <family val="0"/>
        <charset val="1"/>
      </rPr>
      <t xml:space="preserve">~</t>
    </r>
  </si>
  <si>
    <r>
      <rPr>
        <sz val="11"/>
        <rFont val="WenQuanYi Zen Hei"/>
        <family val="2"/>
      </rPr>
      <t xml:space="preserve">원본에서 최저가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업체 칸이 뒤바뀌어 있음 </t>
    </r>
    <r>
      <rPr>
        <sz val="11"/>
        <rFont val="Arial"/>
        <family val="0"/>
        <charset val="1"/>
      </rPr>
      <t xml:space="preserve">(1999990(</t>
    </r>
    <r>
      <rPr>
        <sz val="11"/>
        <rFont val="WenQuanYi Zen Hei"/>
        <family val="2"/>
      </rPr>
      <t xml:space="preserve">쿠폰포함</t>
    </r>
    <r>
      <rPr>
        <sz val="11"/>
        <rFont val="Arial"/>
        <family val="0"/>
        <charset val="1"/>
      </rPr>
      <t xml:space="preserve">)) / </t>
    </r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44</t>
    </r>
    <r>
      <rPr>
        <sz val="11"/>
        <rFont val="WenQuanYi Zen Hei"/>
        <family val="2"/>
      </rPr>
      <t xml:space="preserve">행</t>
    </r>
  </si>
  <si>
    <t xml:space="preserve">XD5-40tR</t>
  </si>
  <si>
    <r>
      <rPr>
        <sz val="11"/>
        <rFont val="WenQuanYi Zen Hei"/>
        <family val="2"/>
      </rPr>
      <t xml:space="preserve">모두</t>
    </r>
    <r>
      <rPr>
        <sz val="11"/>
        <rFont val="Arial"/>
        <family val="0"/>
        <charset val="1"/>
      </rPr>
      <t xml:space="preserve">it</t>
    </r>
  </si>
  <si>
    <r>
      <rPr>
        <sz val="11"/>
        <rFont val="WenQuanYi Zen Hei"/>
        <family val="2"/>
      </rPr>
      <t xml:space="preserve">최저가</t>
    </r>
    <r>
      <rPr>
        <sz val="11"/>
        <rFont val="Arial"/>
        <family val="0"/>
        <charset val="1"/>
      </rPr>
      <t xml:space="preserve">(410</t>
    </r>
    <r>
      <rPr>
        <sz val="11"/>
        <rFont val="WenQuanYi Zen Hei"/>
        <family val="2"/>
      </rPr>
      <t xml:space="preserve">만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가 </t>
    </r>
    <r>
      <rPr>
        <sz val="11"/>
        <rFont val="Arial"/>
        <family val="0"/>
        <charset val="1"/>
      </rPr>
      <t xml:space="preserve">XT5-40NR </t>
    </r>
    <r>
      <rPr>
        <sz val="11"/>
        <rFont val="WenQuanYi Zen Hei"/>
        <family val="2"/>
      </rPr>
      <t xml:space="preserve">가격대와 같음 → 입력 오류 가능성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재확인 필요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270</t>
    </r>
    <r>
      <rPr>
        <sz val="11"/>
        <rFont val="WenQuanYi Zen Hei"/>
        <family val="2"/>
      </rPr>
      <t xml:space="preserve">행</t>
    </r>
  </si>
  <si>
    <t xml:space="preserve">무선스캐너</t>
  </si>
  <si>
    <t xml:space="preserve">LI4278</t>
  </si>
  <si>
    <r>
      <rPr>
        <sz val="11"/>
        <rFont val="Arial"/>
        <family val="0"/>
        <charset val="1"/>
      </rPr>
      <t xml:space="preserve">187</t>
    </r>
    <r>
      <rPr>
        <sz val="11"/>
        <rFont val="WenQuanYi Zen Hei"/>
        <family val="2"/>
      </rPr>
      <t xml:space="preserve">천원</t>
    </r>
    <r>
      <rPr>
        <sz val="11"/>
        <rFont val="Arial"/>
        <family val="0"/>
        <charset val="1"/>
      </rPr>
      <t xml:space="preserve">~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</si>
  <si>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행</t>
    </r>
  </si>
  <si>
    <t xml:space="preserve">탁상형</t>
  </si>
  <si>
    <t xml:space="preserve">DS9308</t>
  </si>
  <si>
    <t xml:space="preserve">에이치스토어</t>
  </si>
  <si>
    <t xml:space="preserve">145000~</t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</si>
  <si>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행</t>
    </r>
  </si>
  <si>
    <t xml:space="preserve">GBT4500</t>
  </si>
  <si>
    <t xml:space="preserve">원인터</t>
  </si>
  <si>
    <r>
      <rPr>
        <sz val="11"/>
        <rFont val="Arial"/>
        <family val="0"/>
        <charset val="1"/>
      </rPr>
      <t xml:space="preserve">588</t>
    </r>
    <r>
      <rPr>
        <sz val="11"/>
        <rFont val="WenQuanYi Zen Hei"/>
        <family val="2"/>
      </rPr>
      <t xml:space="preserve">천원</t>
    </r>
    <r>
      <rPr>
        <sz val="11"/>
        <rFont val="Arial"/>
        <family val="0"/>
        <charset val="1"/>
      </rPr>
      <t xml:space="preserve">~</t>
    </r>
  </si>
  <si>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11</t>
    </r>
    <r>
      <rPr>
        <sz val="11"/>
        <rFont val="WenQuanYi Zen Hei"/>
        <family val="2"/>
      </rPr>
      <t xml:space="preserve">행</t>
    </r>
  </si>
  <si>
    <r>
      <rPr>
        <sz val="11"/>
        <rFont val="Arial"/>
        <family val="0"/>
        <charset val="1"/>
      </rPr>
      <t xml:space="preserve">1D </t>
    </r>
    <r>
      <rPr>
        <sz val="11"/>
        <rFont val="WenQuanYi Zen Hei"/>
        <family val="2"/>
      </rPr>
      <t xml:space="preserve">바코드</t>
    </r>
  </si>
  <si>
    <t xml:space="preserve">SB7700</t>
  </si>
  <si>
    <r>
      <rPr>
        <sz val="11"/>
        <rFont val="WenQuanYi Zen Hei"/>
        <family val="2"/>
      </rPr>
      <t xml:space="preserve">최저가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업체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시중가가 프린터 </t>
    </r>
    <r>
      <rPr>
        <sz val="11"/>
        <rFont val="Arial"/>
        <family val="0"/>
        <charset val="1"/>
      </rPr>
      <t xml:space="preserve">ZT421 </t>
    </r>
    <r>
      <rPr>
        <sz val="11"/>
        <rFont val="WenQuanYi Zen Hei"/>
        <family val="2"/>
      </rPr>
      <t xml:space="preserve">행과 동일 → 복붙 오류로 보임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실제 최저가 재확인 필요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원본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</si>
</sst>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+0%;\-0%"/>
    <numFmt numFmtId="166" formatCode="#,##0;[RED]\-#,##0"/>
    <numFmt numFmtId="167" formatCode="\+0.0%;[RED]\-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i val="true"/>
      <sz val="11"/>
      <color rgb="FF595959"/>
      <name val="WenQuanYi Zen Hei"/>
      <family val="2"/>
    </font>
    <font>
      <i val="true"/>
      <sz val="11"/>
      <color rgb="FF595959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6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B4" s="4" t="s">
        <v>3</v>
      </c>
      <c r="C4" s="5" t="n">
        <v>-0.05</v>
      </c>
      <c r="D4" s="6" t="s">
        <v>4</v>
      </c>
    </row>
    <row r="5" customFormat="false" ht="15" hidden="false" customHeight="false" outlineLevel="0" collapsed="false">
      <c r="B5" s="4" t="s">
        <v>5</v>
      </c>
      <c r="C5" s="5" t="n">
        <v>0.1</v>
      </c>
    </row>
    <row r="6" customFormat="false" ht="15" hidden="false" customHeight="false" outlineLevel="0" collapsed="false">
      <c r="B6" s="4" t="s">
        <v>6</v>
      </c>
      <c r="C6" s="5" t="n">
        <v>0.15</v>
      </c>
    </row>
    <row r="7" customFormat="false" ht="15" hidden="false" customHeight="false" outlineLevel="0" collapsed="false">
      <c r="B7" s="4" t="s">
        <v>7</v>
      </c>
      <c r="C7" s="5" t="n">
        <v>0.3</v>
      </c>
    </row>
    <row r="9" customFormat="false" ht="15" hidden="false" customHeight="false" outlineLevel="0" collapsed="false">
      <c r="A9" s="7" t="s">
        <v>8</v>
      </c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</row>
    <row r="10" customFormat="false" ht="15" hidden="false" customHeight="false" outlineLevel="0" collapsed="false">
      <c r="A10" s="8" t="s">
        <v>14</v>
      </c>
      <c r="B10" s="8" t="n">
        <f aca="false">COUNTIF(PDA!$I$2:$I$2,"낮음")</f>
        <v>0</v>
      </c>
      <c r="C10" s="8" t="n">
        <f aca="false">COUNTIF(PDA!$I$2:$I$2,"다소 높음")</f>
        <v>0</v>
      </c>
      <c r="D10" s="8" t="n">
        <f aca="false">COUNTIF(PDA!$I$2:$I$2,"높음")</f>
        <v>1</v>
      </c>
      <c r="E10" s="8" t="n">
        <f aca="false">COUNTIF(PDA!$I$2:$I$2,"매우 높음")</f>
        <v>0</v>
      </c>
      <c r="F10" s="8" t="n">
        <f aca="false">SUM(B10:E10)</f>
        <v>1</v>
      </c>
    </row>
    <row r="11" customFormat="false" ht="15" hidden="false" customHeight="false" outlineLevel="0" collapsed="false">
      <c r="A11" s="9" t="s">
        <v>15</v>
      </c>
      <c r="B11" s="9" t="n">
        <f aca="false">COUNTIF(프린터!$I$2:$I$55,"낮음")</f>
        <v>1</v>
      </c>
      <c r="C11" s="9" t="n">
        <f aca="false">COUNTIF(프린터!$I$2:$I$55,"다소 높음")</f>
        <v>10</v>
      </c>
      <c r="D11" s="9" t="n">
        <f aca="false">COUNTIF(프린터!$I$2:$I$55,"높음")</f>
        <v>28</v>
      </c>
      <c r="E11" s="9" t="n">
        <f aca="false">COUNTIF(프린터!$I$2:$I$55,"매우 높음")</f>
        <v>15</v>
      </c>
      <c r="F11" s="9" t="n">
        <f aca="false">SUM(B11:E11)</f>
        <v>54</v>
      </c>
    </row>
    <row r="12" customFormat="false" ht="15" hidden="false" customHeight="false" outlineLevel="0" collapsed="false">
      <c r="A12" s="9" t="s">
        <v>16</v>
      </c>
      <c r="B12" s="9" t="n">
        <f aca="false">COUNTIF(스캐너!$I$2:$I$5,"낮음")</f>
        <v>1</v>
      </c>
      <c r="C12" s="9" t="n">
        <f aca="false">COUNTIF(스캐너!$I$2:$I$5,"다소 높음")</f>
        <v>1</v>
      </c>
      <c r="D12" s="9" t="n">
        <f aca="false">COUNTIF(스캐너!$I$2:$I$5,"높음")</f>
        <v>0</v>
      </c>
      <c r="E12" s="9" t="n">
        <f aca="false">COUNTIF(스캐너!$I$2:$I$5,"매우 높음")</f>
        <v>2</v>
      </c>
      <c r="F12" s="9" t="n">
        <f aca="false">SUM(B12:E12)</f>
        <v>4</v>
      </c>
    </row>
    <row r="13" customFormat="false" ht="15" hidden="false" customHeight="false" outlineLevel="0" collapsed="false">
      <c r="A13" s="10" t="s">
        <v>13</v>
      </c>
      <c r="B13" s="10" t="n">
        <f aca="false">SUM(B10:B12)</f>
        <v>2</v>
      </c>
      <c r="C13" s="10" t="n">
        <f aca="false">SUM(C10:C12)</f>
        <v>11</v>
      </c>
      <c r="D13" s="10" t="n">
        <f aca="false">SUM(D10:D12)</f>
        <v>29</v>
      </c>
      <c r="E13" s="10" t="n">
        <f aca="false">SUM(E10:E12)</f>
        <v>17</v>
      </c>
      <c r="F13" s="10" t="n">
        <f aca="false">SUM(F10:F12)</f>
        <v>59</v>
      </c>
    </row>
    <row r="15" customFormat="false" ht="15" hidden="false" customHeight="false" outlineLevel="0" collapsed="false">
      <c r="A15" s="3" t="s">
        <v>17</v>
      </c>
    </row>
    <row r="16" customFormat="false" ht="15" hidden="false" customHeight="false" outlineLevel="0" collapsed="false">
      <c r="A16" s="11" t="s">
        <v>18</v>
      </c>
    </row>
    <row r="17" customFormat="false" ht="15" hidden="false" customHeight="false" outlineLevel="0" collapsed="false">
      <c r="A17" s="11" t="s">
        <v>19</v>
      </c>
    </row>
    <row r="18" customFormat="false" ht="15" hidden="false" customHeight="false" outlineLevel="0" collapsed="false">
      <c r="A18" s="11" t="s">
        <v>20</v>
      </c>
    </row>
    <row r="19" customFormat="false" ht="15" hidden="false" customHeight="false" outlineLevel="0" collapsed="false">
      <c r="A19" s="1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48"/>
  </cols>
  <sheetData>
    <row r="1" customFormat="false" ht="28.35" hidden="false" customHeight="false" outlineLevel="0" collapsed="false">
      <c r="A1" s="12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</row>
    <row r="2" customFormat="false" ht="15" hidden="false" customHeight="false" outlineLevel="0" collapsed="false">
      <c r="A2" s="14" t="n">
        <v>1</v>
      </c>
      <c r="B2" s="15" t="s">
        <v>34</v>
      </c>
      <c r="C2" s="16" t="s">
        <v>35</v>
      </c>
      <c r="D2" s="17" t="n">
        <v>3300000</v>
      </c>
      <c r="E2" s="17" t="n">
        <v>2639000</v>
      </c>
      <c r="F2" s="15" t="s">
        <v>36</v>
      </c>
      <c r="G2" s="17" t="n">
        <f aca="false">D2-E2</f>
        <v>661000</v>
      </c>
      <c r="H2" s="18" t="n">
        <f aca="false">IF(E2=0,"",G2/E2)</f>
        <v>0.250473664266768</v>
      </c>
      <c r="I2" s="14" t="str">
        <f aca="false">IF(H2&lt;=요약!$C$4,"낮음",IF(H2&gt;=요약!$C$7,"매우 높음",IF(H2&gt;=요약!$C$6,"높음",IF(H2&gt;=요약!$C$5,"다소 높음","적정"))))</f>
        <v>높음</v>
      </c>
      <c r="J2" s="15"/>
      <c r="K2" s="14"/>
      <c r="L2" s="19" t="s">
        <v>37</v>
      </c>
    </row>
  </sheetData>
  <autoFilter ref="A1:L2"/>
  <conditionalFormatting sqref="A2:L2">
    <cfRule type="expression" priority="2" aboveAverage="0" equalAverage="0" bottom="0" percent="0" rank="0" text="" dxfId="4">
      <formula>$I2="매우 높음"</formula>
    </cfRule>
    <cfRule type="expression" priority="3" aboveAverage="0" equalAverage="0" bottom="0" percent="0" rank="0" text="" dxfId="5">
      <formula>$I2="높음"</formula>
    </cfRule>
    <cfRule type="expression" priority="4" aboveAverage="0" equalAverage="0" bottom="0" percent="0" rank="0" text="" dxfId="6">
      <formula>$I2="다소 높음"</formula>
    </cfRule>
    <cfRule type="expression" priority="5" aboveAverage="0" equalAverage="0" bottom="0" percent="0" rank="0" text="" dxfId="7">
      <formula>$I2="낮음"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48"/>
  </cols>
  <sheetData>
    <row r="1" customFormat="false" ht="28.35" hidden="false" customHeight="false" outlineLevel="0" collapsed="false">
      <c r="A1" s="12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</row>
    <row r="2" customFormat="false" ht="15" hidden="false" customHeight="false" outlineLevel="0" collapsed="false">
      <c r="A2" s="14" t="n">
        <v>1</v>
      </c>
      <c r="B2" s="15" t="s">
        <v>38</v>
      </c>
      <c r="C2" s="16" t="s">
        <v>39</v>
      </c>
      <c r="D2" s="17" t="n">
        <v>451000</v>
      </c>
      <c r="E2" s="17" t="n">
        <v>291900</v>
      </c>
      <c r="F2" s="15" t="s">
        <v>40</v>
      </c>
      <c r="G2" s="17" t="n">
        <f aca="false">D2-E2</f>
        <v>159100</v>
      </c>
      <c r="H2" s="18" t="n">
        <f aca="false">IF(E2=0,"",G2/E2)</f>
        <v>0.545049674546077</v>
      </c>
      <c r="I2" s="14" t="str">
        <f aca="false">IF(H2&lt;=요약!$C$4,"낮음",IF(H2&gt;=요약!$C$7,"매우 높음",IF(H2&gt;=요약!$C$6,"높음",IF(H2&gt;=요약!$C$5,"다소 높음","적정"))))</f>
        <v>매우 높음</v>
      </c>
      <c r="J2" s="15" t="n">
        <v>295000</v>
      </c>
      <c r="K2" s="20" t="s">
        <v>11</v>
      </c>
      <c r="L2" s="19" t="s">
        <v>41</v>
      </c>
    </row>
    <row r="3" customFormat="false" ht="15" hidden="false" customHeight="false" outlineLevel="0" collapsed="false">
      <c r="A3" s="20" t="n">
        <v>2</v>
      </c>
      <c r="B3" s="15" t="s">
        <v>42</v>
      </c>
      <c r="C3" s="16" t="s">
        <v>43</v>
      </c>
      <c r="D3" s="17" t="n">
        <v>1500000</v>
      </c>
      <c r="E3" s="17" t="n">
        <v>979000</v>
      </c>
      <c r="F3" s="15" t="s">
        <v>36</v>
      </c>
      <c r="G3" s="17" t="n">
        <f aca="false">D3-E3</f>
        <v>521000</v>
      </c>
      <c r="H3" s="18" t="n">
        <f aca="false">IF(E3=0,"",G3/E3)</f>
        <v>0.53217568947906</v>
      </c>
      <c r="I3" s="20" t="str">
        <f aca="false">IF(H3&lt;=요약!$C$4,"낮음",IF(H3&gt;=요약!$C$7,"매우 높음",IF(H3&gt;=요약!$C$6,"높음",IF(H3&gt;=요약!$C$5,"다소 높음","적정"))))</f>
        <v>매우 높음</v>
      </c>
      <c r="J3" s="15" t="n">
        <v>990000</v>
      </c>
      <c r="K3" s="20" t="s">
        <v>44</v>
      </c>
      <c r="L3" s="19" t="s">
        <v>45</v>
      </c>
    </row>
    <row r="4" customFormat="false" ht="15" hidden="false" customHeight="false" outlineLevel="0" collapsed="false">
      <c r="A4" s="20" t="n">
        <v>3</v>
      </c>
      <c r="B4" s="15" t="s">
        <v>46</v>
      </c>
      <c r="C4" s="16" t="s">
        <v>47</v>
      </c>
      <c r="D4" s="17" t="n">
        <v>109000</v>
      </c>
      <c r="E4" s="17" t="n">
        <v>73730</v>
      </c>
      <c r="F4" s="15" t="s">
        <v>48</v>
      </c>
      <c r="G4" s="17" t="n">
        <f aca="false">D4-E4</f>
        <v>35270</v>
      </c>
      <c r="H4" s="18" t="n">
        <f aca="false">IF(E4=0,"",G4/E4)</f>
        <v>0.47836701478367</v>
      </c>
      <c r="I4" s="20" t="str">
        <f aca="false">IF(H4&lt;=요약!$C$4,"낮음",IF(H4&gt;=요약!$C$7,"매우 높음",IF(H4&gt;=요약!$C$6,"높음",IF(H4&gt;=요약!$C$5,"다소 높음","적정"))))</f>
        <v>매우 높음</v>
      </c>
      <c r="J4" s="15" t="n">
        <v>76000</v>
      </c>
      <c r="K4" s="20" t="s">
        <v>11</v>
      </c>
      <c r="L4" s="19" t="s">
        <v>49</v>
      </c>
    </row>
    <row r="5" customFormat="false" ht="15" hidden="false" customHeight="false" outlineLevel="0" collapsed="false">
      <c r="A5" s="20" t="n">
        <v>4</v>
      </c>
      <c r="B5" s="15" t="s">
        <v>50</v>
      </c>
      <c r="C5" s="16" t="s">
        <v>51</v>
      </c>
      <c r="D5" s="17" t="n">
        <v>343000</v>
      </c>
      <c r="E5" s="17" t="n">
        <v>232300</v>
      </c>
      <c r="F5" s="15" t="s">
        <v>52</v>
      </c>
      <c r="G5" s="17" t="n">
        <f aca="false">D5-E5</f>
        <v>110700</v>
      </c>
      <c r="H5" s="18" t="n">
        <f aca="false">IF(E5=0,"",G5/E5)</f>
        <v>0.47653895824365</v>
      </c>
      <c r="I5" s="20" t="str">
        <f aca="false">IF(H5&lt;=요약!$C$4,"낮음",IF(H5&gt;=요약!$C$7,"매우 높음",IF(H5&gt;=요약!$C$6,"높음",IF(H5&gt;=요약!$C$5,"다소 높음","적정"))))</f>
        <v>매우 높음</v>
      </c>
      <c r="J5" s="16" t="s">
        <v>53</v>
      </c>
      <c r="K5" s="20" t="s">
        <v>44</v>
      </c>
      <c r="L5" s="19" t="s">
        <v>54</v>
      </c>
    </row>
    <row r="6" customFormat="false" ht="15" hidden="false" customHeight="false" outlineLevel="0" collapsed="false">
      <c r="A6" s="20" t="n">
        <v>5</v>
      </c>
      <c r="B6" s="15" t="s">
        <v>42</v>
      </c>
      <c r="C6" s="16" t="s">
        <v>55</v>
      </c>
      <c r="D6" s="17" t="n">
        <v>3300000</v>
      </c>
      <c r="E6" s="17" t="n">
        <v>2280000</v>
      </c>
      <c r="F6" s="16" t="s">
        <v>56</v>
      </c>
      <c r="G6" s="17" t="n">
        <f aca="false">D6-E6</f>
        <v>1020000</v>
      </c>
      <c r="H6" s="18" t="n">
        <f aca="false">IF(E6=0,"",G6/E6)</f>
        <v>0.447368421052632</v>
      </c>
      <c r="I6" s="20" t="str">
        <f aca="false">IF(H6&lt;=요약!$C$4,"낮음",IF(H6&gt;=요약!$C$7,"매우 높음",IF(H6&gt;=요약!$C$6,"높음",IF(H6&gt;=요약!$C$5,"다소 높음","적정"))))</f>
        <v>매우 높음</v>
      </c>
      <c r="J6" s="15" t="n">
        <v>2300000</v>
      </c>
      <c r="K6" s="20" t="s">
        <v>11</v>
      </c>
      <c r="L6" s="19" t="s">
        <v>57</v>
      </c>
    </row>
    <row r="7" customFormat="false" ht="15" hidden="false" customHeight="false" outlineLevel="0" collapsed="false">
      <c r="A7" s="20" t="n">
        <v>6</v>
      </c>
      <c r="B7" s="15" t="s">
        <v>38</v>
      </c>
      <c r="C7" s="16" t="s">
        <v>58</v>
      </c>
      <c r="D7" s="17" t="n">
        <v>635250</v>
      </c>
      <c r="E7" s="17" t="n">
        <v>445000</v>
      </c>
      <c r="F7" s="15" t="s">
        <v>59</v>
      </c>
      <c r="G7" s="17" t="n">
        <f aca="false">D7-E7</f>
        <v>190250</v>
      </c>
      <c r="H7" s="18" t="n">
        <f aca="false">IF(E7=0,"",G7/E7)</f>
        <v>0.42752808988764</v>
      </c>
      <c r="I7" s="20" t="str">
        <f aca="false">IF(H7&lt;=요약!$C$4,"낮음",IF(H7&gt;=요약!$C$7,"매우 높음",IF(H7&gt;=요약!$C$6,"높음",IF(H7&gt;=요약!$C$5,"다소 높음","적정"))))</f>
        <v>매우 높음</v>
      </c>
      <c r="J7" s="15" t="n">
        <v>500000</v>
      </c>
      <c r="K7" s="20" t="s">
        <v>44</v>
      </c>
      <c r="L7" s="19" t="s">
        <v>60</v>
      </c>
    </row>
    <row r="8" customFormat="false" ht="15" hidden="false" customHeight="false" outlineLevel="0" collapsed="false">
      <c r="A8" s="20" t="n">
        <v>7</v>
      </c>
      <c r="B8" s="15" t="s">
        <v>42</v>
      </c>
      <c r="C8" s="16" t="s">
        <v>61</v>
      </c>
      <c r="D8" s="17" t="n">
        <v>4620000</v>
      </c>
      <c r="E8" s="17" t="n">
        <v>3350000</v>
      </c>
      <c r="F8" s="15" t="s">
        <v>62</v>
      </c>
      <c r="G8" s="17" t="n">
        <f aca="false">D8-E8</f>
        <v>1270000</v>
      </c>
      <c r="H8" s="18" t="n">
        <f aca="false">IF(E8=0,"",G8/E8)</f>
        <v>0.37910447761194</v>
      </c>
      <c r="I8" s="20" t="str">
        <f aca="false">IF(H8&lt;=요약!$C$4,"낮음",IF(H8&gt;=요약!$C$7,"매우 높음",IF(H8&gt;=요약!$C$6,"높음",IF(H8&gt;=요약!$C$5,"다소 높음","적정"))))</f>
        <v>매우 높음</v>
      </c>
      <c r="J8" s="16" t="s">
        <v>63</v>
      </c>
      <c r="K8" s="20" t="s">
        <v>44</v>
      </c>
      <c r="L8" s="19" t="s">
        <v>64</v>
      </c>
    </row>
    <row r="9" customFormat="false" ht="15" hidden="false" customHeight="false" outlineLevel="0" collapsed="false">
      <c r="A9" s="20" t="n">
        <v>8</v>
      </c>
      <c r="B9" s="15" t="s">
        <v>38</v>
      </c>
      <c r="C9" s="16" t="s">
        <v>65</v>
      </c>
      <c r="D9" s="17" t="n">
        <v>554400</v>
      </c>
      <c r="E9" s="17" t="n">
        <v>407000</v>
      </c>
      <c r="F9" s="15" t="s">
        <v>66</v>
      </c>
      <c r="G9" s="17" t="n">
        <f aca="false">D9-E9</f>
        <v>147400</v>
      </c>
      <c r="H9" s="18" t="n">
        <f aca="false">IF(E9=0,"",G9/E9)</f>
        <v>0.362162162162162</v>
      </c>
      <c r="I9" s="20" t="str">
        <f aca="false">IF(H9&lt;=요약!$C$4,"낮음",IF(H9&gt;=요약!$C$7,"매우 높음",IF(H9&gt;=요약!$C$6,"높음",IF(H9&gt;=요약!$C$5,"다소 높음","적정"))))</f>
        <v>매우 높음</v>
      </c>
      <c r="J9" s="16" t="s">
        <v>67</v>
      </c>
      <c r="K9" s="20" t="s">
        <v>68</v>
      </c>
      <c r="L9" s="19" t="s">
        <v>69</v>
      </c>
    </row>
    <row r="10" customFormat="false" ht="15" hidden="false" customHeight="false" outlineLevel="0" collapsed="false">
      <c r="A10" s="20" t="n">
        <v>9</v>
      </c>
      <c r="B10" s="15" t="s">
        <v>42</v>
      </c>
      <c r="C10" s="16" t="s">
        <v>70</v>
      </c>
      <c r="D10" s="17" t="n">
        <v>3927000</v>
      </c>
      <c r="E10" s="17" t="n">
        <v>2900000</v>
      </c>
      <c r="F10" s="15" t="s">
        <v>71</v>
      </c>
      <c r="G10" s="17" t="n">
        <f aca="false">D10-E10</f>
        <v>1027000</v>
      </c>
      <c r="H10" s="18" t="n">
        <f aca="false">IF(E10=0,"",G10/E10)</f>
        <v>0.354137931034483</v>
      </c>
      <c r="I10" s="20" t="str">
        <f aca="false">IF(H10&lt;=요약!$C$4,"낮음",IF(H10&gt;=요약!$C$7,"매우 높음",IF(H10&gt;=요약!$C$6,"높음",IF(H10&gt;=요약!$C$5,"다소 높음","적정"))))</f>
        <v>매우 높음</v>
      </c>
      <c r="J10" s="16" t="s">
        <v>72</v>
      </c>
      <c r="K10" s="20" t="s">
        <v>11</v>
      </c>
      <c r="L10" s="19" t="s">
        <v>73</v>
      </c>
    </row>
    <row r="11" customFormat="false" ht="15" hidden="false" customHeight="false" outlineLevel="0" collapsed="false">
      <c r="A11" s="20" t="n">
        <v>10</v>
      </c>
      <c r="B11" s="15" t="s">
        <v>74</v>
      </c>
      <c r="C11" s="16" t="s">
        <v>75</v>
      </c>
      <c r="D11" s="17" t="n">
        <v>550000</v>
      </c>
      <c r="E11" s="17" t="n">
        <v>410000</v>
      </c>
      <c r="F11" s="15" t="s">
        <v>62</v>
      </c>
      <c r="G11" s="17" t="n">
        <f aca="false">D11-E11</f>
        <v>140000</v>
      </c>
      <c r="H11" s="18" t="n">
        <f aca="false">IF(E11=0,"",G11/E11)</f>
        <v>0.341463414634146</v>
      </c>
      <c r="I11" s="20" t="str">
        <f aca="false">IF(H11&lt;=요약!$C$4,"낮음",IF(H11&gt;=요약!$C$7,"매우 높음",IF(H11&gt;=요약!$C$6,"높음",IF(H11&gt;=요약!$C$5,"다소 높음","적정"))))</f>
        <v>매우 높음</v>
      </c>
      <c r="J11" s="15" t="n">
        <v>410000</v>
      </c>
      <c r="K11" s="20" t="s">
        <v>11</v>
      </c>
      <c r="L11" s="19" t="s">
        <v>76</v>
      </c>
    </row>
    <row r="12" customFormat="false" ht="15" hidden="false" customHeight="false" outlineLevel="0" collapsed="false">
      <c r="A12" s="20" t="n">
        <v>11</v>
      </c>
      <c r="B12" s="15" t="s">
        <v>74</v>
      </c>
      <c r="C12" s="16" t="s">
        <v>77</v>
      </c>
      <c r="D12" s="17" t="n">
        <v>380000</v>
      </c>
      <c r="E12" s="17" t="n">
        <v>285000</v>
      </c>
      <c r="F12" s="15" t="s">
        <v>78</v>
      </c>
      <c r="G12" s="17" t="n">
        <f aca="false">D12-E12</f>
        <v>95000</v>
      </c>
      <c r="H12" s="18" t="n">
        <f aca="false">IF(E12=0,"",G12/E12)</f>
        <v>0.333333333333333</v>
      </c>
      <c r="I12" s="20" t="str">
        <f aca="false">IF(H12&lt;=요약!$C$4,"낮음",IF(H12&gt;=요약!$C$7,"매우 높음",IF(H12&gt;=요약!$C$6,"높음",IF(H12&gt;=요약!$C$5,"다소 높음","적정"))))</f>
        <v>매우 높음</v>
      </c>
      <c r="J12" s="15"/>
      <c r="K12" s="20" t="s">
        <v>11</v>
      </c>
      <c r="L12" s="19" t="s">
        <v>79</v>
      </c>
    </row>
    <row r="13" customFormat="false" ht="15" hidden="false" customHeight="false" outlineLevel="0" collapsed="false">
      <c r="A13" s="20" t="n">
        <v>12</v>
      </c>
      <c r="B13" s="15" t="s">
        <v>46</v>
      </c>
      <c r="C13" s="16" t="s">
        <v>80</v>
      </c>
      <c r="D13" s="17" t="n">
        <v>220000</v>
      </c>
      <c r="E13" s="17" t="n">
        <v>166070</v>
      </c>
      <c r="F13" s="15" t="s">
        <v>48</v>
      </c>
      <c r="G13" s="17" t="n">
        <f aca="false">D13-E13</f>
        <v>53930</v>
      </c>
      <c r="H13" s="18" t="n">
        <f aca="false">IF(E13=0,"",G13/E13)</f>
        <v>0.324742578430782</v>
      </c>
      <c r="I13" s="20" t="str">
        <f aca="false">IF(H13&lt;=요약!$C$4,"낮음",IF(H13&gt;=요약!$C$7,"매우 높음",IF(H13&gt;=요약!$C$6,"높음",IF(H13&gt;=요약!$C$5,"다소 높음","적정"))))</f>
        <v>매우 높음</v>
      </c>
      <c r="J13" s="15" t="n">
        <v>176000</v>
      </c>
      <c r="K13" s="20" t="s">
        <v>11</v>
      </c>
      <c r="L13" s="19" t="s">
        <v>81</v>
      </c>
    </row>
    <row r="14" customFormat="false" ht="15" hidden="false" customHeight="false" outlineLevel="0" collapsed="false">
      <c r="A14" s="20" t="n">
        <v>13</v>
      </c>
      <c r="B14" s="15" t="s">
        <v>42</v>
      </c>
      <c r="C14" s="16" t="s">
        <v>82</v>
      </c>
      <c r="D14" s="17" t="n">
        <v>2816000</v>
      </c>
      <c r="E14" s="17" t="n">
        <v>2127500</v>
      </c>
      <c r="F14" s="15" t="s">
        <v>83</v>
      </c>
      <c r="G14" s="17" t="n">
        <f aca="false">D14-E14</f>
        <v>688500</v>
      </c>
      <c r="H14" s="18" t="n">
        <f aca="false">IF(E14=0,"",G14/E14)</f>
        <v>0.323619271445358</v>
      </c>
      <c r="I14" s="20" t="str">
        <f aca="false">IF(H14&lt;=요약!$C$4,"낮음",IF(H14&gt;=요약!$C$7,"매우 높음",IF(H14&gt;=요약!$C$6,"높음",IF(H14&gt;=요약!$C$5,"다소 높음","적정"))))</f>
        <v>매우 높음</v>
      </c>
      <c r="J14" s="15"/>
      <c r="K14" s="20" t="s">
        <v>9</v>
      </c>
      <c r="L14" s="19" t="s">
        <v>84</v>
      </c>
    </row>
    <row r="15" customFormat="false" ht="15" hidden="false" customHeight="false" outlineLevel="0" collapsed="false">
      <c r="A15" s="20" t="n">
        <v>14</v>
      </c>
      <c r="B15" s="15" t="s">
        <v>38</v>
      </c>
      <c r="C15" s="16" t="s">
        <v>85</v>
      </c>
      <c r="D15" s="17" t="n">
        <v>889350</v>
      </c>
      <c r="E15" s="17" t="n">
        <v>681000</v>
      </c>
      <c r="F15" s="15" t="s">
        <v>86</v>
      </c>
      <c r="G15" s="17" t="n">
        <f aca="false">D15-E15</f>
        <v>208350</v>
      </c>
      <c r="H15" s="18" t="n">
        <f aca="false">IF(E15=0,"",G15/E15)</f>
        <v>0.305947136563877</v>
      </c>
      <c r="I15" s="20" t="str">
        <f aca="false">IF(H15&lt;=요약!$C$4,"낮음",IF(H15&gt;=요약!$C$7,"매우 높음",IF(H15&gt;=요약!$C$6,"높음",IF(H15&gt;=요약!$C$5,"다소 높음","적정"))))</f>
        <v>매우 높음</v>
      </c>
      <c r="J15" s="16" t="s">
        <v>87</v>
      </c>
      <c r="K15" s="20" t="s">
        <v>11</v>
      </c>
      <c r="L15" s="19" t="s">
        <v>88</v>
      </c>
    </row>
    <row r="16" customFormat="false" ht="15" hidden="false" customHeight="false" outlineLevel="0" collapsed="false">
      <c r="A16" s="20" t="n">
        <v>15</v>
      </c>
      <c r="B16" s="15" t="s">
        <v>38</v>
      </c>
      <c r="C16" s="16" t="s">
        <v>89</v>
      </c>
      <c r="D16" s="17" t="n">
        <v>495000</v>
      </c>
      <c r="E16" s="17" t="n">
        <v>380000</v>
      </c>
      <c r="F16" s="15" t="s">
        <v>90</v>
      </c>
      <c r="G16" s="17" t="n">
        <f aca="false">D16-E16</f>
        <v>115000</v>
      </c>
      <c r="H16" s="18" t="n">
        <f aca="false">IF(E16=0,"",G16/E16)</f>
        <v>0.302631578947368</v>
      </c>
      <c r="I16" s="20" t="str">
        <f aca="false">IF(H16&lt;=요약!$C$4,"낮음",IF(H16&gt;=요약!$C$7,"매우 높음",IF(H16&gt;=요약!$C$6,"높음",IF(H16&gt;=요약!$C$5,"다소 높음","적정"))))</f>
        <v>매우 높음</v>
      </c>
      <c r="J16" s="15" t="n">
        <v>380000</v>
      </c>
      <c r="K16" s="20" t="s">
        <v>11</v>
      </c>
      <c r="L16" s="19" t="s">
        <v>91</v>
      </c>
    </row>
    <row r="17" customFormat="false" ht="15" hidden="false" customHeight="false" outlineLevel="0" collapsed="false">
      <c r="A17" s="20" t="n">
        <v>16</v>
      </c>
      <c r="B17" s="15" t="s">
        <v>42</v>
      </c>
      <c r="C17" s="16" t="s">
        <v>92</v>
      </c>
      <c r="D17" s="17" t="n">
        <v>2640000</v>
      </c>
      <c r="E17" s="17" t="n">
        <v>2040000</v>
      </c>
      <c r="F17" s="15" t="s">
        <v>71</v>
      </c>
      <c r="G17" s="17" t="n">
        <f aca="false">D17-E17</f>
        <v>600000</v>
      </c>
      <c r="H17" s="18" t="n">
        <f aca="false">IF(E17=0,"",G17/E17)</f>
        <v>0.294117647058824</v>
      </c>
      <c r="I17" s="20" t="str">
        <f aca="false">IF(H17&lt;=요약!$C$4,"낮음",IF(H17&gt;=요약!$C$7,"매우 높음",IF(H17&gt;=요약!$C$6,"높음",IF(H17&gt;=요약!$C$5,"다소 높음","적정"))))</f>
        <v>높음</v>
      </c>
      <c r="J17" s="16" t="s">
        <v>93</v>
      </c>
      <c r="K17" s="20" t="s">
        <v>11</v>
      </c>
      <c r="L17" s="19" t="s">
        <v>94</v>
      </c>
    </row>
    <row r="18" customFormat="false" ht="15" hidden="false" customHeight="false" outlineLevel="0" collapsed="false">
      <c r="A18" s="20" t="n">
        <v>17</v>
      </c>
      <c r="B18" s="15" t="s">
        <v>38</v>
      </c>
      <c r="C18" s="16" t="s">
        <v>95</v>
      </c>
      <c r="D18" s="17" t="n">
        <v>450000</v>
      </c>
      <c r="E18" s="17" t="n">
        <v>354000</v>
      </c>
      <c r="F18" s="15" t="s">
        <v>96</v>
      </c>
      <c r="G18" s="17" t="n">
        <f aca="false">D18-E18</f>
        <v>96000</v>
      </c>
      <c r="H18" s="18" t="n">
        <f aca="false">IF(E18=0,"",G18/E18)</f>
        <v>0.271186440677966</v>
      </c>
      <c r="I18" s="20" t="str">
        <f aca="false">IF(H18&lt;=요약!$C$4,"낮음",IF(H18&gt;=요약!$C$7,"매우 높음",IF(H18&gt;=요약!$C$6,"높음",IF(H18&gt;=요약!$C$5,"다소 높음","적정"))))</f>
        <v>높음</v>
      </c>
      <c r="J18" s="15" t="n">
        <v>354000</v>
      </c>
      <c r="K18" s="20" t="s">
        <v>11</v>
      </c>
      <c r="L18" s="19" t="s">
        <v>97</v>
      </c>
    </row>
    <row r="19" customFormat="false" ht="15" hidden="false" customHeight="false" outlineLevel="0" collapsed="false">
      <c r="A19" s="20" t="n">
        <v>18</v>
      </c>
      <c r="B19" s="15" t="s">
        <v>42</v>
      </c>
      <c r="C19" s="16" t="s">
        <v>98</v>
      </c>
      <c r="D19" s="17" t="n">
        <v>11500000</v>
      </c>
      <c r="E19" s="17" t="n">
        <v>9100000</v>
      </c>
      <c r="F19" s="15" t="s">
        <v>99</v>
      </c>
      <c r="G19" s="17" t="n">
        <f aca="false">D19-E19</f>
        <v>2400000</v>
      </c>
      <c r="H19" s="18" t="n">
        <f aca="false">IF(E19=0,"",G19/E19)</f>
        <v>0.263736263736264</v>
      </c>
      <c r="I19" s="20" t="str">
        <f aca="false">IF(H19&lt;=요약!$C$4,"낮음",IF(H19&gt;=요약!$C$7,"매우 높음",IF(H19&gt;=요약!$C$6,"높음",IF(H19&gt;=요약!$C$5,"다소 높음","적정"))))</f>
        <v>높음</v>
      </c>
      <c r="J19" s="15" t="n">
        <v>11500000</v>
      </c>
      <c r="K19" s="20" t="s">
        <v>44</v>
      </c>
      <c r="L19" s="19" t="s">
        <v>100</v>
      </c>
    </row>
    <row r="20" customFormat="false" ht="15" hidden="false" customHeight="false" outlineLevel="0" collapsed="false">
      <c r="A20" s="20" t="n">
        <v>19</v>
      </c>
      <c r="B20" s="15" t="s">
        <v>42</v>
      </c>
      <c r="C20" s="16" t="s">
        <v>101</v>
      </c>
      <c r="D20" s="17" t="n">
        <v>1450000</v>
      </c>
      <c r="E20" s="17" t="n">
        <v>1160000</v>
      </c>
      <c r="F20" s="15" t="s">
        <v>102</v>
      </c>
      <c r="G20" s="17" t="n">
        <f aca="false">D20-E20</f>
        <v>290000</v>
      </c>
      <c r="H20" s="18" t="n">
        <f aca="false">IF(E20=0,"",G20/E20)</f>
        <v>0.25</v>
      </c>
      <c r="I20" s="20" t="str">
        <f aca="false">IF(H20&lt;=요약!$C$4,"낮음",IF(H20&gt;=요약!$C$7,"매우 높음",IF(H20&gt;=요약!$C$6,"높음",IF(H20&gt;=요약!$C$5,"다소 높음","적정"))))</f>
        <v>높음</v>
      </c>
      <c r="J20" s="15" t="n">
        <v>1390000</v>
      </c>
      <c r="K20" s="20" t="s">
        <v>11</v>
      </c>
      <c r="L20" s="19" t="s">
        <v>103</v>
      </c>
    </row>
    <row r="21" customFormat="false" ht="15" hidden="false" customHeight="false" outlineLevel="0" collapsed="false">
      <c r="A21" s="20" t="n">
        <v>20</v>
      </c>
      <c r="B21" s="15" t="s">
        <v>74</v>
      </c>
      <c r="C21" s="16" t="s">
        <v>104</v>
      </c>
      <c r="D21" s="17" t="n">
        <v>275000</v>
      </c>
      <c r="E21" s="17" t="n">
        <v>220000</v>
      </c>
      <c r="F21" s="15" t="s">
        <v>105</v>
      </c>
      <c r="G21" s="17" t="n">
        <f aca="false">D21-E21</f>
        <v>55000</v>
      </c>
      <c r="H21" s="18" t="n">
        <f aca="false">IF(E21=0,"",G21/E21)</f>
        <v>0.25</v>
      </c>
      <c r="I21" s="20" t="str">
        <f aca="false">IF(H21&lt;=요약!$C$4,"낮음",IF(H21&gt;=요약!$C$7,"매우 높음",IF(H21&gt;=요약!$C$6,"높음",IF(H21&gt;=요약!$C$5,"다소 높음","적정"))))</f>
        <v>높음</v>
      </c>
      <c r="J21" s="16" t="s">
        <v>106</v>
      </c>
      <c r="K21" s="20" t="s">
        <v>44</v>
      </c>
      <c r="L21" s="19" t="s">
        <v>107</v>
      </c>
    </row>
    <row r="22" customFormat="false" ht="15" hidden="false" customHeight="false" outlineLevel="0" collapsed="false">
      <c r="A22" s="20" t="n">
        <v>21</v>
      </c>
      <c r="B22" s="15" t="s">
        <v>38</v>
      </c>
      <c r="C22" s="16" t="s">
        <v>108</v>
      </c>
      <c r="D22" s="17" t="n">
        <v>473000</v>
      </c>
      <c r="E22" s="17" t="n">
        <v>380000</v>
      </c>
      <c r="F22" s="16" t="s">
        <v>109</v>
      </c>
      <c r="G22" s="17" t="n">
        <f aca="false">D22-E22</f>
        <v>93000</v>
      </c>
      <c r="H22" s="18" t="n">
        <f aca="false">IF(E22=0,"",G22/E22)</f>
        <v>0.244736842105263</v>
      </c>
      <c r="I22" s="20" t="str">
        <f aca="false">IF(H22&lt;=요약!$C$4,"낮음",IF(H22&gt;=요약!$C$7,"매우 높음",IF(H22&gt;=요약!$C$6,"높음",IF(H22&gt;=요약!$C$5,"다소 높음","적정"))))</f>
        <v>높음</v>
      </c>
      <c r="J22" s="15" t="n">
        <v>410000</v>
      </c>
      <c r="K22" s="20" t="s">
        <v>11</v>
      </c>
      <c r="L22" s="19" t="s">
        <v>110</v>
      </c>
    </row>
    <row r="23" customFormat="false" ht="15" hidden="false" customHeight="false" outlineLevel="0" collapsed="false">
      <c r="A23" s="20" t="n">
        <v>22</v>
      </c>
      <c r="B23" s="15" t="s">
        <v>42</v>
      </c>
      <c r="C23" s="16" t="s">
        <v>111</v>
      </c>
      <c r="D23" s="17" t="n">
        <v>3465000</v>
      </c>
      <c r="E23" s="17" t="n">
        <v>2800000</v>
      </c>
      <c r="F23" s="15" t="s">
        <v>36</v>
      </c>
      <c r="G23" s="17" t="n">
        <f aca="false">D23-E23</f>
        <v>665000</v>
      </c>
      <c r="H23" s="18" t="n">
        <f aca="false">IF(E23=0,"",G23/E23)</f>
        <v>0.2375</v>
      </c>
      <c r="I23" s="20" t="str">
        <f aca="false">IF(H23&lt;=요약!$C$4,"낮음",IF(H23&gt;=요약!$C$7,"매우 높음",IF(H23&gt;=요약!$C$6,"높음",IF(H23&gt;=요약!$C$5,"다소 높음","적정"))))</f>
        <v>높음</v>
      </c>
      <c r="J23" s="15" t="n">
        <v>2800000</v>
      </c>
      <c r="K23" s="20" t="s">
        <v>11</v>
      </c>
      <c r="L23" s="19" t="s">
        <v>112</v>
      </c>
    </row>
    <row r="24" customFormat="false" ht="15" hidden="false" customHeight="false" outlineLevel="0" collapsed="false">
      <c r="A24" s="20" t="n">
        <v>23</v>
      </c>
      <c r="B24" s="15" t="s">
        <v>38</v>
      </c>
      <c r="C24" s="16" t="s">
        <v>113</v>
      </c>
      <c r="D24" s="17" t="n">
        <v>407000</v>
      </c>
      <c r="E24" s="17" t="n">
        <v>330000</v>
      </c>
      <c r="F24" s="15" t="s">
        <v>114</v>
      </c>
      <c r="G24" s="17" t="n">
        <f aca="false">D24-E24</f>
        <v>77000</v>
      </c>
      <c r="H24" s="18" t="n">
        <f aca="false">IF(E24=0,"",G24/E24)</f>
        <v>0.233333333333333</v>
      </c>
      <c r="I24" s="20" t="str">
        <f aca="false">IF(H24&lt;=요약!$C$4,"낮음",IF(H24&gt;=요약!$C$7,"매우 높음",IF(H24&gt;=요약!$C$6,"높음",IF(H24&gt;=요약!$C$5,"다소 높음","적정"))))</f>
        <v>높음</v>
      </c>
      <c r="J24" s="16" t="s">
        <v>115</v>
      </c>
      <c r="K24" s="20" t="s">
        <v>44</v>
      </c>
      <c r="L24" s="19" t="s">
        <v>116</v>
      </c>
    </row>
    <row r="25" customFormat="false" ht="15" hidden="false" customHeight="false" outlineLevel="0" collapsed="false">
      <c r="A25" s="20" t="n">
        <v>24</v>
      </c>
      <c r="B25" s="15" t="s">
        <v>50</v>
      </c>
      <c r="C25" s="16" t="s">
        <v>117</v>
      </c>
      <c r="D25" s="17" t="n">
        <v>90000</v>
      </c>
      <c r="E25" s="17" t="n">
        <v>73000</v>
      </c>
      <c r="F25" s="15" t="s">
        <v>118</v>
      </c>
      <c r="G25" s="17" t="n">
        <f aca="false">D25-E25</f>
        <v>17000</v>
      </c>
      <c r="H25" s="18" t="n">
        <f aca="false">IF(E25=0,"",G25/E25)</f>
        <v>0.232876712328767</v>
      </c>
      <c r="I25" s="20" t="str">
        <f aca="false">IF(H25&lt;=요약!$C$4,"낮음",IF(H25&gt;=요약!$C$7,"매우 높음",IF(H25&gt;=요약!$C$6,"높음",IF(H25&gt;=요약!$C$5,"다소 높음","적정"))))</f>
        <v>높음</v>
      </c>
      <c r="J25" s="15" t="n">
        <v>75000</v>
      </c>
      <c r="K25" s="20" t="s">
        <v>11</v>
      </c>
      <c r="L25" s="19" t="s">
        <v>119</v>
      </c>
    </row>
    <row r="26" customFormat="false" ht="15" hidden="false" customHeight="false" outlineLevel="0" collapsed="false">
      <c r="A26" s="20" t="n">
        <v>25</v>
      </c>
      <c r="B26" s="15" t="s">
        <v>42</v>
      </c>
      <c r="C26" s="16" t="s">
        <v>120</v>
      </c>
      <c r="D26" s="17" t="n">
        <v>5148000</v>
      </c>
      <c r="E26" s="17" t="n">
        <v>4200000</v>
      </c>
      <c r="F26" s="15" t="s">
        <v>62</v>
      </c>
      <c r="G26" s="17" t="n">
        <f aca="false">D26-E26</f>
        <v>948000</v>
      </c>
      <c r="H26" s="18" t="n">
        <f aca="false">IF(E26=0,"",G26/E26)</f>
        <v>0.225714285714286</v>
      </c>
      <c r="I26" s="20" t="str">
        <f aca="false">IF(H26&lt;=요약!$C$4,"낮음",IF(H26&gt;=요약!$C$7,"매우 높음",IF(H26&gt;=요약!$C$6,"높음",IF(H26&gt;=요약!$C$5,"다소 높음","적정"))))</f>
        <v>높음</v>
      </c>
      <c r="J26" s="16" t="s">
        <v>121</v>
      </c>
      <c r="K26" s="20" t="s">
        <v>44</v>
      </c>
      <c r="L26" s="19" t="s">
        <v>122</v>
      </c>
    </row>
    <row r="27" customFormat="false" ht="15" hidden="false" customHeight="false" outlineLevel="0" collapsed="false">
      <c r="A27" s="20" t="n">
        <v>26</v>
      </c>
      <c r="B27" s="15" t="s">
        <v>42</v>
      </c>
      <c r="C27" s="16" t="s">
        <v>123</v>
      </c>
      <c r="D27" s="17" t="n">
        <v>1540000</v>
      </c>
      <c r="E27" s="17" t="n">
        <v>1265000</v>
      </c>
      <c r="F27" s="15" t="s">
        <v>124</v>
      </c>
      <c r="G27" s="17" t="n">
        <f aca="false">D27-E27</f>
        <v>275000</v>
      </c>
      <c r="H27" s="18" t="n">
        <f aca="false">IF(E27=0,"",G27/E27)</f>
        <v>0.217391304347826</v>
      </c>
      <c r="I27" s="20" t="str">
        <f aca="false">IF(H27&lt;=요약!$C$4,"낮음",IF(H27&gt;=요약!$C$7,"매우 높음",IF(H27&gt;=요약!$C$6,"높음",IF(H27&gt;=요약!$C$5,"다소 높음","적정"))))</f>
        <v>높음</v>
      </c>
      <c r="J27" s="15" t="n">
        <v>1265000</v>
      </c>
      <c r="K27" s="20" t="s">
        <v>44</v>
      </c>
      <c r="L27" s="19" t="s">
        <v>125</v>
      </c>
    </row>
    <row r="28" customFormat="false" ht="15" hidden="false" customHeight="false" outlineLevel="0" collapsed="false">
      <c r="A28" s="20" t="n">
        <v>27</v>
      </c>
      <c r="B28" s="15" t="s">
        <v>74</v>
      </c>
      <c r="C28" s="16" t="s">
        <v>126</v>
      </c>
      <c r="D28" s="17" t="n">
        <v>392700</v>
      </c>
      <c r="E28" s="17" t="n">
        <v>323000</v>
      </c>
      <c r="F28" s="15" t="s">
        <v>127</v>
      </c>
      <c r="G28" s="17" t="n">
        <f aca="false">D28-E28</f>
        <v>69700</v>
      </c>
      <c r="H28" s="18" t="n">
        <f aca="false">IF(E28=0,"",G28/E28)</f>
        <v>0.215789473684211</v>
      </c>
      <c r="I28" s="20" t="str">
        <f aca="false">IF(H28&lt;=요약!$C$4,"낮음",IF(H28&gt;=요약!$C$7,"매우 높음",IF(H28&gt;=요약!$C$6,"높음",IF(H28&gt;=요약!$C$5,"다소 높음","적정"))))</f>
        <v>높음</v>
      </c>
      <c r="J28" s="16" t="s">
        <v>128</v>
      </c>
      <c r="K28" s="20" t="s">
        <v>44</v>
      </c>
      <c r="L28" s="19" t="s">
        <v>129</v>
      </c>
    </row>
    <row r="29" customFormat="false" ht="15" hidden="false" customHeight="false" outlineLevel="0" collapsed="false">
      <c r="A29" s="20" t="n">
        <v>28</v>
      </c>
      <c r="B29" s="15" t="s">
        <v>46</v>
      </c>
      <c r="C29" s="16" t="s">
        <v>130</v>
      </c>
      <c r="D29" s="17" t="n">
        <v>660000</v>
      </c>
      <c r="E29" s="17" t="n">
        <v>546390</v>
      </c>
      <c r="F29" s="15" t="s">
        <v>131</v>
      </c>
      <c r="G29" s="17" t="n">
        <f aca="false">D29-E29</f>
        <v>113610</v>
      </c>
      <c r="H29" s="18" t="n">
        <f aca="false">IF(E29=0,"",G29/E29)</f>
        <v>0.207928402789216</v>
      </c>
      <c r="I29" s="20" t="str">
        <f aca="false">IF(H29&lt;=요약!$C$4,"낮음",IF(H29&gt;=요약!$C$7,"매우 높음",IF(H29&gt;=요약!$C$6,"높음",IF(H29&gt;=요약!$C$5,"다소 높음","적정"))))</f>
        <v>높음</v>
      </c>
      <c r="J29" s="15" t="n">
        <v>588000</v>
      </c>
      <c r="K29" s="20" t="s">
        <v>11</v>
      </c>
      <c r="L29" s="19" t="s">
        <v>132</v>
      </c>
    </row>
    <row r="30" customFormat="false" ht="15" hidden="false" customHeight="false" outlineLevel="0" collapsed="false">
      <c r="A30" s="20" t="n">
        <v>29</v>
      </c>
      <c r="B30" s="15" t="s">
        <v>42</v>
      </c>
      <c r="C30" s="16" t="s">
        <v>133</v>
      </c>
      <c r="D30" s="17" t="n">
        <v>1925000</v>
      </c>
      <c r="E30" s="17" t="n">
        <v>1598000</v>
      </c>
      <c r="F30" s="15" t="s">
        <v>134</v>
      </c>
      <c r="G30" s="17" t="n">
        <f aca="false">D30-E30</f>
        <v>327000</v>
      </c>
      <c r="H30" s="18" t="n">
        <f aca="false">IF(E30=0,"",G30/E30)</f>
        <v>0.204630788485607</v>
      </c>
      <c r="I30" s="20" t="str">
        <f aca="false">IF(H30&lt;=요약!$C$4,"낮음",IF(H30&gt;=요약!$C$7,"매우 높음",IF(H30&gt;=요약!$C$6,"높음",IF(H30&gt;=요약!$C$5,"다소 높음","적정"))))</f>
        <v>높음</v>
      </c>
      <c r="J30" s="16" t="s">
        <v>135</v>
      </c>
      <c r="K30" s="20" t="s">
        <v>44</v>
      </c>
      <c r="L30" s="19" t="s">
        <v>136</v>
      </c>
    </row>
    <row r="31" customFormat="false" ht="15" hidden="false" customHeight="false" outlineLevel="0" collapsed="false">
      <c r="A31" s="20" t="n">
        <v>30</v>
      </c>
      <c r="B31" s="15" t="s">
        <v>38</v>
      </c>
      <c r="C31" s="16" t="s">
        <v>137</v>
      </c>
      <c r="D31" s="17" t="n">
        <v>660000</v>
      </c>
      <c r="E31" s="17" t="n">
        <v>550000</v>
      </c>
      <c r="F31" s="15" t="s">
        <v>138</v>
      </c>
      <c r="G31" s="17" t="n">
        <f aca="false">D31-E31</f>
        <v>110000</v>
      </c>
      <c r="H31" s="18" t="n">
        <f aca="false">IF(E31=0,"",G31/E31)</f>
        <v>0.2</v>
      </c>
      <c r="I31" s="20" t="str">
        <f aca="false">IF(H31&lt;=요약!$C$4,"낮음",IF(H31&gt;=요약!$C$7,"매우 높음",IF(H31&gt;=요약!$C$6,"높음",IF(H31&gt;=요약!$C$5,"다소 높음","적정"))))</f>
        <v>높음</v>
      </c>
      <c r="J31" s="15" t="n">
        <v>620000</v>
      </c>
      <c r="K31" s="20" t="s">
        <v>11</v>
      </c>
      <c r="L31" s="19" t="s">
        <v>139</v>
      </c>
    </row>
    <row r="32" customFormat="false" ht="15" hidden="false" customHeight="false" outlineLevel="0" collapsed="false">
      <c r="A32" s="20" t="n">
        <v>31</v>
      </c>
      <c r="B32" s="15" t="s">
        <v>74</v>
      </c>
      <c r="C32" s="16" t="s">
        <v>140</v>
      </c>
      <c r="D32" s="17" t="n">
        <v>210000</v>
      </c>
      <c r="E32" s="17" t="n">
        <v>175000</v>
      </c>
      <c r="F32" s="15" t="s">
        <v>141</v>
      </c>
      <c r="G32" s="17" t="n">
        <f aca="false">D32-E32</f>
        <v>35000</v>
      </c>
      <c r="H32" s="18" t="n">
        <f aca="false">IF(E32=0,"",G32/E32)</f>
        <v>0.2</v>
      </c>
      <c r="I32" s="20" t="str">
        <f aca="false">IF(H32&lt;=요약!$C$4,"낮음",IF(H32&gt;=요약!$C$7,"매우 높음",IF(H32&gt;=요약!$C$6,"높음",IF(H32&gt;=요약!$C$5,"다소 높음","적정"))))</f>
        <v>높음</v>
      </c>
      <c r="J32" s="16" t="s">
        <v>142</v>
      </c>
      <c r="K32" s="20" t="s">
        <v>11</v>
      </c>
      <c r="L32" s="19" t="s">
        <v>143</v>
      </c>
    </row>
    <row r="33" customFormat="false" ht="15" hidden="false" customHeight="false" outlineLevel="0" collapsed="false">
      <c r="A33" s="20" t="n">
        <v>32</v>
      </c>
      <c r="B33" s="15" t="s">
        <v>42</v>
      </c>
      <c r="C33" s="16" t="s">
        <v>144</v>
      </c>
      <c r="D33" s="17" t="n">
        <v>5900000</v>
      </c>
      <c r="E33" s="17" t="n">
        <v>4950000</v>
      </c>
      <c r="F33" s="15" t="s">
        <v>145</v>
      </c>
      <c r="G33" s="17" t="n">
        <f aca="false">D33-E33</f>
        <v>950000</v>
      </c>
      <c r="H33" s="18" t="n">
        <f aca="false">IF(E33=0,"",G33/E33)</f>
        <v>0.191919191919192</v>
      </c>
      <c r="I33" s="20" t="str">
        <f aca="false">IF(H33&lt;=요약!$C$4,"낮음",IF(H33&gt;=요약!$C$7,"매우 높음",IF(H33&gt;=요약!$C$6,"높음",IF(H33&gt;=요약!$C$5,"다소 높음","적정"))))</f>
        <v>높음</v>
      </c>
      <c r="J33" s="15" t="n">
        <v>5500000</v>
      </c>
      <c r="K33" s="20" t="s">
        <v>11</v>
      </c>
      <c r="L33" s="19" t="s">
        <v>146</v>
      </c>
    </row>
    <row r="34" customFormat="false" ht="15" hidden="false" customHeight="false" outlineLevel="0" collapsed="false">
      <c r="A34" s="20" t="n">
        <v>33</v>
      </c>
      <c r="B34" s="15" t="s">
        <v>46</v>
      </c>
      <c r="C34" s="16" t="s">
        <v>147</v>
      </c>
      <c r="D34" s="17" t="n">
        <v>65000</v>
      </c>
      <c r="E34" s="17" t="n">
        <v>54700</v>
      </c>
      <c r="F34" s="15" t="s">
        <v>48</v>
      </c>
      <c r="G34" s="17" t="n">
        <f aca="false">D34-E34</f>
        <v>10300</v>
      </c>
      <c r="H34" s="18" t="n">
        <f aca="false">IF(E34=0,"",G34/E34)</f>
        <v>0.188299817184644</v>
      </c>
      <c r="I34" s="20" t="str">
        <f aca="false">IF(H34&lt;=요약!$C$4,"낮음",IF(H34&gt;=요약!$C$7,"매우 높음",IF(H34&gt;=요약!$C$6,"높음",IF(H34&gt;=요약!$C$5,"다소 높음","적정"))))</f>
        <v>높음</v>
      </c>
      <c r="J34" s="15" t="n">
        <v>54700</v>
      </c>
      <c r="K34" s="20" t="s">
        <v>11</v>
      </c>
      <c r="L34" s="19" t="s">
        <v>148</v>
      </c>
    </row>
    <row r="35" customFormat="false" ht="15" hidden="false" customHeight="false" outlineLevel="0" collapsed="false">
      <c r="A35" s="20" t="n">
        <v>34</v>
      </c>
      <c r="B35" s="15" t="s">
        <v>38</v>
      </c>
      <c r="C35" s="16" t="s">
        <v>149</v>
      </c>
      <c r="D35" s="17" t="n">
        <v>352000</v>
      </c>
      <c r="E35" s="17" t="n">
        <v>297980</v>
      </c>
      <c r="F35" s="15" t="s">
        <v>150</v>
      </c>
      <c r="G35" s="17" t="n">
        <f aca="false">D35-E35</f>
        <v>54020</v>
      </c>
      <c r="H35" s="18" t="n">
        <f aca="false">IF(E35=0,"",G35/E35)</f>
        <v>0.181287334720451</v>
      </c>
      <c r="I35" s="20" t="str">
        <f aca="false">IF(H35&lt;=요약!$C$4,"낮음",IF(H35&gt;=요약!$C$7,"매우 높음",IF(H35&gt;=요약!$C$6,"높음",IF(H35&gt;=요약!$C$5,"다소 높음","적정"))))</f>
        <v>높음</v>
      </c>
      <c r="J35" s="15" t="n">
        <v>297980</v>
      </c>
      <c r="K35" s="20" t="s">
        <v>11</v>
      </c>
      <c r="L35" s="19" t="s">
        <v>151</v>
      </c>
    </row>
    <row r="36" customFormat="false" ht="15" hidden="false" customHeight="false" outlineLevel="0" collapsed="false">
      <c r="A36" s="20" t="n">
        <v>35</v>
      </c>
      <c r="B36" s="15" t="s">
        <v>152</v>
      </c>
      <c r="C36" s="16" t="s">
        <v>153</v>
      </c>
      <c r="D36" s="17" t="n">
        <v>330000</v>
      </c>
      <c r="E36" s="17" t="n">
        <v>280000</v>
      </c>
      <c r="F36" s="15" t="s">
        <v>154</v>
      </c>
      <c r="G36" s="17" t="n">
        <f aca="false">D36-E36</f>
        <v>50000</v>
      </c>
      <c r="H36" s="18" t="n">
        <f aca="false">IF(E36=0,"",G36/E36)</f>
        <v>0.178571428571429</v>
      </c>
      <c r="I36" s="20" t="str">
        <f aca="false">IF(H36&lt;=요약!$C$4,"낮음",IF(H36&gt;=요약!$C$7,"매우 높음",IF(H36&gt;=요약!$C$6,"높음",IF(H36&gt;=요약!$C$5,"다소 높음","적정"))))</f>
        <v>높음</v>
      </c>
      <c r="J36" s="15" t="n">
        <v>280000</v>
      </c>
      <c r="K36" s="20" t="s">
        <v>11</v>
      </c>
      <c r="L36" s="19" t="s">
        <v>155</v>
      </c>
    </row>
    <row r="37" customFormat="false" ht="15" hidden="false" customHeight="false" outlineLevel="0" collapsed="false">
      <c r="A37" s="20" t="n">
        <v>36</v>
      </c>
      <c r="B37" s="15" t="s">
        <v>74</v>
      </c>
      <c r="C37" s="16" t="s">
        <v>156</v>
      </c>
      <c r="D37" s="17" t="n">
        <v>528000</v>
      </c>
      <c r="E37" s="17" t="n">
        <v>448000</v>
      </c>
      <c r="F37" s="15" t="s">
        <v>157</v>
      </c>
      <c r="G37" s="17" t="n">
        <f aca="false">D37-E37</f>
        <v>80000</v>
      </c>
      <c r="H37" s="18" t="n">
        <f aca="false">IF(E37=0,"",G37/E37)</f>
        <v>0.178571428571429</v>
      </c>
      <c r="I37" s="20" t="str">
        <f aca="false">IF(H37&lt;=요약!$C$4,"낮음",IF(H37&gt;=요약!$C$7,"매우 높음",IF(H37&gt;=요약!$C$6,"높음",IF(H37&gt;=요약!$C$5,"다소 높음","적정"))))</f>
        <v>높음</v>
      </c>
      <c r="J37" s="15" t="n">
        <v>448000</v>
      </c>
      <c r="K37" s="20" t="s">
        <v>9</v>
      </c>
      <c r="L37" s="19" t="s">
        <v>158</v>
      </c>
    </row>
    <row r="38" customFormat="false" ht="15" hidden="false" customHeight="false" outlineLevel="0" collapsed="false">
      <c r="A38" s="20" t="n">
        <v>37</v>
      </c>
      <c r="B38" s="15" t="s">
        <v>38</v>
      </c>
      <c r="C38" s="16" t="s">
        <v>159</v>
      </c>
      <c r="D38" s="17" t="n">
        <v>385000</v>
      </c>
      <c r="E38" s="17" t="n">
        <v>329000</v>
      </c>
      <c r="F38" s="15" t="s">
        <v>160</v>
      </c>
      <c r="G38" s="17" t="n">
        <f aca="false">D38-E38</f>
        <v>56000</v>
      </c>
      <c r="H38" s="18" t="n">
        <f aca="false">IF(E38=0,"",G38/E38)</f>
        <v>0.170212765957447</v>
      </c>
      <c r="I38" s="20" t="str">
        <f aca="false">IF(H38&lt;=요약!$C$4,"낮음",IF(H38&gt;=요약!$C$7,"매우 높음",IF(H38&gt;=요약!$C$6,"높음",IF(H38&gt;=요약!$C$5,"다소 높음","적정"))))</f>
        <v>높음</v>
      </c>
      <c r="J38" s="16" t="s">
        <v>161</v>
      </c>
      <c r="K38" s="20" t="s">
        <v>44</v>
      </c>
      <c r="L38" s="19" t="s">
        <v>162</v>
      </c>
    </row>
    <row r="39" customFormat="false" ht="15" hidden="false" customHeight="false" outlineLevel="0" collapsed="false">
      <c r="A39" s="20" t="n">
        <v>38</v>
      </c>
      <c r="B39" s="15" t="s">
        <v>74</v>
      </c>
      <c r="C39" s="16" t="s">
        <v>163</v>
      </c>
      <c r="D39" s="17" t="n">
        <v>231000</v>
      </c>
      <c r="E39" s="17" t="n">
        <v>197900</v>
      </c>
      <c r="F39" s="15" t="s">
        <v>141</v>
      </c>
      <c r="G39" s="17" t="n">
        <f aca="false">D39-E39</f>
        <v>33100</v>
      </c>
      <c r="H39" s="18" t="n">
        <f aca="false">IF(E39=0,"",G39/E39)</f>
        <v>0.167256189994947</v>
      </c>
      <c r="I39" s="20" t="str">
        <f aca="false">IF(H39&lt;=요약!$C$4,"낮음",IF(H39&gt;=요약!$C$7,"매우 높음",IF(H39&gt;=요약!$C$6,"높음",IF(H39&gt;=요약!$C$5,"다소 높음","적정"))))</f>
        <v>높음</v>
      </c>
      <c r="J39" s="16" t="s">
        <v>164</v>
      </c>
      <c r="K39" s="20" t="s">
        <v>11</v>
      </c>
      <c r="L39" s="19" t="s">
        <v>165</v>
      </c>
    </row>
    <row r="40" customFormat="false" ht="15" hidden="false" customHeight="false" outlineLevel="0" collapsed="false">
      <c r="A40" s="20" t="n">
        <v>39</v>
      </c>
      <c r="B40" s="15" t="s">
        <v>42</v>
      </c>
      <c r="C40" s="16" t="s">
        <v>166</v>
      </c>
      <c r="D40" s="17" t="n">
        <v>1400000</v>
      </c>
      <c r="E40" s="17" t="n">
        <v>1200000</v>
      </c>
      <c r="F40" s="15" t="s">
        <v>83</v>
      </c>
      <c r="G40" s="17" t="n">
        <f aca="false">D40-E40</f>
        <v>200000</v>
      </c>
      <c r="H40" s="18" t="n">
        <f aca="false">IF(E40=0,"",G40/E40)</f>
        <v>0.166666666666667</v>
      </c>
      <c r="I40" s="20" t="str">
        <f aca="false">IF(H40&lt;=요약!$C$4,"낮음",IF(H40&gt;=요약!$C$7,"매우 높음",IF(H40&gt;=요약!$C$6,"높음",IF(H40&gt;=요약!$C$5,"다소 높음","적정"))))</f>
        <v>높음</v>
      </c>
      <c r="J40" s="15" t="n">
        <v>1200000</v>
      </c>
      <c r="K40" s="20" t="s">
        <v>11</v>
      </c>
      <c r="L40" s="19" t="s">
        <v>167</v>
      </c>
    </row>
    <row r="41" customFormat="false" ht="15" hidden="false" customHeight="false" outlineLevel="0" collapsed="false">
      <c r="A41" s="20" t="n">
        <v>40</v>
      </c>
      <c r="B41" s="15" t="s">
        <v>38</v>
      </c>
      <c r="C41" s="16" t="s">
        <v>168</v>
      </c>
      <c r="D41" s="17" t="n">
        <v>530000</v>
      </c>
      <c r="E41" s="17" t="n">
        <v>459000</v>
      </c>
      <c r="F41" s="15" t="s">
        <v>169</v>
      </c>
      <c r="G41" s="17" t="n">
        <f aca="false">D41-E41</f>
        <v>71000</v>
      </c>
      <c r="H41" s="18" t="n">
        <f aca="false">IF(E41=0,"",G41/E41)</f>
        <v>0.154684095860566</v>
      </c>
      <c r="I41" s="20" t="str">
        <f aca="false">IF(H41&lt;=요약!$C$4,"낮음",IF(H41&gt;=요약!$C$7,"매우 높음",IF(H41&gt;=요약!$C$6,"높음",IF(H41&gt;=요약!$C$5,"다소 높음","적정"))))</f>
        <v>높음</v>
      </c>
      <c r="J41" s="15" t="n">
        <v>459000</v>
      </c>
      <c r="K41" s="20" t="s">
        <v>11</v>
      </c>
      <c r="L41" s="19" t="s">
        <v>170</v>
      </c>
    </row>
    <row r="42" customFormat="false" ht="15" hidden="false" customHeight="false" outlineLevel="0" collapsed="false">
      <c r="A42" s="20" t="n">
        <v>41</v>
      </c>
      <c r="B42" s="15" t="s">
        <v>42</v>
      </c>
      <c r="C42" s="16" t="s">
        <v>171</v>
      </c>
      <c r="D42" s="17" t="n">
        <v>5590000</v>
      </c>
      <c r="E42" s="17" t="n">
        <v>4849000</v>
      </c>
      <c r="F42" s="15" t="s">
        <v>172</v>
      </c>
      <c r="G42" s="17" t="n">
        <f aca="false">D42-E42</f>
        <v>741000</v>
      </c>
      <c r="H42" s="18" t="n">
        <f aca="false">IF(E42=0,"",G42/E42)</f>
        <v>0.152815013404826</v>
      </c>
      <c r="I42" s="20" t="str">
        <f aca="false">IF(H42&lt;=요약!$C$4,"낮음",IF(H42&gt;=요약!$C$7,"매우 높음",IF(H42&gt;=요약!$C$6,"높음",IF(H42&gt;=요약!$C$5,"다소 높음","적정"))))</f>
        <v>높음</v>
      </c>
      <c r="J42" s="16" t="s">
        <v>173</v>
      </c>
      <c r="K42" s="20" t="s">
        <v>44</v>
      </c>
      <c r="L42" s="19" t="s">
        <v>174</v>
      </c>
    </row>
    <row r="43" customFormat="false" ht="15" hidden="false" customHeight="false" outlineLevel="0" collapsed="false">
      <c r="A43" s="20" t="n">
        <v>42</v>
      </c>
      <c r="B43" s="15" t="s">
        <v>38</v>
      </c>
      <c r="C43" s="16" t="s">
        <v>175</v>
      </c>
      <c r="D43" s="17" t="n">
        <v>796950</v>
      </c>
      <c r="E43" s="17" t="n">
        <v>692500</v>
      </c>
      <c r="F43" s="15" t="s">
        <v>176</v>
      </c>
      <c r="G43" s="17" t="n">
        <f aca="false">D43-E43</f>
        <v>104450</v>
      </c>
      <c r="H43" s="18" t="n">
        <f aca="false">IF(E43=0,"",G43/E43)</f>
        <v>0.150830324909747</v>
      </c>
      <c r="I43" s="20" t="str">
        <f aca="false">IF(H43&lt;=요약!$C$4,"낮음",IF(H43&gt;=요약!$C$7,"매우 높음",IF(H43&gt;=요약!$C$6,"높음",IF(H43&gt;=요약!$C$5,"다소 높음","적정"))))</f>
        <v>높음</v>
      </c>
      <c r="J43" s="15" t="n">
        <v>700000</v>
      </c>
      <c r="K43" s="20" t="s">
        <v>44</v>
      </c>
      <c r="L43" s="19" t="s">
        <v>177</v>
      </c>
    </row>
    <row r="44" customFormat="false" ht="15" hidden="false" customHeight="false" outlineLevel="0" collapsed="false">
      <c r="A44" s="20" t="n">
        <v>43</v>
      </c>
      <c r="B44" s="15" t="s">
        <v>74</v>
      </c>
      <c r="C44" s="16" t="s">
        <v>178</v>
      </c>
      <c r="D44" s="17" t="n">
        <v>506000</v>
      </c>
      <c r="E44" s="17" t="n">
        <v>440000</v>
      </c>
      <c r="F44" s="15" t="s">
        <v>179</v>
      </c>
      <c r="G44" s="17" t="n">
        <f aca="false">D44-E44</f>
        <v>66000</v>
      </c>
      <c r="H44" s="18" t="n">
        <f aca="false">IF(E44=0,"",G44/E44)</f>
        <v>0.15</v>
      </c>
      <c r="I44" s="20" t="str">
        <f aca="false">IF(H44&lt;=요약!$C$4,"낮음",IF(H44&gt;=요약!$C$7,"매우 높음",IF(H44&gt;=요약!$C$6,"높음",IF(H44&gt;=요약!$C$5,"다소 높음","적정"))))</f>
        <v>높음</v>
      </c>
      <c r="J44" s="16" t="s">
        <v>180</v>
      </c>
      <c r="K44" s="20" t="s">
        <v>44</v>
      </c>
      <c r="L44" s="19" t="s">
        <v>181</v>
      </c>
    </row>
    <row r="45" customFormat="false" ht="15" hidden="false" customHeight="false" outlineLevel="0" collapsed="false">
      <c r="A45" s="20" t="n">
        <v>44</v>
      </c>
      <c r="B45" s="15" t="s">
        <v>38</v>
      </c>
      <c r="C45" s="16" t="s">
        <v>182</v>
      </c>
      <c r="D45" s="17" t="n">
        <v>583000</v>
      </c>
      <c r="E45" s="17" t="n">
        <v>513000</v>
      </c>
      <c r="F45" s="15" t="s">
        <v>183</v>
      </c>
      <c r="G45" s="17" t="n">
        <f aca="false">D45-E45</f>
        <v>70000</v>
      </c>
      <c r="H45" s="18" t="n">
        <f aca="false">IF(E45=0,"",G45/E45)</f>
        <v>0.1364522417154</v>
      </c>
      <c r="I45" s="20" t="str">
        <f aca="false">IF(H45&lt;=요약!$C$4,"낮음",IF(H45&gt;=요약!$C$7,"매우 높음",IF(H45&gt;=요약!$C$6,"높음",IF(H45&gt;=요약!$C$5,"다소 높음","적정"))))</f>
        <v>다소 높음</v>
      </c>
      <c r="J45" s="15" t="n">
        <v>513000</v>
      </c>
      <c r="K45" s="20" t="s">
        <v>44</v>
      </c>
      <c r="L45" s="19" t="s">
        <v>184</v>
      </c>
    </row>
    <row r="46" customFormat="false" ht="15" hidden="false" customHeight="false" outlineLevel="0" collapsed="false">
      <c r="A46" s="20" t="n">
        <v>45</v>
      </c>
      <c r="B46" s="15" t="s">
        <v>74</v>
      </c>
      <c r="C46" s="16" t="s">
        <v>185</v>
      </c>
      <c r="D46" s="17" t="n">
        <v>253000</v>
      </c>
      <c r="E46" s="17" t="n">
        <v>223000</v>
      </c>
      <c r="F46" s="15" t="s">
        <v>141</v>
      </c>
      <c r="G46" s="17" t="n">
        <f aca="false">D46-E46</f>
        <v>30000</v>
      </c>
      <c r="H46" s="18" t="n">
        <f aca="false">IF(E46=0,"",G46/E46)</f>
        <v>0.134529147982063</v>
      </c>
      <c r="I46" s="20" t="str">
        <f aca="false">IF(H46&lt;=요약!$C$4,"낮음",IF(H46&gt;=요약!$C$7,"매우 높음",IF(H46&gt;=요약!$C$6,"높음",IF(H46&gt;=요약!$C$5,"다소 높음","적정"))))</f>
        <v>다소 높음</v>
      </c>
      <c r="J46" s="16" t="s">
        <v>186</v>
      </c>
      <c r="K46" s="20" t="s">
        <v>9</v>
      </c>
      <c r="L46" s="19" t="s">
        <v>187</v>
      </c>
    </row>
    <row r="47" customFormat="false" ht="15" hidden="false" customHeight="false" outlineLevel="0" collapsed="false">
      <c r="A47" s="20" t="n">
        <v>46</v>
      </c>
      <c r="B47" s="15" t="s">
        <v>38</v>
      </c>
      <c r="C47" s="16" t="s">
        <v>188</v>
      </c>
      <c r="D47" s="17" t="n">
        <v>1450000</v>
      </c>
      <c r="E47" s="17" t="n">
        <v>1279180</v>
      </c>
      <c r="F47" s="15" t="s">
        <v>189</v>
      </c>
      <c r="G47" s="17" t="n">
        <f aca="false">D47-E47</f>
        <v>170820</v>
      </c>
      <c r="H47" s="18" t="n">
        <f aca="false">IF(E47=0,"",G47/E47)</f>
        <v>0.133538673212527</v>
      </c>
      <c r="I47" s="20" t="str">
        <f aca="false">IF(H47&lt;=요약!$C$4,"낮음",IF(H47&gt;=요약!$C$7,"매우 높음",IF(H47&gt;=요약!$C$6,"높음",IF(H47&gt;=요약!$C$5,"다소 높음","적정"))))</f>
        <v>다소 높음</v>
      </c>
      <c r="J47" s="15" t="n">
        <v>1346500</v>
      </c>
      <c r="K47" s="20" t="s">
        <v>9</v>
      </c>
      <c r="L47" s="19" t="s">
        <v>190</v>
      </c>
    </row>
    <row r="48" customFormat="false" ht="15" hidden="false" customHeight="false" outlineLevel="0" collapsed="false">
      <c r="A48" s="20" t="n">
        <v>47</v>
      </c>
      <c r="B48" s="15" t="s">
        <v>42</v>
      </c>
      <c r="C48" s="16" t="s">
        <v>191</v>
      </c>
      <c r="D48" s="17" t="n">
        <v>1350000</v>
      </c>
      <c r="E48" s="17" t="n">
        <v>1199000</v>
      </c>
      <c r="F48" s="15" t="s">
        <v>192</v>
      </c>
      <c r="G48" s="17" t="n">
        <f aca="false">D48-E48</f>
        <v>151000</v>
      </c>
      <c r="H48" s="18" t="n">
        <f aca="false">IF(E48=0,"",G48/E48)</f>
        <v>0.125938281901585</v>
      </c>
      <c r="I48" s="20" t="str">
        <f aca="false">IF(H48&lt;=요약!$C$4,"낮음",IF(H48&gt;=요약!$C$7,"매우 높음",IF(H48&gt;=요약!$C$6,"높음",IF(H48&gt;=요약!$C$5,"다소 높음","적정"))))</f>
        <v>다소 높음</v>
      </c>
      <c r="J48" s="16" t="s">
        <v>193</v>
      </c>
      <c r="K48" s="20" t="s">
        <v>9</v>
      </c>
      <c r="L48" s="19" t="s">
        <v>194</v>
      </c>
    </row>
    <row r="49" customFormat="false" ht="15" hidden="false" customHeight="false" outlineLevel="0" collapsed="false">
      <c r="A49" s="20" t="n">
        <v>48</v>
      </c>
      <c r="B49" s="15" t="s">
        <v>46</v>
      </c>
      <c r="C49" s="16" t="s">
        <v>195</v>
      </c>
      <c r="D49" s="17" t="n">
        <v>490000</v>
      </c>
      <c r="E49" s="17" t="n">
        <v>438980</v>
      </c>
      <c r="F49" s="15" t="s">
        <v>48</v>
      </c>
      <c r="G49" s="17" t="n">
        <f aca="false">D49-E49</f>
        <v>51020</v>
      </c>
      <c r="H49" s="18" t="n">
        <f aca="false">IF(E49=0,"",G49/E49)</f>
        <v>0.116223973757347</v>
      </c>
      <c r="I49" s="20" t="str">
        <f aca="false">IF(H49&lt;=요약!$C$4,"낮음",IF(H49&gt;=요약!$C$7,"매우 높음",IF(H49&gt;=요약!$C$6,"높음",IF(H49&gt;=요약!$C$5,"다소 높음","적정"))))</f>
        <v>다소 높음</v>
      </c>
      <c r="J49" s="15" t="n">
        <v>438980</v>
      </c>
      <c r="K49" s="20" t="s">
        <v>11</v>
      </c>
      <c r="L49" s="19" t="s">
        <v>196</v>
      </c>
    </row>
    <row r="50" customFormat="false" ht="15" hidden="false" customHeight="false" outlineLevel="0" collapsed="false">
      <c r="A50" s="20" t="n">
        <v>49</v>
      </c>
      <c r="B50" s="15" t="s">
        <v>197</v>
      </c>
      <c r="C50" s="16" t="s">
        <v>198</v>
      </c>
      <c r="D50" s="17" t="n">
        <v>8450000</v>
      </c>
      <c r="E50" s="17" t="n">
        <v>7600000</v>
      </c>
      <c r="F50" s="15" t="s">
        <v>189</v>
      </c>
      <c r="G50" s="17" t="n">
        <f aca="false">D50-E50</f>
        <v>850000</v>
      </c>
      <c r="H50" s="18" t="n">
        <f aca="false">IF(E50=0,"",G50/E50)</f>
        <v>0.111842105263158</v>
      </c>
      <c r="I50" s="20" t="str">
        <f aca="false">IF(H50&lt;=요약!$C$4,"낮음",IF(H50&gt;=요약!$C$7,"매우 높음",IF(H50&gt;=요약!$C$6,"높음",IF(H50&gt;=요약!$C$5,"다소 높음","적정"))))</f>
        <v>다소 높음</v>
      </c>
      <c r="J50" s="16" t="s">
        <v>199</v>
      </c>
      <c r="K50" s="20" t="s">
        <v>44</v>
      </c>
      <c r="L50" s="19" t="s">
        <v>200</v>
      </c>
    </row>
    <row r="51" customFormat="false" ht="15" hidden="false" customHeight="false" outlineLevel="0" collapsed="false">
      <c r="A51" s="20" t="n">
        <v>50</v>
      </c>
      <c r="B51" s="15" t="s">
        <v>46</v>
      </c>
      <c r="C51" s="16" t="s">
        <v>201</v>
      </c>
      <c r="D51" s="17" t="n">
        <v>165000</v>
      </c>
      <c r="E51" s="17" t="n">
        <v>149000</v>
      </c>
      <c r="F51" s="15" t="s">
        <v>202</v>
      </c>
      <c r="G51" s="17" t="n">
        <f aca="false">D51-E51</f>
        <v>16000</v>
      </c>
      <c r="H51" s="18" t="n">
        <f aca="false">IF(E51=0,"",G51/E51)</f>
        <v>0.10738255033557</v>
      </c>
      <c r="I51" s="20" t="str">
        <f aca="false">IF(H51&lt;=요약!$C$4,"낮음",IF(H51&gt;=요약!$C$7,"매우 높음",IF(H51&gt;=요약!$C$6,"높음",IF(H51&gt;=요약!$C$5,"다소 높음","적정"))))</f>
        <v>다소 높음</v>
      </c>
      <c r="J51" s="16" t="s">
        <v>203</v>
      </c>
      <c r="K51" s="20" t="s">
        <v>11</v>
      </c>
      <c r="L51" s="19" t="s">
        <v>204</v>
      </c>
    </row>
    <row r="52" customFormat="false" ht="15" hidden="false" customHeight="false" outlineLevel="0" collapsed="false">
      <c r="A52" s="20" t="n">
        <v>51</v>
      </c>
      <c r="B52" s="15" t="s">
        <v>74</v>
      </c>
      <c r="C52" s="16" t="s">
        <v>205</v>
      </c>
      <c r="D52" s="17" t="n">
        <v>400000</v>
      </c>
      <c r="E52" s="17" t="n">
        <v>362000</v>
      </c>
      <c r="F52" s="15" t="s">
        <v>206</v>
      </c>
      <c r="G52" s="17" t="n">
        <f aca="false">D52-E52</f>
        <v>38000</v>
      </c>
      <c r="H52" s="18" t="n">
        <f aca="false">IF(E52=0,"",G52/E52)</f>
        <v>0.104972375690608</v>
      </c>
      <c r="I52" s="20" t="str">
        <f aca="false">IF(H52&lt;=요약!$C$4,"낮음",IF(H52&gt;=요약!$C$7,"매우 높음",IF(H52&gt;=요약!$C$6,"높음",IF(H52&gt;=요약!$C$5,"다소 높음","적정"))))</f>
        <v>다소 높음</v>
      </c>
      <c r="J52" s="15" t="n">
        <v>365000</v>
      </c>
      <c r="K52" s="20" t="s">
        <v>9</v>
      </c>
      <c r="L52" s="19" t="s">
        <v>207</v>
      </c>
    </row>
    <row r="53" customFormat="false" ht="15" hidden="false" customHeight="false" outlineLevel="0" collapsed="false">
      <c r="A53" s="20" t="n">
        <v>52</v>
      </c>
      <c r="B53" s="15" t="s">
        <v>38</v>
      </c>
      <c r="C53" s="16" t="s">
        <v>208</v>
      </c>
      <c r="D53" s="17" t="n">
        <v>484000</v>
      </c>
      <c r="E53" s="17" t="n">
        <v>439800</v>
      </c>
      <c r="F53" s="15" t="s">
        <v>86</v>
      </c>
      <c r="G53" s="17" t="n">
        <f aca="false">D53-E53</f>
        <v>44200</v>
      </c>
      <c r="H53" s="18" t="n">
        <f aca="false">IF(E53=0,"",G53/E53)</f>
        <v>0.10050022737608</v>
      </c>
      <c r="I53" s="20" t="str">
        <f aca="false">IF(H53&lt;=요약!$C$4,"낮음",IF(H53&gt;=요약!$C$7,"매우 높음",IF(H53&gt;=요약!$C$6,"높음",IF(H53&gt;=요약!$C$5,"다소 높음","적정"))))</f>
        <v>다소 높음</v>
      </c>
      <c r="J53" s="15" t="n">
        <v>439800</v>
      </c>
      <c r="K53" s="20" t="s">
        <v>11</v>
      </c>
      <c r="L53" s="19" t="s">
        <v>209</v>
      </c>
    </row>
    <row r="54" customFormat="false" ht="28.35" hidden="false" customHeight="false" outlineLevel="0" collapsed="false">
      <c r="A54" s="20" t="n">
        <v>53</v>
      </c>
      <c r="B54" s="15" t="s">
        <v>42</v>
      </c>
      <c r="C54" s="16" t="s">
        <v>210</v>
      </c>
      <c r="D54" s="17" t="n">
        <v>2200000</v>
      </c>
      <c r="E54" s="17" t="n">
        <v>1999990</v>
      </c>
      <c r="F54" s="15" t="s">
        <v>172</v>
      </c>
      <c r="G54" s="17" t="n">
        <f aca="false">D54-E54</f>
        <v>200010</v>
      </c>
      <c r="H54" s="18" t="n">
        <f aca="false">IF(E54=0,"",G54/E54)</f>
        <v>0.1000055000275</v>
      </c>
      <c r="I54" s="20" t="str">
        <f aca="false">IF(H54&lt;=요약!$C$4,"낮음",IF(H54&gt;=요약!$C$7,"매우 높음",IF(H54&gt;=요약!$C$6,"높음",IF(H54&gt;=요약!$C$5,"다소 높음","적정"))))</f>
        <v>다소 높음</v>
      </c>
      <c r="J54" s="16" t="s">
        <v>211</v>
      </c>
      <c r="K54" s="20" t="s">
        <v>11</v>
      </c>
      <c r="L54" s="19" t="s">
        <v>212</v>
      </c>
    </row>
    <row r="55" customFormat="false" ht="28.35" hidden="false" customHeight="false" outlineLevel="0" collapsed="false">
      <c r="A55" s="20" t="n">
        <v>54</v>
      </c>
      <c r="B55" s="15" t="s">
        <v>38</v>
      </c>
      <c r="C55" s="16" t="s">
        <v>213</v>
      </c>
      <c r="D55" s="17" t="n">
        <v>1700000</v>
      </c>
      <c r="E55" s="17" t="n">
        <v>4100000</v>
      </c>
      <c r="F55" s="15" t="s">
        <v>214</v>
      </c>
      <c r="G55" s="17" t="n">
        <f aca="false">D55-E55</f>
        <v>-2400000</v>
      </c>
      <c r="H55" s="18" t="n">
        <f aca="false">IF(E55=0,"",G55/E55)</f>
        <v>-0.585365853658537</v>
      </c>
      <c r="I55" s="20" t="str">
        <f aca="false">IF(H55&lt;=요약!$C$4,"낮음",IF(H55&gt;=요약!$C$7,"매우 높음",IF(H55&gt;=요약!$C$6,"높음",IF(H55&gt;=요약!$C$5,"다소 높음","적정"))))</f>
        <v>낮음</v>
      </c>
      <c r="J55" s="15"/>
      <c r="K55" s="20" t="s">
        <v>9</v>
      </c>
      <c r="L55" s="19" t="s">
        <v>215</v>
      </c>
    </row>
  </sheetData>
  <autoFilter ref="A1:L55"/>
  <conditionalFormatting sqref="A2:L55">
    <cfRule type="expression" priority="2" aboveAverage="0" equalAverage="0" bottom="0" percent="0" rank="0" text="" dxfId="4">
      <formula>$I2="매우 높음"</formula>
    </cfRule>
    <cfRule type="expression" priority="3" aboveAverage="0" equalAverage="0" bottom="0" percent="0" rank="0" text="" dxfId="5">
      <formula>$I2="높음"</formula>
    </cfRule>
    <cfRule type="expression" priority="4" aboveAverage="0" equalAverage="0" bottom="0" percent="0" rank="0" text="" dxfId="6">
      <formula>$I2="다소 높음"</formula>
    </cfRule>
    <cfRule type="expression" priority="5" aboveAverage="0" equalAverage="0" bottom="0" percent="0" rank="0" text="" dxfId="7">
      <formula>$I2="낮음"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3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48"/>
  </cols>
  <sheetData>
    <row r="1" customFormat="false" ht="28.35" hidden="false" customHeight="false" outlineLevel="0" collapsed="false">
      <c r="A1" s="12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  <c r="H1" s="13" t="s">
        <v>29</v>
      </c>
      <c r="I1" s="13" t="s">
        <v>30</v>
      </c>
      <c r="J1" s="13" t="s">
        <v>31</v>
      </c>
      <c r="K1" s="13" t="s">
        <v>32</v>
      </c>
      <c r="L1" s="13" t="s">
        <v>33</v>
      </c>
    </row>
    <row r="2" customFormat="false" ht="15" hidden="false" customHeight="false" outlineLevel="0" collapsed="false">
      <c r="A2" s="20" t="n">
        <v>1</v>
      </c>
      <c r="B2" s="15" t="s">
        <v>216</v>
      </c>
      <c r="C2" s="16" t="s">
        <v>217</v>
      </c>
      <c r="D2" s="17" t="n">
        <v>380000</v>
      </c>
      <c r="E2" s="17" t="n">
        <v>187380</v>
      </c>
      <c r="F2" s="15" t="s">
        <v>36</v>
      </c>
      <c r="G2" s="17" t="n">
        <f aca="false">D2-E2</f>
        <v>192620</v>
      </c>
      <c r="H2" s="18" t="n">
        <f aca="false">IF(E2=0,"",G2/E2)</f>
        <v>1.02796456398762</v>
      </c>
      <c r="I2" s="20" t="str">
        <f aca="false">IF(H2&lt;=요약!$C$4,"낮음",IF(H2&gt;=요약!$C$7,"매우 높음",IF(H2&gt;=요약!$C$6,"높음",IF(H2&gt;=요약!$C$5,"다소 높음","적정"))))</f>
        <v>매우 높음</v>
      </c>
      <c r="J2" s="16" t="s">
        <v>218</v>
      </c>
      <c r="K2" s="20" t="s">
        <v>11</v>
      </c>
      <c r="L2" s="19" t="s">
        <v>219</v>
      </c>
    </row>
    <row r="3" customFormat="false" ht="15" hidden="false" customHeight="false" outlineLevel="0" collapsed="false">
      <c r="A3" s="20" t="n">
        <v>2</v>
      </c>
      <c r="B3" s="15" t="s">
        <v>220</v>
      </c>
      <c r="C3" s="16" t="s">
        <v>221</v>
      </c>
      <c r="D3" s="17" t="n">
        <v>246000</v>
      </c>
      <c r="E3" s="17" t="n">
        <v>149500</v>
      </c>
      <c r="F3" s="15" t="s">
        <v>222</v>
      </c>
      <c r="G3" s="17" t="n">
        <f aca="false">D3-E3</f>
        <v>96500</v>
      </c>
      <c r="H3" s="18" t="n">
        <f aca="false">IF(E3=0,"",G3/E3)</f>
        <v>0.645484949832776</v>
      </c>
      <c r="I3" s="20" t="str">
        <f aca="false">IF(H3&lt;=요약!$C$4,"낮음",IF(H3&gt;=요약!$C$7,"매우 높음",IF(H3&gt;=요약!$C$6,"높음",IF(H3&gt;=요약!$C$5,"다소 높음","적정"))))</f>
        <v>매우 높음</v>
      </c>
      <c r="J3" s="16" t="s">
        <v>223</v>
      </c>
      <c r="K3" s="20" t="s">
        <v>11</v>
      </c>
      <c r="L3" s="19" t="s">
        <v>224</v>
      </c>
    </row>
    <row r="4" customFormat="false" ht="15" hidden="false" customHeight="false" outlineLevel="0" collapsed="false">
      <c r="A4" s="20" t="n">
        <v>3</v>
      </c>
      <c r="B4" s="15" t="s">
        <v>216</v>
      </c>
      <c r="C4" s="16" t="s">
        <v>225</v>
      </c>
      <c r="D4" s="17" t="n">
        <v>660000</v>
      </c>
      <c r="E4" s="17" t="n">
        <v>588000</v>
      </c>
      <c r="F4" s="15" t="s">
        <v>226</v>
      </c>
      <c r="G4" s="17" t="n">
        <f aca="false">D4-E4</f>
        <v>72000</v>
      </c>
      <c r="H4" s="18" t="n">
        <f aca="false">IF(E4=0,"",G4/E4)</f>
        <v>0.122448979591837</v>
      </c>
      <c r="I4" s="20" t="str">
        <f aca="false">IF(H4&lt;=요약!$C$4,"낮음",IF(H4&gt;=요약!$C$7,"매우 높음",IF(H4&gt;=요약!$C$6,"높음",IF(H4&gt;=요약!$C$5,"다소 높음","적정"))))</f>
        <v>다소 높음</v>
      </c>
      <c r="J4" s="16" t="s">
        <v>227</v>
      </c>
      <c r="K4" s="20" t="s">
        <v>11</v>
      </c>
      <c r="L4" s="19" t="s">
        <v>228</v>
      </c>
    </row>
    <row r="5" customFormat="false" ht="41.75" hidden="false" customHeight="false" outlineLevel="0" collapsed="false">
      <c r="A5" s="20" t="n">
        <v>4</v>
      </c>
      <c r="B5" s="16" t="s">
        <v>229</v>
      </c>
      <c r="C5" s="16" t="s">
        <v>230</v>
      </c>
      <c r="D5" s="17" t="n">
        <v>77000</v>
      </c>
      <c r="E5" s="17" t="n">
        <v>2280000</v>
      </c>
      <c r="F5" s="16" t="s">
        <v>56</v>
      </c>
      <c r="G5" s="17" t="n">
        <f aca="false">D5-E5</f>
        <v>-2203000</v>
      </c>
      <c r="H5" s="18" t="n">
        <f aca="false">IF(E5=0,"",G5/E5)</f>
        <v>-0.966228070175439</v>
      </c>
      <c r="I5" s="20" t="str">
        <f aca="false">IF(H5&lt;=요약!$C$4,"낮음",IF(H5&gt;=요약!$C$7,"매우 높음",IF(H5&gt;=요약!$C$6,"높음",IF(H5&gt;=요약!$C$5,"다소 높음","적정"))))</f>
        <v>낮음</v>
      </c>
      <c r="J5" s="15" t="n">
        <v>2300000</v>
      </c>
      <c r="K5" s="20" t="s">
        <v>11</v>
      </c>
      <c r="L5" s="19" t="s">
        <v>231</v>
      </c>
    </row>
  </sheetData>
  <autoFilter ref="A1:L5"/>
  <conditionalFormatting sqref="A2:L5">
    <cfRule type="expression" priority="2" aboveAverage="0" equalAverage="0" bottom="0" percent="0" rank="0" text="" dxfId="4">
      <formula>$I2="매우 높음"</formula>
    </cfRule>
    <cfRule type="expression" priority="3" aboveAverage="0" equalAverage="0" bottom="0" percent="0" rank="0" text="" dxfId="5">
      <formula>$I2="높음"</formula>
    </cfRule>
    <cfRule type="expression" priority="4" aboveAverage="0" equalAverage="0" bottom="0" percent="0" rank="0" text="" dxfId="6">
      <formula>$I2="다소 높음"</formula>
    </cfRule>
    <cfRule type="expression" priority="5" aboveAverage="0" equalAverage="0" bottom="0" percent="0" rank="0" text="" dxfId="7">
      <formula>$I2="낮음"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2026-10-16T04:53:18Z</dcterms:created>
  <dc:creator>openpyxl</dc:creator>
  <dc:description/>
  <dc:language>en-US</dc:language>
  <cp:lastModifiedBy/>
  <dcterms:modified xsi:type="dcterms:W3CDTF">2026-10-16T04:53:18Z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