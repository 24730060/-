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1" activeTab="1" autoFilterDateGrouping="1"/>
  </bookViews>
  <sheets>
    <sheet xmlns:r="http://schemas.openxmlformats.org/officeDocument/2006/relationships" name="업체비교" sheetId="1" state="hidden" r:id="rId1"/>
    <sheet xmlns:r="http://schemas.openxmlformats.org/officeDocument/2006/relationships" name="1013-업체비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#,##0&quot;원&quot;"/>
    <numFmt numFmtId="166" formatCode="#,##0&quot;대&quot;"/>
    <numFmt numFmtId="167" formatCode="$#,##0.00"/>
  </numFmts>
  <fonts count="30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Arial"/>
      <family val="2"/>
      <color rgb="FF000000"/>
      <sz val="11"/>
    </font>
    <font>
      <name val="Noto Sans CJK SC"/>
      <family val="2"/>
      <color rgb="FF808080"/>
      <sz val="11"/>
    </font>
    <font>
      <name val="Arial"/>
      <family val="2"/>
      <color rgb="FF808080"/>
      <sz val="11"/>
    </font>
    <font>
      <name val="Noto Sans CJK SC"/>
      <family val="2"/>
      <b val="1"/>
      <sz val="14"/>
    </font>
    <font>
      <name val="Arial"/>
      <family val="2"/>
      <b val="1"/>
      <sz val="14"/>
    </font>
    <font>
      <name val="Noto Sans CJK SC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Noto Sans CJK SC"/>
      <family val="2"/>
      <color rgb="FF000000"/>
      <sz val="11"/>
    </font>
    <font>
      <name val="맑은 고딕"/>
      <charset val="129"/>
      <family val="2"/>
      <color rgb="FF006100"/>
      <sz val="11"/>
      <scheme val="minor"/>
    </font>
    <font>
      <name val="Arial"/>
      <family val="2"/>
      <b val="1"/>
      <color rgb="FFFFFFFF"/>
      <sz val="18"/>
    </font>
    <font>
      <name val="돋움"/>
      <charset val="129"/>
      <family val="3"/>
      <sz val="8"/>
    </font>
    <font>
      <name val="Noto Sans CJK SC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Noto Sans CJK SC"/>
      <charset val="129"/>
      <family val="3"/>
      <color rgb="FF000000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color rgb="FF000000"/>
      <sz val="11"/>
    </font>
    <font>
      <name val="Tahoma"/>
      <family val="2"/>
      <color rgb="FF333333"/>
      <sz val="9"/>
    </font>
    <font>
      <name val="맑은 고딕"/>
      <charset val="129"/>
      <family val="3"/>
      <color rgb="FF808080"/>
      <sz val="11"/>
    </font>
    <font>
      <name val="Tahoma"/>
      <charset val="129"/>
      <family val="3"/>
      <color rgb="FF333333"/>
      <sz val="9"/>
    </font>
    <font>
      <name val="Calibri"/>
      <charset val="1"/>
      <family val="2"/>
      <color theme="1"/>
      <sz val="14"/>
    </font>
    <font>
      <name val="Arial"/>
      <family val="2"/>
      <b val="1"/>
      <color rgb="FFFFFFFF"/>
      <sz val="14"/>
    </font>
    <font>
      <name val="Noto Sans CJK SC"/>
      <charset val="129"/>
      <family val="2"/>
      <color rgb="FF000000"/>
      <sz val="11"/>
    </font>
    <font>
      <name val="Noto Sans CJK SC"/>
      <b val="1"/>
      <sz val="11"/>
    </font>
    <font>
      <name val="Noto Sans CJK SC"/>
      <sz val="10"/>
    </font>
    <font>
      <name val="맑은 고딕"/>
      <charset val="129"/>
      <family val="3"/>
      <b val="1"/>
      <sz val="14"/>
    </font>
    <font>
      <name val="Noto Sans CJK SC"/>
      <charset val="129"/>
      <family val="3"/>
      <b val="1"/>
      <sz val="14"/>
    </font>
    <font>
      <name val="Arial"/>
      <b val="1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808080"/>
        <bgColor rgb="FF96969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</patternFill>
    </fill>
    <fill>
      <patternFill patternType="solid">
        <fgColor theme="0"/>
        <bgColor rgb="FFFFFF00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0" fillId="7" borderId="0" applyAlignment="1">
      <alignment vertical="center"/>
    </xf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2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5" fontId="16" fillId="7" borderId="1" applyAlignment="1" pivotButton="0" quotePrefix="0" xfId="1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8" fillId="0" borderId="0" pivotButton="0" quotePrefix="0" xfId="0"/>
    <xf numFmtId="164" fontId="17" fillId="2" borderId="1" applyAlignment="1" pivotButton="0" quotePrefix="0" xfId="0">
      <alignment horizontal="center" vertical="center"/>
    </xf>
    <xf numFmtId="0" fontId="20" fillId="0" borderId="0" pivotButton="0" quotePrefix="0" xfId="0"/>
    <xf numFmtId="0" fontId="16" fillId="0" borderId="0" pivotButton="0" quotePrefix="0" xfId="0"/>
    <xf numFmtId="0" fontId="21" fillId="0" borderId="0" pivotButton="0" quotePrefix="0" xfId="0"/>
    <xf numFmtId="0" fontId="22" fillId="3" borderId="1" applyAlignment="1" pivotButton="0" quotePrefix="0" xfId="0">
      <alignment vertical="center"/>
    </xf>
    <xf numFmtId="0" fontId="2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17" fillId="0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165" fontId="16" fillId="7" borderId="1" applyAlignment="1" pivotButton="0" quotePrefix="0" xfId="1">
      <alignment horizontal="center" vertical="center"/>
    </xf>
    <xf numFmtId="164" fontId="17" fillId="2" borderId="1" applyAlignment="1" pivotButton="0" quotePrefix="0" xfId="0">
      <alignment horizontal="center" vertical="center"/>
    </xf>
    <xf numFmtId="166" fontId="2" fillId="9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7" fontId="2" fillId="9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2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9" fillId="0" borderId="0" pivotButton="0" quotePrefix="0" xfId="0"/>
  </cellXfs>
  <cellStyles count="2">
    <cellStyle name="표준" xfId="0" builtinId="0"/>
    <cellStyle name="좋음" xfId="1" builtinId="26"/>
  </cellStyles>
  <dxfs count="2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3"/>
  <sheetViews>
    <sheetView zoomScale="115" zoomScaleNormal="115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B32" sqref="B32"/>
    </sheetView>
  </sheetViews>
  <sheetFormatPr baseColWidth="8" defaultColWidth="8.7109375" defaultRowHeight="15"/>
  <cols>
    <col width="2" customWidth="1" min="1" max="1"/>
    <col width="38.28515625" customWidth="1" min="2" max="2"/>
    <col width="32.5703125" customWidth="1" min="3" max="3"/>
    <col width="44.28515625" customWidth="1" min="4" max="4"/>
    <col width="40.28515625" customWidth="1" min="5" max="5"/>
    <col width="43.5703125" customWidth="1" min="6" max="6"/>
  </cols>
  <sheetData>
    <row r="2" ht="16.5" customHeight="1">
      <c r="C2" s="1" t="inlineStr">
        <is>
          <t>환율(원/USD)</t>
        </is>
      </c>
      <c r="D2" s="2" t="n">
        <v>1337.7</v>
      </c>
      <c r="E2" s="14" t="inlineStr">
        <is>
          <t>← 노란색 셀만 값 변경. 초록색 = 해당 항목 최저가</t>
        </is>
      </c>
      <c r="F2" s="14" t="n"/>
    </row>
    <row r="4" ht="18" customHeight="1">
      <c r="B4" s="3" t="inlineStr">
        <is>
          <t>지브라 스캐너 매입처 비교 (중국 업체 3곳 + 현재 국내 매입단가)</t>
        </is>
      </c>
    </row>
    <row r="6" ht="23.25" customHeight="1">
      <c r="B6" s="13" t="inlineStr">
        <is>
          <t>Zebra LS2208 SR</t>
        </is>
      </c>
      <c r="C6" s="13" t="n"/>
      <c r="D6" s="13" t="n"/>
      <c r="E6" s="13" t="n"/>
      <c r="F6" s="13" t="n"/>
    </row>
    <row r="7" ht="31.5" customHeight="1">
      <c r="B7" s="4" t="inlineStr">
        <is>
          <t>구분</t>
        </is>
      </c>
      <c r="C7" s="6" t="inlineStr">
        <is>
          <t>현재 매입단가
(국내/기존)</t>
        </is>
      </c>
      <c r="D7" s="5" t="inlineStr">
        <is>
          <t>1. Shenzhen Xingyao Trading Co., Ltd.
(설립 1년)</t>
        </is>
      </c>
      <c r="E7" s="5" t="inlineStr">
        <is>
          <t>2. Shenzhen Barcode System Co., Ltd.
(설립 20년)</t>
        </is>
      </c>
      <c r="F7" s="5" t="inlineStr">
        <is>
          <t>3. Suzhou Qiji Electric Co., Ltd.
(설립 12년)</t>
        </is>
      </c>
    </row>
    <row r="8">
      <c r="B8" s="8" t="inlineStr">
        <is>
          <t>단가(USD) - 스탠드 포함</t>
        </is>
      </c>
      <c r="C8" s="7" t="inlineStr">
        <is>
          <t>-</t>
        </is>
      </c>
      <c r="D8" s="32" t="n">
        <v>19.4</v>
      </c>
      <c r="E8" s="7" t="inlineStr">
        <is>
          <t>-</t>
        </is>
      </c>
      <c r="F8" s="32" t="n">
        <v>65</v>
      </c>
    </row>
    <row r="9">
      <c r="B9" s="8" t="inlineStr">
        <is>
          <t>단가(원화) - 스탠드 포함</t>
        </is>
      </c>
      <c r="C9" s="7" t="inlineStr">
        <is>
          <t>-</t>
        </is>
      </c>
      <c r="D9" s="33">
        <f>D8*$D$2</f>
        <v/>
      </c>
      <c r="E9" s="7" t="inlineStr">
        <is>
          <t>-</t>
        </is>
      </c>
      <c r="F9" s="33">
        <f>F8*$D$2</f>
        <v/>
      </c>
    </row>
    <row r="10" ht="16.5" customHeight="1">
      <c r="B10" s="16" t="inlineStr">
        <is>
          <t>단가(USD) - 스탠드 제외</t>
        </is>
      </c>
      <c r="C10" s="7" t="inlineStr">
        <is>
          <t>-</t>
        </is>
      </c>
      <c r="D10" s="32" t="n">
        <v>17.46</v>
      </c>
      <c r="E10" s="32" t="n">
        <v>53</v>
      </c>
      <c r="F10" s="32" t="n">
        <v>55</v>
      </c>
    </row>
    <row r="11" ht="16.5" customHeight="1">
      <c r="B11" s="16" t="inlineStr">
        <is>
          <t>단가(원화) - 스탠드 제외</t>
        </is>
      </c>
      <c r="C11" s="34" t="n">
        <v>67000</v>
      </c>
      <c r="D11" s="33">
        <f>D10*$D$2</f>
        <v/>
      </c>
      <c r="E11" s="33">
        <f>E10*$D$2</f>
        <v/>
      </c>
      <c r="F11" s="33">
        <f>F10*$D$2</f>
        <v/>
      </c>
    </row>
    <row r="12" ht="16.5" customHeight="1">
      <c r="B12" s="16" t="inlineStr">
        <is>
          <t xml:space="preserve">USB케이블 </t>
        </is>
      </c>
      <c r="C12" s="17" t="inlineStr">
        <is>
          <t>직선형 USB, 9,000원</t>
        </is>
      </c>
      <c r="D12" s="11" t="inlineStr">
        <is>
          <t>포함</t>
        </is>
      </c>
      <c r="E12" s="11" t="inlineStr">
        <is>
          <t>포함</t>
        </is>
      </c>
      <c r="F12" s="11" t="inlineStr">
        <is>
          <t>포함</t>
        </is>
      </c>
    </row>
    <row r="13">
      <c r="B13" s="8" t="inlineStr">
        <is>
          <t>재고여부</t>
        </is>
      </c>
      <c r="C13" s="12" t="n">
        <v>56</v>
      </c>
      <c r="D13" s="11" t="inlineStr">
        <is>
          <t>재고 있음 (사진 확인함)</t>
        </is>
      </c>
      <c r="E13" s="11" t="inlineStr">
        <is>
          <t>미확인</t>
        </is>
      </c>
      <c r="F13" s="11" t="inlineStr">
        <is>
          <t>미확인</t>
        </is>
      </c>
    </row>
    <row r="14" ht="16.5" customHeight="1">
      <c r="B14" s="8" t="inlineStr">
        <is>
          <t>납기일정</t>
        </is>
      </c>
      <c r="C14" s="12" t="inlineStr">
        <is>
          <t>-</t>
        </is>
      </c>
      <c r="D14" s="11" t="inlineStr">
        <is>
          <t>미정 (관세 납부 가능 여부 확인 후 결정 예정)</t>
        </is>
      </c>
      <c r="E14" s="11" t="inlineStr">
        <is>
          <t>리드타임 5~7일</t>
        </is>
      </c>
      <c r="F14" s="19" t="inlineStr">
        <is>
          <t>1~2주</t>
        </is>
      </c>
    </row>
    <row r="15" ht="49.5" customHeight="1">
      <c r="B15" s="8" t="inlineStr">
        <is>
          <t>비고</t>
        </is>
      </c>
      <c r="C15" s="11" t="inlineStr">
        <is>
          <t>본체 67,000원 + 케이블(직선형 USB) 9,000원 = 76,000원</t>
        </is>
      </c>
      <c r="D15" s="19" t="inlineStr">
        <is>
          <t>100대 이상 구매 시 5% 할인가능</t>
        </is>
      </c>
      <c r="E15" s="19" t="inlineStr">
        <is>
          <t>배송비 개당 3.2USD이며, DHL 또는 Fedex 특송을 이용/ DAP 인코텀즈 조건 / VAT 별도</t>
        </is>
      </c>
      <c r="F15" s="12" t="inlineStr">
        <is>
          <t>-</t>
        </is>
      </c>
    </row>
    <row r="17" ht="23.25" customHeight="1">
      <c r="B17" s="13" t="inlineStr">
        <is>
          <t>Zebra DS2208</t>
        </is>
      </c>
      <c r="C17" s="13" t="n"/>
      <c r="D17" s="13" t="n"/>
      <c r="E17" s="13" t="n"/>
      <c r="F17" s="13" t="n"/>
    </row>
    <row r="18" ht="31.5" customHeight="1">
      <c r="B18" s="4" t="inlineStr">
        <is>
          <t>구분</t>
        </is>
      </c>
      <c r="C18" s="6" t="inlineStr">
        <is>
          <t>현재 매입단가
(국내/기존)</t>
        </is>
      </c>
      <c r="D18" s="5" t="inlineStr">
        <is>
          <t>1. Shenzhen Xingyao Trading Co., Ltd.
(설립 1년)</t>
        </is>
      </c>
      <c r="E18" s="5" t="inlineStr">
        <is>
          <t>2. Shenzhen Barcode System Co., Ltd.
(설립 20년)</t>
        </is>
      </c>
      <c r="F18" s="5" t="inlineStr">
        <is>
          <t>3. Suzhou Qiji Electric Co., Ltd.
(설립 12년)</t>
        </is>
      </c>
    </row>
    <row r="19">
      <c r="B19" s="8" t="inlineStr">
        <is>
          <t>단가(USD) - 스탠드 포함</t>
        </is>
      </c>
      <c r="C19" s="7" t="inlineStr">
        <is>
          <t>-</t>
        </is>
      </c>
      <c r="D19" s="32" t="n">
        <v>46.57</v>
      </c>
      <c r="E19" s="7" t="inlineStr">
        <is>
          <t>-</t>
        </is>
      </c>
      <c r="F19" s="32" t="n">
        <v>75</v>
      </c>
    </row>
    <row r="20">
      <c r="B20" s="8" t="inlineStr">
        <is>
          <t>단가(원화) - 스탠드 포함</t>
        </is>
      </c>
      <c r="C20" s="7" t="inlineStr">
        <is>
          <t>-</t>
        </is>
      </c>
      <c r="D20" s="33">
        <f>D19*$D$2</f>
        <v/>
      </c>
      <c r="E20" s="7" t="inlineStr">
        <is>
          <t>-</t>
        </is>
      </c>
      <c r="F20" s="33">
        <f>F19*$D$2</f>
        <v/>
      </c>
    </row>
    <row r="21" ht="16.5" customHeight="1">
      <c r="B21" s="16" t="inlineStr">
        <is>
          <t>단가(USD) - 스탠드 제외</t>
        </is>
      </c>
      <c r="C21" s="7" t="inlineStr">
        <is>
          <t>-</t>
        </is>
      </c>
      <c r="D21" s="32" t="n">
        <v>42.69</v>
      </c>
      <c r="E21" s="32" t="n">
        <v>62</v>
      </c>
      <c r="F21" s="32" t="n">
        <v>65</v>
      </c>
    </row>
    <row r="22" ht="16.5" customHeight="1">
      <c r="B22" s="16" t="inlineStr">
        <is>
          <t>단가(원화) - 스탠드 제외</t>
        </is>
      </c>
      <c r="C22" s="34" t="n">
        <v>96000</v>
      </c>
      <c r="D22" s="33">
        <f>D21*$D$2</f>
        <v/>
      </c>
      <c r="E22" s="33">
        <f>E21*$D$2</f>
        <v/>
      </c>
      <c r="F22" s="33">
        <f>F21*$D$2</f>
        <v/>
      </c>
    </row>
    <row r="23" ht="13.5" customHeight="1">
      <c r="B23" s="8" t="inlineStr">
        <is>
          <t>USB케이블</t>
        </is>
      </c>
      <c r="C23" s="17" t="inlineStr">
        <is>
          <t>직선형 USB, 9,000원</t>
        </is>
      </c>
      <c r="D23" s="11" t="inlineStr">
        <is>
          <t>포함</t>
        </is>
      </c>
      <c r="E23" s="11" t="inlineStr">
        <is>
          <t>포함</t>
        </is>
      </c>
      <c r="F23" s="11" t="inlineStr">
        <is>
          <t>포함</t>
        </is>
      </c>
    </row>
    <row r="24" ht="16.5" customHeight="1">
      <c r="B24" s="8" t="inlineStr">
        <is>
          <t>재고여부</t>
        </is>
      </c>
      <c r="C24" s="12" t="n">
        <v>44</v>
      </c>
      <c r="D24" s="11" t="inlineStr">
        <is>
          <t>재고 있음 (사진 확인함)</t>
        </is>
      </c>
      <c r="E24" s="11" t="inlineStr">
        <is>
          <t>미확인</t>
        </is>
      </c>
      <c r="F24" s="19" t="inlineStr">
        <is>
          <t>1~2주</t>
        </is>
      </c>
    </row>
    <row r="25" ht="16.5" customHeight="1">
      <c r="B25" s="8" t="inlineStr">
        <is>
          <t>납기일정</t>
        </is>
      </c>
      <c r="C25" s="12" t="inlineStr">
        <is>
          <t>-</t>
        </is>
      </c>
      <c r="D25" s="11" t="inlineStr">
        <is>
          <t>미정 (관세 납부 가능 여부 확인 후 결정 예정)</t>
        </is>
      </c>
      <c r="E25" s="11" t="inlineStr">
        <is>
          <t>리드타임 5~7일</t>
        </is>
      </c>
      <c r="F25" s="19" t="n"/>
    </row>
    <row r="26" ht="49.5" customHeight="1">
      <c r="B26" s="8" t="inlineStr">
        <is>
          <t>비고</t>
        </is>
      </c>
      <c r="C26" s="11" t="inlineStr">
        <is>
          <t>본체 96,000원 + 케이블(직선형 USB) 9,000원 = 105,000원</t>
        </is>
      </c>
      <c r="D26" s="17" t="inlineStr">
        <is>
          <t>100대 이상 구매 시 5% 할인가능</t>
        </is>
      </c>
      <c r="E26" s="19" t="inlineStr">
        <is>
          <t>배송비 개당 3.2USD이며, DHL 또는 Fedex 특송을 이용/ DAP 인코텀즈 조건 / VAT 별도</t>
        </is>
      </c>
      <c r="F26" s="12" t="inlineStr">
        <is>
          <t>-</t>
        </is>
      </c>
    </row>
    <row r="28" ht="23.25" customHeight="1">
      <c r="B28" s="13" t="inlineStr">
        <is>
          <t>Zebra DS9308</t>
        </is>
      </c>
      <c r="C28" s="13" t="n"/>
      <c r="D28" s="13" t="n"/>
      <c r="E28" s="13" t="n"/>
      <c r="F28" s="13" t="n"/>
    </row>
    <row r="29" ht="31.5" customHeight="1">
      <c r="B29" s="4" t="inlineStr">
        <is>
          <t>구분</t>
        </is>
      </c>
      <c r="C29" s="6" t="inlineStr">
        <is>
          <t>현재 매입단가
(국내/기존)</t>
        </is>
      </c>
      <c r="D29" s="5" t="inlineStr">
        <is>
          <t>1. Shenzhen Xingyao Trading Co., Ltd.
(설립 1년)</t>
        </is>
      </c>
      <c r="E29" s="5" t="inlineStr">
        <is>
          <t>2. Shenzhen Barcode System Co., Ltd.
(설립 20년)</t>
        </is>
      </c>
      <c r="F29" s="5" t="inlineStr">
        <is>
          <t>3. Suzhou Qiji Electric Co., Ltd.
(설립 12년)</t>
        </is>
      </c>
    </row>
    <row r="30">
      <c r="B30" s="8" t="inlineStr">
        <is>
          <t>단가(USD)</t>
        </is>
      </c>
      <c r="C30" s="7" t="inlineStr">
        <is>
          <t>-</t>
        </is>
      </c>
      <c r="D30" s="32" t="n">
        <v>116.42</v>
      </c>
      <c r="E30" s="32" t="n">
        <v>98</v>
      </c>
      <c r="F30" s="32" t="n">
        <v>100</v>
      </c>
    </row>
    <row r="31" ht="16.5" customHeight="1">
      <c r="B31" s="8" t="inlineStr">
        <is>
          <t>단가(원화)</t>
        </is>
      </c>
      <c r="C31" s="34" t="n">
        <v>182000</v>
      </c>
      <c r="D31" s="35">
        <f>D30*$D$2</f>
        <v/>
      </c>
      <c r="E31" s="33">
        <f>E30*$D$2</f>
        <v/>
      </c>
      <c r="F31" s="33">
        <f>F30*$D$2</f>
        <v/>
      </c>
    </row>
    <row r="32" ht="18" customHeight="1">
      <c r="B32" s="8" t="inlineStr">
        <is>
          <t>USB케이블</t>
        </is>
      </c>
      <c r="C32" s="17" t="inlineStr">
        <is>
          <t>직선형 USB, 9,000원</t>
        </is>
      </c>
      <c r="D32" s="11" t="inlineStr">
        <is>
          <t>포함</t>
        </is>
      </c>
      <c r="E32" s="11" t="inlineStr">
        <is>
          <t>포함</t>
        </is>
      </c>
      <c r="F32" s="11" t="inlineStr">
        <is>
          <t>포함</t>
        </is>
      </c>
    </row>
    <row r="33">
      <c r="B33" s="8" t="inlineStr">
        <is>
          <t>재고여부</t>
        </is>
      </c>
      <c r="C33" s="12" t="n">
        <v>26</v>
      </c>
      <c r="D33" s="11" t="inlineStr">
        <is>
          <t>재고 있음 (사진 확인함)</t>
        </is>
      </c>
      <c r="E33" s="11" t="inlineStr">
        <is>
          <t>미확인</t>
        </is>
      </c>
      <c r="F33" s="11" t="inlineStr">
        <is>
          <t>미확인</t>
        </is>
      </c>
    </row>
    <row r="34" ht="16.5" customHeight="1">
      <c r="B34" s="8" t="inlineStr">
        <is>
          <t>납기일정</t>
        </is>
      </c>
      <c r="C34" s="12" t="inlineStr">
        <is>
          <t>-</t>
        </is>
      </c>
      <c r="D34" s="11" t="inlineStr">
        <is>
          <t>미정 (관세 납부 가능 여부 확인 후 결정 예정)</t>
        </is>
      </c>
      <c r="E34" s="11" t="inlineStr">
        <is>
          <t>리드타임 5~7일</t>
        </is>
      </c>
      <c r="F34" s="19" t="inlineStr">
        <is>
          <t>1~2주</t>
        </is>
      </c>
    </row>
    <row r="35" ht="49.5" customHeight="1">
      <c r="B35" s="8" t="inlineStr">
        <is>
          <t>비고</t>
        </is>
      </c>
      <c r="C35" s="11" t="inlineStr">
        <is>
          <t>본체 182,000원 + 케이블(직선형 USB) 9,000원 = 191,000원</t>
        </is>
      </c>
      <c r="D35" s="17" t="inlineStr">
        <is>
          <t>100대 이상 구매 시 5% 할인가능</t>
        </is>
      </c>
      <c r="E35" s="19" t="inlineStr">
        <is>
          <t>배송비 개당 3.2USD이며, DHL 또는 Fedex 특송을 이용/ DAP 인코텀즈 조건 / VAT 별도</t>
        </is>
      </c>
      <c r="F35" s="12" t="inlineStr">
        <is>
          <t>-</t>
        </is>
      </c>
    </row>
    <row r="36" ht="16.5" customHeight="1">
      <c r="E36" s="19" t="n"/>
    </row>
    <row r="37" ht="23.25" customHeight="1">
      <c r="B37" s="13" t="inlineStr">
        <is>
          <t>Zebra DS3678 SR</t>
        </is>
      </c>
      <c r="C37" s="13" t="n"/>
      <c r="D37" s="13" t="n"/>
      <c r="E37" s="13" t="n"/>
      <c r="F37" s="13" t="n"/>
    </row>
    <row r="38" ht="31.5" customHeight="1">
      <c r="B38" s="4" t="inlineStr">
        <is>
          <t>구분</t>
        </is>
      </c>
      <c r="C38" s="6" t="inlineStr">
        <is>
          <t>현재 매입단가
(국내/기존)</t>
        </is>
      </c>
      <c r="D38" s="5" t="inlineStr">
        <is>
          <t>1. Shenzhen Xingyao Trading Co., Ltd.
(설립 1년)</t>
        </is>
      </c>
      <c r="E38" s="5" t="inlineStr">
        <is>
          <t>2. Shenzhen Barcode System Co., Ltd.
(설립 20년)</t>
        </is>
      </c>
      <c r="F38" s="5" t="inlineStr">
        <is>
          <t>3. Suzhou Qiji Electric Co., Ltd.
(설립 12년)</t>
        </is>
      </c>
    </row>
    <row r="39" ht="16.5" customHeight="1">
      <c r="B39" s="8" t="inlineStr">
        <is>
          <t>단가(USD)</t>
        </is>
      </c>
      <c r="C39" s="7" t="inlineStr">
        <is>
          <t>-</t>
        </is>
      </c>
      <c r="D39" s="36" t="inlineStr">
        <is>
          <t>재고부족</t>
        </is>
      </c>
      <c r="E39" s="32" t="n">
        <v>452</v>
      </c>
      <c r="F39" s="32" t="n">
        <v>455</v>
      </c>
    </row>
    <row r="40" ht="16.5" customHeight="1">
      <c r="B40" s="8" t="inlineStr">
        <is>
          <t>단가(원화)</t>
        </is>
      </c>
      <c r="C40" s="34" t="n">
        <v>745000</v>
      </c>
      <c r="D40" s="33">
        <f>D39*$D$2</f>
        <v/>
      </c>
      <c r="E40" s="35">
        <f>E39*$D$2</f>
        <v/>
      </c>
      <c r="F40" s="33">
        <f>F39*$D$2</f>
        <v/>
      </c>
    </row>
    <row r="41" ht="18" customHeight="1">
      <c r="B41" s="8" t="inlineStr">
        <is>
          <t>USB케이블</t>
        </is>
      </c>
      <c r="C41" s="17" t="n"/>
      <c r="D41" s="11" t="n"/>
      <c r="E41" s="11" t="n"/>
      <c r="F41" s="11" t="inlineStr">
        <is>
          <t>포함</t>
        </is>
      </c>
    </row>
    <row r="42">
      <c r="B42" s="8" t="inlineStr">
        <is>
          <t>재고여부</t>
        </is>
      </c>
      <c r="C42" s="12" t="n">
        <v>7</v>
      </c>
      <c r="D42" s="11" t="n"/>
      <c r="E42" s="11" t="n"/>
      <c r="F42" s="11" t="inlineStr">
        <is>
          <t>미확인</t>
        </is>
      </c>
    </row>
    <row r="43" ht="16.5" customHeight="1">
      <c r="B43" s="8" t="inlineStr">
        <is>
          <t>납기일정</t>
        </is>
      </c>
      <c r="C43" s="12" t="inlineStr">
        <is>
          <t>-</t>
        </is>
      </c>
      <c r="D43" s="11" t="n"/>
      <c r="E43" s="11" t="inlineStr">
        <is>
          <t>리드타임 2주</t>
        </is>
      </c>
      <c r="F43" s="11" t="inlineStr">
        <is>
          <t>1~2주</t>
        </is>
      </c>
    </row>
    <row r="44">
      <c r="B44" s="8" t="inlineStr">
        <is>
          <t>비고</t>
        </is>
      </c>
      <c r="C44" s="11" t="n"/>
      <c r="D44" s="17" t="n"/>
      <c r="E44" s="20" t="inlineStr">
        <is>
          <t>EXW 가격 기준</t>
        </is>
      </c>
      <c r="F44" s="12" t="inlineStr">
        <is>
          <t>-</t>
        </is>
      </c>
    </row>
    <row r="46" ht="23.25" customHeight="1">
      <c r="B46" s="13" t="inlineStr">
        <is>
          <t>Zebra DS3678 ER</t>
        </is>
      </c>
      <c r="C46" s="13" t="n"/>
      <c r="D46" s="13" t="n"/>
      <c r="E46" s="13" t="n"/>
      <c r="F46" s="13" t="n"/>
    </row>
    <row r="47" ht="31.5" customHeight="1">
      <c r="B47" s="4" t="inlineStr">
        <is>
          <t>구분</t>
        </is>
      </c>
      <c r="C47" s="6" t="inlineStr">
        <is>
          <t>현재 매입단가
(국내/기존)</t>
        </is>
      </c>
      <c r="D47" s="5" t="inlineStr">
        <is>
          <t>1. Shenzhen Xingyao Trading Co., Ltd.
(설립 1년)</t>
        </is>
      </c>
      <c r="E47" s="5" t="inlineStr">
        <is>
          <t>2. Shenzhen Barcode System Co., Ltd.
(설립 20년)</t>
        </is>
      </c>
      <c r="F47" s="5" t="inlineStr">
        <is>
          <t>3. Suzhou Qiji Electric Co., Ltd.
(설립 12년)</t>
        </is>
      </c>
    </row>
    <row r="48" ht="16.5" customHeight="1">
      <c r="B48" s="8" t="inlineStr">
        <is>
          <t>단가(USD)</t>
        </is>
      </c>
      <c r="C48" s="7" t="inlineStr">
        <is>
          <t>-</t>
        </is>
      </c>
      <c r="D48" s="36" t="inlineStr">
        <is>
          <t>재고부족</t>
        </is>
      </c>
      <c r="E48" s="32" t="n">
        <v>585</v>
      </c>
      <c r="F48" s="32" t="n">
        <v>575</v>
      </c>
    </row>
    <row r="49" ht="16.5" customHeight="1">
      <c r="B49" s="8" t="inlineStr">
        <is>
          <t>단가(원화)</t>
        </is>
      </c>
      <c r="C49" s="34" t="inlineStr">
        <is>
          <t>850,000(24년도)</t>
        </is>
      </c>
      <c r="D49" s="33">
        <f>D48*$D$2</f>
        <v/>
      </c>
      <c r="E49" s="35">
        <f>E48*$D$2</f>
        <v/>
      </c>
      <c r="F49" s="33">
        <f>F48*$D$2</f>
        <v/>
      </c>
    </row>
    <row r="50" ht="18" customHeight="1">
      <c r="B50" s="8" t="inlineStr">
        <is>
          <t>USB케이블</t>
        </is>
      </c>
      <c r="C50" s="17" t="n"/>
      <c r="D50" s="11" t="n"/>
      <c r="E50" s="11" t="n"/>
      <c r="F50" s="11" t="inlineStr">
        <is>
          <t>포함</t>
        </is>
      </c>
    </row>
    <row r="51">
      <c r="B51" s="8" t="inlineStr">
        <is>
          <t>재고여부</t>
        </is>
      </c>
      <c r="C51" s="12" t="n">
        <v>0</v>
      </c>
      <c r="D51" s="11" t="n"/>
      <c r="E51" s="11" t="n"/>
      <c r="F51" s="11" t="inlineStr">
        <is>
          <t>미확인</t>
        </is>
      </c>
    </row>
    <row r="52" ht="16.5" customHeight="1">
      <c r="B52" s="8" t="inlineStr">
        <is>
          <t>납기일정</t>
        </is>
      </c>
      <c r="C52" s="12" t="inlineStr">
        <is>
          <t>-</t>
        </is>
      </c>
      <c r="D52" s="11" t="n"/>
      <c r="E52" s="11" t="inlineStr">
        <is>
          <t>리드타임 2개월</t>
        </is>
      </c>
      <c r="F52" s="19" t="inlineStr">
        <is>
          <t>1~2주</t>
        </is>
      </c>
    </row>
    <row r="53">
      <c r="B53" s="8" t="inlineStr">
        <is>
          <t>비고</t>
        </is>
      </c>
      <c r="C53" s="11" t="n"/>
      <c r="D53" s="17" t="n"/>
      <c r="E53" s="11" t="inlineStr">
        <is>
          <t>EXW 가격 기준</t>
        </is>
      </c>
      <c r="F53" s="12" t="inlineStr">
        <is>
          <t>-</t>
        </is>
      </c>
    </row>
  </sheetData>
  <conditionalFormatting sqref="C11 C22 C31">
    <cfRule type="expression" priority="34" dxfId="0">
      <formula>AND(ISNUMBER(C11),C11=MIN(C11:I11))</formula>
    </cfRule>
  </conditionalFormatting>
  <conditionalFormatting sqref="C40">
    <cfRule type="expression" priority="9" dxfId="0">
      <formula>AND(ISNUMBER(C40),C40=MIN(C40:I40))</formula>
    </cfRule>
  </conditionalFormatting>
  <conditionalFormatting sqref="C49">
    <cfRule type="expression" priority="7" dxfId="0">
      <formula>AND(ISNUMBER(C49),C49=MIN(C49:I49))</formula>
    </cfRule>
  </conditionalFormatting>
  <conditionalFormatting sqref="D9 D11:F11 D20 D22:F22 D31:F31">
    <cfRule type="expression" priority="11" dxfId="0">
      <formula>AND(ISNUMBER(D9),D9=MIN(D9:F9))</formula>
    </cfRule>
  </conditionalFormatting>
  <conditionalFormatting sqref="D40:F40">
    <cfRule type="expression" priority="5" dxfId="0">
      <formula>AND(ISNUMBER(D40),D40=MIN(D40:F40))</formula>
    </cfRule>
  </conditionalFormatting>
  <conditionalFormatting sqref="D49:F49">
    <cfRule type="expression" priority="3" dxfId="0">
      <formula>AND(ISNUMBER(D49),D49=MIN(D49:F49))</formula>
    </cfRule>
  </conditionalFormatting>
  <conditionalFormatting sqref="E9 E20">
    <cfRule type="expression" priority="23" dxfId="0">
      <formula>AND(ISNUMBER(E9),E9=MIN(E9:F9))</formula>
    </cfRule>
  </conditionalFormatting>
  <conditionalFormatting sqref="F9">
    <cfRule type="expression" priority="2" dxfId="0">
      <formula>AND(ISNUMBER(F9),F9=MIN(F9:H9))</formula>
    </cfRule>
  </conditionalFormatting>
  <conditionalFormatting sqref="F20">
    <cfRule type="expression" priority="1" dxfId="0">
      <formula>AND(ISNUMBER(F20),F20=MIN(F20:H20))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7"/>
  <sheetViews>
    <sheetView tabSelected="1" zoomScale="115" zoomScaleNormal="115" workbookViewId="0">
      <selection activeCell="B1" sqref="B1"/>
    </sheetView>
  </sheetViews>
  <sheetFormatPr baseColWidth="8" defaultColWidth="8.7109375" defaultRowHeight="15"/>
  <cols>
    <col width="2" customWidth="1" min="1" max="1"/>
    <col width="27.5703125" customWidth="1" min="2" max="2"/>
    <col width="32.42578125" bestFit="1" customWidth="1" min="3" max="3"/>
    <col width="43" customWidth="1" min="4" max="4"/>
    <col width="41.7109375" customWidth="1" min="5" max="5"/>
    <col width="0.140625" customWidth="1" min="6" max="6"/>
  </cols>
  <sheetData>
    <row r="2" ht="19.5" customHeight="1">
      <c r="C2" s="1" t="inlineStr">
        <is>
          <t>환율(원/USD)</t>
        </is>
      </c>
      <c r="D2" s="2" t="n">
        <v>1361.5</v>
      </c>
      <c r="E2" s="14" t="inlineStr">
        <is>
          <t>(2026-10-13, 11시, 하나은행)</t>
        </is>
      </c>
      <c r="F2" s="14" t="n"/>
    </row>
    <row r="3" ht="25.5" customHeight="1">
      <c r="B3" s="30" t="inlineStr">
        <is>
          <t>지브라 스캐너 매입처 비교 (중국 업체 2곳 + 현재 국내 매입단가)</t>
        </is>
      </c>
    </row>
    <row r="4" ht="1.5" customHeight="1"/>
    <row r="5" hidden="1" ht="20.1" customHeight="1">
      <c r="B5" s="13" t="inlineStr">
        <is>
          <t>Zebra LS2208 SR</t>
        </is>
      </c>
      <c r="C5" s="13" t="n"/>
      <c r="D5" s="13" t="n"/>
      <c r="E5" s="13" t="n"/>
      <c r="F5" s="13" t="n"/>
    </row>
    <row r="6" hidden="1" ht="20.1" customHeight="1">
      <c r="B6" s="4" t="inlineStr">
        <is>
          <t>구분</t>
        </is>
      </c>
      <c r="C6" s="6" t="inlineStr">
        <is>
          <t>현재 매입단가
(국내/기존)</t>
        </is>
      </c>
      <c r="D6" s="5" t="inlineStr">
        <is>
          <t>1. Shenzhen Xingyao Trading Co., Ltd.
(설립 1년)</t>
        </is>
      </c>
      <c r="E6" s="5" t="inlineStr">
        <is>
          <t>2. Shenzhen Barcode System Co., Ltd.
(설립 20년)</t>
        </is>
      </c>
      <c r="F6" s="5" t="inlineStr">
        <is>
          <t>3. Suzhou Qiji Electric Co., Ltd.
(설립 12년)</t>
        </is>
      </c>
    </row>
    <row r="7" hidden="1" ht="20.1" customHeight="1">
      <c r="B7" s="8" t="inlineStr">
        <is>
          <t>단가(USD) - 스탠드 포함</t>
        </is>
      </c>
      <c r="C7" s="7" t="inlineStr">
        <is>
          <t>-</t>
        </is>
      </c>
      <c r="D7" s="32" t="n">
        <v>19.4</v>
      </c>
      <c r="E7" s="7" t="inlineStr">
        <is>
          <t>-</t>
        </is>
      </c>
      <c r="F7" s="32" t="n">
        <v>65</v>
      </c>
    </row>
    <row r="8" hidden="1" ht="20.1" customHeight="1">
      <c r="B8" s="8" t="inlineStr">
        <is>
          <t>단가(원화) - 스탠드 포함</t>
        </is>
      </c>
      <c r="C8" s="7" t="inlineStr">
        <is>
          <t>-</t>
        </is>
      </c>
      <c r="D8" s="33">
        <f>D7*$D$2</f>
        <v/>
      </c>
      <c r="E8" s="7" t="inlineStr">
        <is>
          <t>-</t>
        </is>
      </c>
      <c r="F8" s="33">
        <f>F7*$D$2</f>
        <v/>
      </c>
    </row>
    <row r="9" hidden="1" ht="20.1" customHeight="1">
      <c r="B9" s="16" t="inlineStr">
        <is>
          <t>단가(USD) - 스탠드 제외</t>
        </is>
      </c>
      <c r="C9" s="7" t="inlineStr">
        <is>
          <t>-</t>
        </is>
      </c>
      <c r="D9" s="32" t="n">
        <v>17.46</v>
      </c>
      <c r="E9" s="32" t="n">
        <v>53</v>
      </c>
      <c r="F9" s="32" t="n">
        <v>55</v>
      </c>
    </row>
    <row r="10" hidden="1" ht="20.1" customHeight="1">
      <c r="B10" s="16" t="inlineStr">
        <is>
          <t>단가(원화) - 스탠드 제외</t>
        </is>
      </c>
      <c r="C10" s="34" t="n">
        <v>67000</v>
      </c>
      <c r="D10" s="33">
        <f>D9*$D$2</f>
        <v/>
      </c>
      <c r="E10" s="33">
        <f>E9*$D$2</f>
        <v/>
      </c>
      <c r="F10" s="33">
        <f>F9*$D$2</f>
        <v/>
      </c>
    </row>
    <row r="11" hidden="1" ht="20.1" customHeight="1">
      <c r="B11" s="16" t="inlineStr">
        <is>
          <t xml:space="preserve">USB케이블 </t>
        </is>
      </c>
      <c r="C11" s="17" t="inlineStr">
        <is>
          <t>직선형 USB, 9,000원</t>
        </is>
      </c>
      <c r="D11" s="11" t="inlineStr">
        <is>
          <t>포함</t>
        </is>
      </c>
      <c r="E11" s="11" t="inlineStr">
        <is>
          <t>포함</t>
        </is>
      </c>
      <c r="F11" s="11" t="inlineStr">
        <is>
          <t>포함</t>
        </is>
      </c>
    </row>
    <row r="12" hidden="1" ht="20.1" customHeight="1">
      <c r="B12" s="8" t="inlineStr">
        <is>
          <t>재고여부</t>
        </is>
      </c>
      <c r="C12" s="12" t="n">
        <v>56</v>
      </c>
      <c r="D12" s="11" t="inlineStr">
        <is>
          <t>재고 있음 (사진 확인함)</t>
        </is>
      </c>
      <c r="E12" s="11" t="inlineStr">
        <is>
          <t>미확인</t>
        </is>
      </c>
      <c r="F12" s="11" t="inlineStr">
        <is>
          <t>미확인</t>
        </is>
      </c>
    </row>
    <row r="13" hidden="1" ht="20.1" customHeight="1">
      <c r="B13" s="8" t="inlineStr">
        <is>
          <t>납기일정</t>
        </is>
      </c>
      <c r="C13" s="12" t="inlineStr">
        <is>
          <t>-</t>
        </is>
      </c>
      <c r="D13" s="11" t="inlineStr">
        <is>
          <t>미정 (관세 납부 가능 여부 확인 후 결정 예정)</t>
        </is>
      </c>
      <c r="E13" s="11" t="inlineStr">
        <is>
          <t>리드타임 5~7일</t>
        </is>
      </c>
      <c r="F13" s="19" t="inlineStr">
        <is>
          <t>1~2주</t>
        </is>
      </c>
    </row>
    <row r="14" hidden="1" ht="20.1" customHeight="1">
      <c r="B14" s="8" t="inlineStr">
        <is>
          <t>비고</t>
        </is>
      </c>
      <c r="C14" s="11" t="inlineStr">
        <is>
          <t>본체 67,000원 + 케이블(직선형 USB) 9,000원 = 76,000원</t>
        </is>
      </c>
      <c r="D14" s="19" t="inlineStr">
        <is>
          <t>100대 이상 구매 시 5% 할인가능</t>
        </is>
      </c>
      <c r="E14" s="19" t="inlineStr">
        <is>
          <t>배송비 개당 3.2USD이며, DHL 또는 Fedex 특송을 이용/ DAP 인코텀즈 조건 / VAT 별도</t>
        </is>
      </c>
      <c r="F14" s="12" t="inlineStr">
        <is>
          <t>-</t>
        </is>
      </c>
    </row>
    <row r="15" hidden="1" ht="20.1" customHeight="1"/>
    <row r="16" hidden="1" ht="20.1" customHeight="1">
      <c r="B16" s="13" t="inlineStr">
        <is>
          <t>Zebra DS2208</t>
        </is>
      </c>
      <c r="C16" s="13" t="n"/>
      <c r="D16" s="13" t="n"/>
      <c r="E16" s="13" t="n"/>
      <c r="F16" s="13" t="n"/>
    </row>
    <row r="17" hidden="1" ht="20.1" customHeight="1">
      <c r="B17" s="4" t="inlineStr">
        <is>
          <t>구분</t>
        </is>
      </c>
      <c r="C17" s="6" t="inlineStr">
        <is>
          <t>현재 매입단가
(국내/기존)</t>
        </is>
      </c>
      <c r="D17" s="5" t="inlineStr">
        <is>
          <t>1. Shenzhen Xingyao Trading Co., Ltd.
(설립 1년)</t>
        </is>
      </c>
      <c r="E17" s="5" t="inlineStr">
        <is>
          <t>2. Shenzhen Barcode System Co., Ltd.
(설립 20년)</t>
        </is>
      </c>
      <c r="F17" s="5" t="inlineStr">
        <is>
          <t>3. Suzhou Qiji Electric Co., Ltd.
(설립 12년)</t>
        </is>
      </c>
    </row>
    <row r="18" hidden="1" ht="20.1" customHeight="1">
      <c r="B18" s="8" t="inlineStr">
        <is>
          <t>단가(USD) - 스탠드 포함</t>
        </is>
      </c>
      <c r="C18" s="7" t="inlineStr">
        <is>
          <t>-</t>
        </is>
      </c>
      <c r="D18" s="32" t="n">
        <v>46.57</v>
      </c>
      <c r="E18" s="7" t="inlineStr">
        <is>
          <t>-</t>
        </is>
      </c>
      <c r="F18" s="32" t="n">
        <v>75</v>
      </c>
    </row>
    <row r="19" hidden="1" ht="20.1" customHeight="1">
      <c r="B19" s="8" t="inlineStr">
        <is>
          <t>단가(원화) - 스탠드 포함</t>
        </is>
      </c>
      <c r="C19" s="7" t="inlineStr">
        <is>
          <t>-</t>
        </is>
      </c>
      <c r="D19" s="33">
        <f>D18*$D$2</f>
        <v/>
      </c>
      <c r="E19" s="7" t="inlineStr">
        <is>
          <t>-</t>
        </is>
      </c>
      <c r="F19" s="33">
        <f>F18*$D$2</f>
        <v/>
      </c>
    </row>
    <row r="20" hidden="1" ht="20.1" customHeight="1">
      <c r="B20" s="16" t="inlineStr">
        <is>
          <t>단가(USD) - 스탠드 제외</t>
        </is>
      </c>
      <c r="C20" s="7" t="inlineStr">
        <is>
          <t>-</t>
        </is>
      </c>
      <c r="D20" s="32" t="n">
        <v>42.69</v>
      </c>
      <c r="E20" s="32" t="n">
        <v>62</v>
      </c>
      <c r="F20" s="32" t="n">
        <v>65</v>
      </c>
    </row>
    <row r="21" hidden="1" ht="20.1" customHeight="1">
      <c r="B21" s="16" t="inlineStr">
        <is>
          <t>단가(원화) - 스탠드 제외</t>
        </is>
      </c>
      <c r="C21" s="34" t="n">
        <v>96000</v>
      </c>
      <c r="D21" s="33">
        <f>D20*$D$2</f>
        <v/>
      </c>
      <c r="E21" s="33">
        <f>E20*$D$2</f>
        <v/>
      </c>
      <c r="F21" s="33">
        <f>F20*$D$2</f>
        <v/>
      </c>
    </row>
    <row r="22" hidden="1" ht="20.1" customHeight="1">
      <c r="B22" s="8" t="inlineStr">
        <is>
          <t>USB케이블</t>
        </is>
      </c>
      <c r="C22" s="17" t="inlineStr">
        <is>
          <t>직선형 USB, 9,000원</t>
        </is>
      </c>
      <c r="D22" s="11" t="inlineStr">
        <is>
          <t>포함</t>
        </is>
      </c>
      <c r="E22" s="11" t="inlineStr">
        <is>
          <t>포함</t>
        </is>
      </c>
      <c r="F22" s="11" t="inlineStr">
        <is>
          <t>포함</t>
        </is>
      </c>
    </row>
    <row r="23" hidden="1" ht="20.1" customHeight="1">
      <c r="B23" s="8" t="inlineStr">
        <is>
          <t>재고여부</t>
        </is>
      </c>
      <c r="C23" s="12" t="n">
        <v>44</v>
      </c>
      <c r="D23" s="11" t="inlineStr">
        <is>
          <t>재고 있음 (사진 확인함)</t>
        </is>
      </c>
      <c r="E23" s="11" t="inlineStr">
        <is>
          <t>미확인</t>
        </is>
      </c>
      <c r="F23" s="19" t="inlineStr">
        <is>
          <t>1~2주</t>
        </is>
      </c>
    </row>
    <row r="24" hidden="1" ht="20.1" customHeight="1">
      <c r="B24" s="8" t="inlineStr">
        <is>
          <t>납기일정</t>
        </is>
      </c>
      <c r="C24" s="12" t="inlineStr">
        <is>
          <t>-</t>
        </is>
      </c>
      <c r="D24" s="11" t="inlineStr">
        <is>
          <t>미정 (관세 납부 가능 여부 확인 후 결정 예정)</t>
        </is>
      </c>
      <c r="E24" s="11" t="inlineStr">
        <is>
          <t>리드타임 5~7일</t>
        </is>
      </c>
      <c r="F24" s="19" t="n"/>
    </row>
    <row r="25" hidden="1" ht="20.1" customHeight="1">
      <c r="B25" s="8" t="inlineStr">
        <is>
          <t>비고</t>
        </is>
      </c>
      <c r="C25" s="11" t="inlineStr">
        <is>
          <t>본체 96,000원 + 케이블(직선형 USB) 9,000원 = 105,000원</t>
        </is>
      </c>
      <c r="D25" s="17" t="inlineStr">
        <is>
          <t>100대 이상 구매 시 5% 할인가능</t>
        </is>
      </c>
      <c r="E25" s="19" t="inlineStr">
        <is>
          <t>배송비 개당 3.2USD이며, DHL 또는 Fedex 특송을 이용/ DAP 인코텀즈 조건 / VAT 별도</t>
        </is>
      </c>
      <c r="F25" s="12" t="inlineStr">
        <is>
          <t>-</t>
        </is>
      </c>
    </row>
    <row r="26" ht="18.75" customFormat="1" customHeight="1" s="24">
      <c r="B26" s="25" t="inlineStr">
        <is>
          <t>Zebra DS9308</t>
        </is>
      </c>
      <c r="C26" s="25" t="n"/>
      <c r="D26" s="25" t="n"/>
      <c r="E26" s="25" t="n"/>
      <c r="F26" s="25" t="n"/>
    </row>
    <row r="27" ht="31.5" customHeight="1">
      <c r="B27" s="4" t="inlineStr">
        <is>
          <t>구분</t>
        </is>
      </c>
      <c r="C27" s="6" t="inlineStr">
        <is>
          <t>현재 매입단가
(국내/기존)</t>
        </is>
      </c>
      <c r="D27" s="5" t="inlineStr">
        <is>
          <t>1. Shenzhen Xingyao Trading Co., Ltd.
(설립 1년)</t>
        </is>
      </c>
      <c r="E27" s="5" t="inlineStr">
        <is>
          <t>2. Shenzhen Barcode System Co., Ltd.
(설립 20년)</t>
        </is>
      </c>
      <c r="F27" s="5" t="inlineStr">
        <is>
          <t>3. Suzhou Qiji Electric Co., Ltd.
(설립 12년)</t>
        </is>
      </c>
    </row>
    <row r="28">
      <c r="B28" s="8" t="inlineStr">
        <is>
          <t>단가(USD)</t>
        </is>
      </c>
      <c r="C28" s="7" t="inlineStr">
        <is>
          <t>-</t>
        </is>
      </c>
      <c r="D28" s="32" t="n">
        <v>109</v>
      </c>
      <c r="E28" s="32" t="n">
        <v>100</v>
      </c>
      <c r="F28" s="32" t="n"/>
    </row>
    <row r="29" ht="16.5" customHeight="1">
      <c r="B29" s="8" t="inlineStr">
        <is>
          <t>단가(원화)</t>
        </is>
      </c>
      <c r="C29" s="34" t="n">
        <v>182000</v>
      </c>
      <c r="D29" s="35">
        <f>D28*$D$2</f>
        <v/>
      </c>
      <c r="E29" s="35">
        <f>E28*$D$2</f>
        <v/>
      </c>
      <c r="F29" s="33" t="n"/>
    </row>
    <row r="30" ht="18" customHeight="1">
      <c r="B30" s="8" t="inlineStr">
        <is>
          <t>USB케이블</t>
        </is>
      </c>
      <c r="C30" s="17" t="inlineStr">
        <is>
          <t>직선형 USB, 9,000원</t>
        </is>
      </c>
      <c r="D30" s="11" t="inlineStr">
        <is>
          <t>포함</t>
        </is>
      </c>
      <c r="E30" s="11" t="inlineStr">
        <is>
          <t>포함</t>
        </is>
      </c>
      <c r="F30" s="11" t="n"/>
    </row>
    <row r="31" ht="16.5" customHeight="1">
      <c r="B31" s="8" t="inlineStr">
        <is>
          <t>재고여부</t>
        </is>
      </c>
      <c r="C31" s="12" t="n"/>
      <c r="D31" s="17" t="inlineStr">
        <is>
          <t>재고 보유</t>
        </is>
      </c>
      <c r="E31" s="11" t="inlineStr">
        <is>
          <t>생산 필요</t>
        </is>
      </c>
      <c r="F31" s="11" t="n"/>
    </row>
    <row r="32" ht="36" customHeight="1">
      <c r="B32" s="8" t="inlineStr">
        <is>
          <t>납기일정</t>
        </is>
      </c>
      <c r="C32" s="12" t="inlineStr">
        <is>
          <t>-</t>
        </is>
      </c>
      <c r="D32" s="26" t="inlineStr">
        <is>
          <t>결제 후 7일 내 출고
+ DHL 특송 7~10일</t>
        </is>
      </c>
      <c r="E32" s="17" t="inlineStr">
        <is>
          <t>약 2~4주(배송 약 1-2주, 생산 1-2주)</t>
        </is>
      </c>
      <c r="F32" s="19" t="n"/>
    </row>
    <row r="33" ht="60" customHeight="1">
      <c r="B33" s="8" t="inlineStr">
        <is>
          <t>비고</t>
        </is>
      </c>
      <c r="C33" s="11" t="inlineStr">
        <is>
          <t>• 대당 191,000원
  - 본체 182,000원
  - 직선형 USB 케이블 9,000원</t>
        </is>
      </c>
      <c r="D33" s="26" t="inlineStr">
        <is>
          <t>• DHL 운송비: US$355 (70대, 대당 약 $5.07)
• 총액: US$7,985 (제품 7,630 + 운송 355)
• 결제: T/T 또는 알리바바 Trade Assurance</t>
        </is>
      </c>
      <c r="E33" s="19" t="inlineStr">
        <is>
          <t>• 운송: 해상운송, 총 운임 320 USD
• 소요기간: 생산 1~2주 + 배송 1~2주
  (총 약 2~4주)</t>
        </is>
      </c>
      <c r="F33" s="12" t="n"/>
    </row>
    <row r="34" ht="16.5" customHeight="1">
      <c r="E34" s="19" t="n"/>
    </row>
    <row r="35" hidden="1" ht="20.1" customHeight="1">
      <c r="B35" s="13" t="inlineStr">
        <is>
          <t>Zebra DS3678 SR</t>
        </is>
      </c>
      <c r="C35" s="13" t="n"/>
      <c r="D35" s="13" t="n"/>
      <c r="E35" s="13" t="n"/>
      <c r="F35" s="13" t="n"/>
    </row>
    <row r="36" hidden="1" ht="20.1" customHeight="1">
      <c r="B36" s="4" t="inlineStr">
        <is>
          <t>구분</t>
        </is>
      </c>
      <c r="C36" s="6" t="inlineStr">
        <is>
          <t>현재 매입단가
(국내/기존)</t>
        </is>
      </c>
      <c r="D36" s="5" t="inlineStr">
        <is>
          <t>1. Shenzhen Xingyao Trading Co., Ltd.
(설립 1년)</t>
        </is>
      </c>
      <c r="E36" s="5" t="inlineStr">
        <is>
          <t>2. Shenzhen Barcode System Co., Ltd.
(설립 20년)</t>
        </is>
      </c>
      <c r="F36" s="5" t="inlineStr">
        <is>
          <t>3. Suzhou Qiji Electric Co., Ltd.
(설립 12년)</t>
        </is>
      </c>
    </row>
    <row r="37" hidden="1" ht="20.1" customHeight="1">
      <c r="B37" s="8" t="inlineStr">
        <is>
          <t>단가(USD)</t>
        </is>
      </c>
      <c r="C37" s="7" t="inlineStr">
        <is>
          <t>-</t>
        </is>
      </c>
      <c r="D37" s="36" t="inlineStr">
        <is>
          <t>재고부족</t>
        </is>
      </c>
      <c r="E37" s="32" t="n">
        <v>452</v>
      </c>
      <c r="F37" s="32" t="n">
        <v>455</v>
      </c>
    </row>
    <row r="38" hidden="1" ht="20.1" customHeight="1">
      <c r="B38" s="8" t="inlineStr">
        <is>
          <t>단가(원화)</t>
        </is>
      </c>
      <c r="C38" s="34" t="n">
        <v>745000</v>
      </c>
      <c r="D38" s="33">
        <f>D37*$D$2</f>
        <v/>
      </c>
      <c r="E38" s="35">
        <f>E37*$D$2</f>
        <v/>
      </c>
      <c r="F38" s="33">
        <f>F37*$D$2</f>
        <v/>
      </c>
    </row>
    <row r="39" hidden="1" ht="20.1" customHeight="1">
      <c r="B39" s="8" t="inlineStr">
        <is>
          <t>USB케이블</t>
        </is>
      </c>
      <c r="C39" s="17" t="n"/>
      <c r="D39" s="11" t="n"/>
      <c r="E39" s="11" t="n"/>
      <c r="F39" s="11" t="inlineStr">
        <is>
          <t>포함</t>
        </is>
      </c>
    </row>
    <row r="40" hidden="1" ht="20.1" customHeight="1">
      <c r="B40" s="8" t="inlineStr">
        <is>
          <t>재고여부</t>
        </is>
      </c>
      <c r="C40" s="12" t="n">
        <v>7</v>
      </c>
      <c r="D40" s="11" t="n"/>
      <c r="E40" s="11" t="n"/>
      <c r="F40" s="11" t="inlineStr">
        <is>
          <t>미확인</t>
        </is>
      </c>
    </row>
    <row r="41" hidden="1" ht="20.1" customHeight="1">
      <c r="B41" s="8" t="inlineStr">
        <is>
          <t>납기일정</t>
        </is>
      </c>
      <c r="C41" s="12" t="inlineStr">
        <is>
          <t>-</t>
        </is>
      </c>
      <c r="D41" s="11" t="n"/>
      <c r="E41" s="11" t="inlineStr">
        <is>
          <t>리드타임 2주</t>
        </is>
      </c>
      <c r="F41" s="11" t="inlineStr">
        <is>
          <t>1~2주</t>
        </is>
      </c>
    </row>
    <row r="42" hidden="1" ht="20.1" customHeight="1">
      <c r="B42" s="8" t="inlineStr">
        <is>
          <t>비고</t>
        </is>
      </c>
      <c r="C42" s="11" t="n"/>
      <c r="D42" s="17" t="n"/>
      <c r="E42" s="20" t="inlineStr">
        <is>
          <t>EXW 가격 기준</t>
        </is>
      </c>
      <c r="F42" s="12" t="inlineStr">
        <is>
          <t>-</t>
        </is>
      </c>
    </row>
    <row r="43" hidden="1" ht="20.1" customHeight="1"/>
    <row r="44" hidden="1" ht="20.1" customHeight="1">
      <c r="B44" s="13" t="inlineStr">
        <is>
          <t>Zebra DS3678 ER</t>
        </is>
      </c>
      <c r="C44" s="13" t="n"/>
      <c r="D44" s="13" t="n"/>
      <c r="E44" s="13" t="n"/>
      <c r="F44" s="13" t="n"/>
    </row>
    <row r="45" hidden="1" ht="20.1" customHeight="1">
      <c r="B45" s="4" t="inlineStr">
        <is>
          <t>구분</t>
        </is>
      </c>
      <c r="C45" s="6" t="inlineStr">
        <is>
          <t>현재 매입단가
(국내/기존)</t>
        </is>
      </c>
      <c r="D45" s="5" t="inlineStr">
        <is>
          <t>1. Shenzhen Xingyao Trading Co., Ltd.
(설립 1년)</t>
        </is>
      </c>
      <c r="E45" s="5" t="inlineStr">
        <is>
          <t>2. Shenzhen Barcode System Co., Ltd.
(설립 20년)</t>
        </is>
      </c>
      <c r="F45" s="5" t="inlineStr">
        <is>
          <t>3. Suzhou Qiji Electric Co., Ltd.
(설립 12년)</t>
        </is>
      </c>
    </row>
    <row r="46" hidden="1" ht="20.1" customHeight="1">
      <c r="B46" s="8" t="inlineStr">
        <is>
          <t>단가(USD)</t>
        </is>
      </c>
      <c r="C46" s="7" t="inlineStr">
        <is>
          <t>-</t>
        </is>
      </c>
      <c r="D46" s="36" t="inlineStr">
        <is>
          <t>재고부족</t>
        </is>
      </c>
      <c r="E46" s="32" t="n">
        <v>585</v>
      </c>
      <c r="F46" s="32" t="n">
        <v>575</v>
      </c>
    </row>
    <row r="47" hidden="1" ht="20.1" customHeight="1">
      <c r="B47" s="8" t="inlineStr">
        <is>
          <t>단가(원화)</t>
        </is>
      </c>
      <c r="C47" s="34" t="inlineStr">
        <is>
          <t>850,000(24년도)</t>
        </is>
      </c>
      <c r="D47" s="33">
        <f>D46*$D$2</f>
        <v/>
      </c>
      <c r="E47" s="35">
        <f>E46*$D$2</f>
        <v/>
      </c>
      <c r="F47" s="33">
        <f>F46*$D$2</f>
        <v/>
      </c>
    </row>
    <row r="48" hidden="1" ht="20.1" customHeight="1">
      <c r="B48" s="8" t="inlineStr">
        <is>
          <t>USB케이블</t>
        </is>
      </c>
      <c r="C48" s="17" t="n"/>
      <c r="D48" s="11" t="n"/>
      <c r="E48" s="11" t="n"/>
      <c r="F48" s="11" t="inlineStr">
        <is>
          <t>포함</t>
        </is>
      </c>
    </row>
    <row r="49" hidden="1" ht="20.1" customHeight="1">
      <c r="B49" s="8" t="inlineStr">
        <is>
          <t>재고여부</t>
        </is>
      </c>
      <c r="C49" s="12" t="n">
        <v>0</v>
      </c>
      <c r="D49" s="11" t="n"/>
      <c r="E49" s="11" t="n"/>
      <c r="F49" s="11" t="inlineStr">
        <is>
          <t>미확인</t>
        </is>
      </c>
    </row>
    <row r="50" hidden="1" ht="20.1" customHeight="1">
      <c r="B50" s="8" t="inlineStr">
        <is>
          <t>납기일정</t>
        </is>
      </c>
      <c r="C50" s="12" t="inlineStr">
        <is>
          <t>-</t>
        </is>
      </c>
      <c r="D50" s="11" t="n"/>
      <c r="E50" s="11" t="inlineStr">
        <is>
          <t>리드타임 2개월</t>
        </is>
      </c>
      <c r="F50" s="19" t="inlineStr">
        <is>
          <t>1~2주</t>
        </is>
      </c>
    </row>
    <row r="51" hidden="1" ht="20.1" customHeight="1">
      <c r="B51" s="8" t="inlineStr">
        <is>
          <t>비고</t>
        </is>
      </c>
      <c r="C51" s="11" t="n"/>
      <c r="D51" s="17" t="n"/>
      <c r="E51" s="11" t="inlineStr">
        <is>
          <t>EXW 가격 기준</t>
        </is>
      </c>
      <c r="F51" s="12" t="inlineStr">
        <is>
          <t>-</t>
        </is>
      </c>
    </row>
    <row r="52" ht="18.75" customFormat="1" customHeight="1" s="24">
      <c r="B52" s="25" t="inlineStr">
        <is>
          <t>Zebra DS2278</t>
        </is>
      </c>
      <c r="C52" s="25" t="n"/>
      <c r="D52" s="25" t="n"/>
      <c r="E52" s="25" t="n"/>
      <c r="F52" s="25" t="n"/>
    </row>
    <row r="53" ht="31.5" customHeight="1">
      <c r="B53" s="4" t="inlineStr">
        <is>
          <t>구분</t>
        </is>
      </c>
      <c r="C53" s="6" t="inlineStr">
        <is>
          <t>현재 매입단가
(국내/기존)</t>
        </is>
      </c>
      <c r="D53" s="5" t="inlineStr">
        <is>
          <t>1. Shenzhen Xingyao Trading Co., Ltd.
(설립 1년)</t>
        </is>
      </c>
      <c r="E53" s="5" t="inlineStr">
        <is>
          <t>2. Shenzhen Barcode System Co., Ltd.
(설립 20년)</t>
        </is>
      </c>
      <c r="F53" s="5" t="inlineStr">
        <is>
          <t>3. Suzhou Qiji Electric Co., Ltd.
(설립 12년)</t>
        </is>
      </c>
    </row>
    <row r="54">
      <c r="B54" s="8" t="inlineStr">
        <is>
          <t>단가(USD)</t>
        </is>
      </c>
      <c r="C54" s="7" t="inlineStr">
        <is>
          <t>-</t>
        </is>
      </c>
      <c r="D54" s="32" t="n">
        <v>151.62</v>
      </c>
      <c r="E54" s="32" t="n">
        <v>176</v>
      </c>
      <c r="F54" s="32" t="n"/>
    </row>
    <row r="55" ht="16.5" customHeight="1">
      <c r="B55" s="8" t="inlineStr">
        <is>
          <t>단가(원화)</t>
        </is>
      </c>
      <c r="C55" s="34" t="n">
        <v>305000</v>
      </c>
      <c r="D55" s="35">
        <f>D54*$D$2</f>
        <v/>
      </c>
      <c r="E55" s="35">
        <f>E54*$D$2</f>
        <v/>
      </c>
      <c r="F55" s="33" t="n"/>
    </row>
    <row r="56" ht="18" customHeight="1">
      <c r="B56" s="8" t="inlineStr">
        <is>
          <t>USB케이블</t>
        </is>
      </c>
      <c r="C56" s="19" t="inlineStr">
        <is>
          <t>미포함</t>
        </is>
      </c>
      <c r="D56" s="11" t="inlineStr">
        <is>
          <t>포함</t>
        </is>
      </c>
      <c r="E56" s="11" t="inlineStr">
        <is>
          <t>포함</t>
        </is>
      </c>
      <c r="F56" s="11" t="n"/>
    </row>
    <row r="57" ht="16.5" customHeight="1">
      <c r="B57" s="8" t="inlineStr">
        <is>
          <t>재고여부</t>
        </is>
      </c>
      <c r="C57" s="12" t="n">
        <v>35</v>
      </c>
      <c r="D57" s="17" t="inlineStr">
        <is>
          <t>재고 보유</t>
        </is>
      </c>
      <c r="E57" s="11" t="inlineStr">
        <is>
          <t>생산 필요</t>
        </is>
      </c>
      <c r="F57" s="11" t="n"/>
    </row>
    <row r="58" ht="36" customHeight="1">
      <c r="B58" s="8" t="inlineStr">
        <is>
          <t>납기일정</t>
        </is>
      </c>
      <c r="C58" s="12" t="inlineStr">
        <is>
          <t>-</t>
        </is>
      </c>
      <c r="D58" s="11" t="inlineStr">
        <is>
          <t>결제 후 7일 내 출고
+ DHL 특송 7~10일</t>
        </is>
      </c>
      <c r="E58" s="17" t="inlineStr">
        <is>
          <t>약 2~4주(배송 약 1-2주, 생산 1-2주)</t>
        </is>
      </c>
      <c r="F58" s="19" t="n"/>
    </row>
    <row r="59" ht="60" customHeight="1">
      <c r="B59" s="8" t="inlineStr">
        <is>
          <t>비고</t>
        </is>
      </c>
      <c r="C59" s="11" t="inlineStr">
        <is>
          <t>• 대당 305,000원
• USB 케이블 미포함 (별도 구매)</t>
        </is>
      </c>
      <c r="D59" s="26" t="inlineStr">
        <is>
          <t>• DHL 운송비: US$1,100 (100대, 대당 $11)
• 총액: US$16,262 (제품 15,162 + 운송 1,100)
• 결제: T/T 또는 알리바바 Trade Assurance</t>
        </is>
      </c>
      <c r="E59" s="19" t="inlineStr">
        <is>
          <t>• 운송: 해상운송, 총 운임 320 USD
  ※ DS9308과 동일 금액 → 합산 여부 확인</t>
        </is>
      </c>
      <c r="F59" s="12" t="n"/>
    </row>
    <row r="60" hidden="1" ht="20.1" customHeight="1"/>
    <row r="61" hidden="1" ht="20.1" customFormat="1" customHeight="1" s="24">
      <c r="B61" s="25" t="inlineStr">
        <is>
          <t>Zebra ZD421t (203dpi)</t>
        </is>
      </c>
      <c r="C61" s="25" t="n"/>
      <c r="D61" s="25" t="n"/>
      <c r="E61" s="25" t="n"/>
      <c r="F61" s="25" t="n"/>
    </row>
    <row r="62" hidden="1" ht="20.1" customHeight="1">
      <c r="B62" s="4" t="inlineStr">
        <is>
          <t>구분</t>
        </is>
      </c>
      <c r="C62" s="6" t="inlineStr">
        <is>
          <t>현재 매입단가
(국내/기존)</t>
        </is>
      </c>
      <c r="D62" s="5" t="inlineStr">
        <is>
          <t>1. Shenzhen Xingyao Trading Co., Ltd.
(설립 1년)</t>
        </is>
      </c>
      <c r="E62" s="5" t="inlineStr">
        <is>
          <t>2. Shenzhen Barcode System Co., Ltd.
(설립 20년)</t>
        </is>
      </c>
      <c r="F62" s="5" t="inlineStr">
        <is>
          <t>3. Suzhou Qiji Electric Co., Ltd.
(설립 12년)</t>
        </is>
      </c>
    </row>
    <row r="63" hidden="1" ht="20.1" customHeight="1">
      <c r="B63" s="8" t="inlineStr">
        <is>
          <t>단가(USD)</t>
        </is>
      </c>
      <c r="C63" s="7" t="inlineStr">
        <is>
          <t>-</t>
        </is>
      </c>
      <c r="D63" s="32" t="n"/>
      <c r="E63" s="32" t="n">
        <v>290</v>
      </c>
      <c r="F63" s="32" t="n"/>
    </row>
    <row r="64" hidden="1" ht="20.1" customHeight="1">
      <c r="B64" s="8" t="inlineStr">
        <is>
          <t>단가(원화)</t>
        </is>
      </c>
      <c r="C64" s="34" t="n">
        <v>315000</v>
      </c>
      <c r="D64" s="35" t="n"/>
      <c r="E64" s="35">
        <f>E63*$D$2</f>
        <v/>
      </c>
      <c r="F64" s="33" t="n"/>
    </row>
    <row r="65" hidden="1" ht="20.1" customHeight="1">
      <c r="B65" s="8" t="inlineStr">
        <is>
          <t>USB케이블</t>
        </is>
      </c>
      <c r="C65" s="7" t="inlineStr">
        <is>
          <t>-</t>
        </is>
      </c>
      <c r="D65" s="11" t="n"/>
      <c r="E65" s="11" t="n"/>
      <c r="F65" s="11" t="n"/>
    </row>
    <row r="66" hidden="1" ht="20.1" customHeight="1">
      <c r="B66" s="8" t="inlineStr">
        <is>
          <t>재고여부</t>
        </is>
      </c>
      <c r="C66" s="12" t="n">
        <v>53</v>
      </c>
      <c r="D66" s="17" t="inlineStr">
        <is>
          <t>재고 없음</t>
        </is>
      </c>
      <c r="E66" s="11" t="n"/>
      <c r="F66" s="11" t="n"/>
    </row>
    <row r="67" hidden="1" ht="20.1" customHeight="1">
      <c r="B67" s="8" t="inlineStr">
        <is>
          <t>납기일정</t>
        </is>
      </c>
      <c r="C67" s="12" t="n"/>
      <c r="D67" s="11" t="n"/>
      <c r="E67" s="22" t="inlineStr">
        <is>
          <t>배송 기간은 약 1-2주, 생산 리드 타임 또한 1-2주</t>
        </is>
      </c>
      <c r="F67" s="19" t="n"/>
    </row>
    <row r="68" hidden="1" ht="20.1" customHeight="1">
      <c r="B68" s="8" t="inlineStr">
        <is>
          <t>비고</t>
        </is>
      </c>
      <c r="C68" s="11" t="n"/>
      <c r="D68" s="17" t="n"/>
      <c r="E68" s="19" t="inlineStr">
        <is>
          <t>중국 내수용(CN) 버전
리드타임 4~8주</t>
        </is>
      </c>
      <c r="F68" s="12" t="n"/>
    </row>
    <row r="69" hidden="1" ht="20.1" customHeight="1">
      <c r="E69" s="23" t="n"/>
    </row>
    <row r="70" hidden="1" ht="20.1" customHeight="1"/>
    <row r="71" hidden="1" ht="20.1" customHeight="1"/>
    <row r="72" hidden="1" ht="20.1" customHeight="1"/>
    <row r="73" hidden="1" ht="20.1" customHeight="1"/>
    <row r="74" hidden="1" ht="20.1" customHeight="1"/>
    <row r="75" hidden="1" ht="20.1" customHeight="1"/>
    <row r="76" hidden="1" ht="20.1" customHeight="1"/>
    <row r="77" hidden="1" ht="20.1" customHeight="1"/>
    <row r="78" hidden="1" ht="20.1" customHeight="1"/>
    <row r="79" hidden="1" ht="20.1" customHeight="1"/>
    <row r="80" hidden="1" ht="20.1" customHeight="1"/>
    <row r="82" ht="23.25" customHeight="1">
      <c r="B82" s="25" t="inlineStr">
        <is>
          <t>Zebra DS2208</t>
        </is>
      </c>
      <c r="C82" s="13" t="n"/>
      <c r="D82" s="13" t="n"/>
      <c r="E82" s="13" t="n"/>
      <c r="F82" s="13" t="n"/>
    </row>
    <row r="83" ht="30" customHeight="1">
      <c r="B83" s="4" t="inlineStr">
        <is>
          <t>구분</t>
        </is>
      </c>
      <c r="C83" s="6" t="inlineStr">
        <is>
          <t>현재 매입단가
(국내/기존)</t>
        </is>
      </c>
      <c r="D83" s="5" t="inlineStr">
        <is>
          <t>1. Shenzhen Xingyao Trading Co., Ltd.
(설립 1년)</t>
        </is>
      </c>
      <c r="E83" s="5" t="inlineStr">
        <is>
          <t>2. Shenzhen Barcode System Co., Ltd.
(설립 20년)</t>
        </is>
      </c>
      <c r="F83" s="5" t="inlineStr">
        <is>
          <t>3. Suzhou Qiji Electric Co., Ltd.
(설립 12년)</t>
        </is>
      </c>
    </row>
    <row r="84" ht="17.25" customHeight="1">
      <c r="B84" s="8" t="inlineStr">
        <is>
          <t>단가(USD) - 스탠드 포함</t>
        </is>
      </c>
      <c r="C84" s="7" t="inlineStr">
        <is>
          <t>-</t>
        </is>
      </c>
      <c r="D84" s="32" t="n">
        <v>55</v>
      </c>
      <c r="E84" s="31" t="inlineStr">
        <is>
          <t>미회신</t>
        </is>
      </c>
      <c r="F84" s="32" t="n"/>
    </row>
    <row r="85" ht="18.75" customHeight="1">
      <c r="B85" s="8" t="inlineStr">
        <is>
          <t>단가(원화) - 스탠드 포함</t>
        </is>
      </c>
      <c r="C85" s="34" t="n">
        <v>131000</v>
      </c>
      <c r="D85" s="33">
        <f>D84*$D$2</f>
        <v/>
      </c>
      <c r="E85" s="7" t="inlineStr">
        <is>
          <t>-</t>
        </is>
      </c>
      <c r="F85" s="33" t="n"/>
    </row>
    <row r="86" ht="18" customHeight="1">
      <c r="B86" s="16" t="inlineStr">
        <is>
          <t>단가(USD) - 스탠드 제외</t>
        </is>
      </c>
      <c r="C86" s="7" t="inlineStr">
        <is>
          <t>-</t>
        </is>
      </c>
      <c r="D86" s="32" t="n">
        <v>51</v>
      </c>
      <c r="E86" s="32" t="n"/>
      <c r="F86" s="32" t="n"/>
    </row>
    <row r="87" ht="15" customHeight="1">
      <c r="B87" s="16" t="inlineStr">
        <is>
          <t>단가(원화) - 스탠드 제외</t>
        </is>
      </c>
      <c r="C87" s="34" t="n">
        <v>96000</v>
      </c>
      <c r="D87" s="33">
        <f>D86*$D$2</f>
        <v/>
      </c>
      <c r="E87" s="33" t="n"/>
      <c r="F87" s="33" t="n"/>
    </row>
    <row r="88" ht="16.5" customHeight="1">
      <c r="B88" s="8" t="inlineStr">
        <is>
          <t>USB케이블</t>
        </is>
      </c>
      <c r="C88" s="17" t="inlineStr">
        <is>
          <t>직선형 USB, 9,000원</t>
        </is>
      </c>
      <c r="D88" s="11" t="inlineStr">
        <is>
          <t>포함</t>
        </is>
      </c>
      <c r="E88" s="11" t="n"/>
      <c r="F88" s="11" t="n"/>
    </row>
    <row r="89" ht="16.5" customHeight="1">
      <c r="B89" s="8" t="inlineStr">
        <is>
          <t>재고여부</t>
        </is>
      </c>
      <c r="C89" s="12" t="n">
        <v>44</v>
      </c>
      <c r="D89" s="19" t="inlineStr">
        <is>
          <t>재고 보유</t>
        </is>
      </c>
      <c r="E89" s="11" t="n"/>
      <c r="F89" s="19" t="n"/>
    </row>
    <row r="90" ht="36" customHeight="1">
      <c r="B90" s="8" t="inlineStr">
        <is>
          <t>납기일정</t>
        </is>
      </c>
      <c r="C90" s="12" t="inlineStr">
        <is>
          <t>-</t>
        </is>
      </c>
      <c r="D90" s="11" t="inlineStr">
        <is>
          <t>결제 후 7일 내 출고
+ DHL 특송 7~10일</t>
        </is>
      </c>
      <c r="E90" s="11" t="n"/>
      <c r="F90" s="19" t="n"/>
    </row>
    <row r="91" ht="76" customHeight="1">
      <c r="B91" s="8" t="inlineStr">
        <is>
          <t>비고</t>
        </is>
      </c>
      <c r="C91" s="11" t="inlineStr">
        <is>
          <t>• 스탠드 제외: 대당 105,000원
  - 본체 96,000원
  - 직선형 USB 케이블 9,000원
• 스탠드 포함: 대당 131,000원</t>
        </is>
      </c>
      <c r="D91" s="19" t="inlineStr">
        <is>
          <t>• DHL 운송비: US$865 (100대, 대당 약 $8.65)
• 총액: US$6,365 (제품 5,500 + 운송 865)
• 스탠드 포함 단가(US$55) 기준 견적
• 결제: T/T 또는 알리바바 Trade Assurance</t>
        </is>
      </c>
      <c r="E91" s="27" t="inlineStr">
        <is>
          <t>-</t>
        </is>
      </c>
      <c r="F91" s="12" t="inlineStr">
        <is>
          <t>-</t>
        </is>
      </c>
    </row>
    <row r="93" hidden="1" ht="20.1" customHeight="1">
      <c r="B93" s="28" t="inlineStr">
        <is>
          <t>※ 공통 사항 (알리바바 구매 기준)</t>
        </is>
      </c>
    </row>
    <row r="94" hidden="1" ht="20.1" customHeight="1">
      <c r="B94" s="29" t="inlineStr">
        <is>
          <t>1. 결제·거래는 알리바바 플랫폼(Trade Assurance)을 통해 진행 — 결제수단별 수수료 발생 가능</t>
        </is>
      </c>
    </row>
    <row r="95" hidden="1" ht="20.1" customHeight="1">
      <c r="B95" s="29" t="inlineStr">
        <is>
          <t>2. 표기 단가는 제품가 기준이며, 국제운송비·수입 부가세(10%)·통관수수료는 별도</t>
        </is>
      </c>
    </row>
    <row r="96" hidden="1" ht="20.1" customHeight="1">
      <c r="B96" s="29" t="inlineStr">
        <is>
          <t>3. 관세 부담 주체(DAP/DDP 등 인코텀즈)는 업체별 확인 후 최종 비교 필요</t>
        </is>
      </c>
    </row>
    <row r="97" hidden="1" ht="20.1" customHeight="1">
      <c r="B97" s="29" t="inlineStr">
        <is>
          <t>4. 원화 환산은 상단 환율(D2) 기준이며, 결제 시점 환율에 따라 변동</t>
        </is>
      </c>
    </row>
    <row r="98" hidden="1" ht="20.1" customHeight="1">
      <c r="B98" s="29" t="inlineStr">
        <is>
          <t>5. 정품 여부 및 국내 A/S 가능 여부(중국 내수용 여부 포함) 발주 전 확인 필요</t>
        </is>
      </c>
    </row>
    <row r="100" ht="23.25" customHeight="1">
      <c r="B100" s="25" t="inlineStr">
        <is>
          <t>1번 업체(Xingyao) 견적 총액 요약 — 운송비 포함 (견적일 2026-10-13, 유효 30일)</t>
        </is>
      </c>
      <c r="C100" s="25" t="n"/>
      <c r="D100" s="25" t="n"/>
      <c r="E100" s="25" t="n"/>
    </row>
    <row r="101" ht="31.5" customHeight="1">
      <c r="B101" s="5" t="inlineStr">
        <is>
          <t>구분</t>
        </is>
      </c>
      <c r="C101" s="5" t="inlineStr">
        <is>
          <t>Zebra DS9308</t>
        </is>
      </c>
      <c r="D101" s="5" t="inlineStr">
        <is>
          <t>Zebra DS2278</t>
        </is>
      </c>
      <c r="E101" s="5" t="inlineStr">
        <is>
          <t>Zebra DS2208
(스탠드 포함)</t>
        </is>
      </c>
    </row>
    <row r="102">
      <c r="B102" s="8" t="inlineStr">
        <is>
          <t>발주 수량</t>
        </is>
      </c>
      <c r="C102" s="37" t="n">
        <v>70</v>
      </c>
      <c r="D102" s="37" t="n">
        <v>100</v>
      </c>
      <c r="E102" s="37" t="n">
        <v>100</v>
      </c>
    </row>
    <row r="103">
      <c r="B103" s="8" t="inlineStr">
        <is>
          <t>단가 (USD)</t>
        </is>
      </c>
      <c r="C103" s="38">
        <f>D28</f>
        <v/>
      </c>
      <c r="D103" s="38">
        <f>D54</f>
        <v/>
      </c>
      <c r="E103" s="38">
        <f>D84</f>
        <v/>
      </c>
    </row>
    <row r="104">
      <c r="B104" s="8" t="inlineStr">
        <is>
          <t>제품가 합계 (USD)</t>
        </is>
      </c>
      <c r="C104" s="38">
        <f>C102*C103</f>
        <v/>
      </c>
      <c r="D104" s="38">
        <f>D102*D103</f>
        <v/>
      </c>
      <c r="E104" s="38">
        <f>E102*E103</f>
        <v/>
      </c>
    </row>
    <row r="105">
      <c r="B105" s="8" t="inlineStr">
        <is>
          <t>DHL 운송비 (USD)</t>
        </is>
      </c>
      <c r="C105" s="39" t="n">
        <v>355</v>
      </c>
      <c r="D105" s="39" t="n">
        <v>1100</v>
      </c>
      <c r="E105" s="39" t="n">
        <v>865</v>
      </c>
    </row>
    <row r="106">
      <c r="B106" s="8" t="inlineStr">
        <is>
          <t>총액 (USD)</t>
        </is>
      </c>
      <c r="C106" s="40">
        <f>C104+C105</f>
        <v/>
      </c>
      <c r="D106" s="40">
        <f>D104+D105</f>
        <v/>
      </c>
      <c r="E106" s="40">
        <f>E104+E105</f>
        <v/>
      </c>
    </row>
    <row r="107">
      <c r="B107" s="8" t="inlineStr">
        <is>
          <t>총액 (원화)</t>
        </is>
      </c>
      <c r="C107" s="41">
        <f>C106*$D$2</f>
        <v/>
      </c>
      <c r="D107" s="41">
        <f>D106*$D$2</f>
        <v/>
      </c>
      <c r="E107" s="41">
        <f>E106*$D$2</f>
        <v/>
      </c>
    </row>
    <row r="108" ht="33" customHeight="1">
      <c r="B108" s="8" t="inlineStr">
        <is>
          <t>대당 실질 단가 (원화)
운송비 포함</t>
        </is>
      </c>
      <c r="C108" s="41">
        <f>C107/C102</f>
        <v/>
      </c>
      <c r="D108" s="41">
        <f>D107/D102</f>
        <v/>
      </c>
      <c r="E108" s="41">
        <f>E107/E102</f>
        <v/>
      </c>
    </row>
    <row r="109">
      <c r="B109" s="8" t="inlineStr">
        <is>
          <t>현재 국내 매입단가 (원화)</t>
        </is>
      </c>
      <c r="C109" s="33">
        <f>C29+9000</f>
        <v/>
      </c>
      <c r="D109" s="33">
        <f>C55</f>
        <v/>
      </c>
      <c r="E109" s="33">
        <f>C85</f>
        <v/>
      </c>
    </row>
    <row r="110">
      <c r="B110" s="8" t="inlineStr">
        <is>
          <t>대당 절감액 (원화)</t>
        </is>
      </c>
      <c r="C110" s="42">
        <f>C109-C108</f>
        <v/>
      </c>
      <c r="D110" s="42">
        <f>D109-D108</f>
        <v/>
      </c>
      <c r="E110" s="42">
        <f>E109-E108</f>
        <v/>
      </c>
    </row>
    <row r="111">
      <c r="B111" s="8" t="inlineStr">
        <is>
          <t>총 절감액 (원화)</t>
        </is>
      </c>
      <c r="C111" s="42">
        <f>C110*C102</f>
        <v/>
      </c>
      <c r="D111" s="42">
        <f>D110*D102</f>
        <v/>
      </c>
      <c r="E111" s="42">
        <f>E110*E102</f>
        <v/>
      </c>
    </row>
    <row r="112" ht="22" customHeight="1">
      <c r="B112" s="5" t="inlineStr">
        <is>
          <t>3개 모델 합계</t>
        </is>
      </c>
      <c r="C112" s="41">
        <f>"총액 "&amp;TEXT(SUM(C107:E107),"#,##0")&amp;"원  /  총 절감액 "&amp;TEXT(SUM(C111:E111),"#,##0")&amp;"원"</f>
        <v/>
      </c>
      <c r="D112" s="43" t="n"/>
      <c r="E112" s="44" t="n"/>
    </row>
    <row r="114">
      <c r="B114" s="45" t="inlineStr">
        <is>
          <t>※ 국내 매입단가: DS9308은 본체 182,000원 + 케이블 9,000원, DS2278은 케이블 미포함 단가, DS2208은 스탠드 포함 단가 기준</t>
        </is>
      </c>
    </row>
    <row r="115">
      <c r="B115" s="45" t="inlineStr">
        <is>
          <t>※ 1번 업체 단가는 USB 케이블 포함 / 수입 부가세(10%)·통관수수료·관세는 미포함</t>
        </is>
      </c>
    </row>
    <row r="116">
      <c r="B116" s="45" t="inlineStr">
        <is>
          <t>※ 결제: T/T 또는 알리바바 Trade Assurance / 납기: 결제 후 7일 내 출고 + DHL 7~10일</t>
        </is>
      </c>
    </row>
    <row r="117">
      <c r="B117" s="45" t="inlineStr">
        <is>
          <t>※ 노란색 셀(수량·운송비)과 상단 환율을 바꾸면 총액·절감액이 자동 계산됨</t>
        </is>
      </c>
    </row>
  </sheetData>
  <mergeCells count="1">
    <mergeCell ref="C112:E112"/>
  </mergeCells>
  <conditionalFormatting sqref="C10 C21 C29">
    <cfRule type="expression" priority="20" dxfId="0">
      <formula>AND(ISNUMBER(C10),C10=MIN(C10:I10))</formula>
    </cfRule>
  </conditionalFormatting>
  <conditionalFormatting sqref="C38">
    <cfRule type="expression" priority="17" dxfId="0">
      <formula>AND(ISNUMBER(C38),C38=MIN(C38:I38))</formula>
    </cfRule>
  </conditionalFormatting>
  <conditionalFormatting sqref="C47">
    <cfRule type="expression" priority="16" dxfId="0">
      <formula>AND(ISNUMBER(C47),C47=MIN(C47:I47))</formula>
    </cfRule>
  </conditionalFormatting>
  <conditionalFormatting sqref="C55">
    <cfRule type="expression" priority="11" dxfId="0">
      <formula>AND(ISNUMBER(C55),C55=MIN(C55:I55))</formula>
    </cfRule>
  </conditionalFormatting>
  <conditionalFormatting sqref="C64">
    <cfRule type="expression" priority="9" dxfId="0">
      <formula>AND(ISNUMBER(C64),C64=MIN(C64:I64))</formula>
    </cfRule>
  </conditionalFormatting>
  <conditionalFormatting sqref="C85">
    <cfRule type="expression" priority="1" dxfId="0">
      <formula>AND(ISNUMBER(C85),C85=MIN(C85:I85))</formula>
    </cfRule>
  </conditionalFormatting>
  <conditionalFormatting sqref="C87">
    <cfRule type="expression" priority="5" dxfId="0">
      <formula>AND(ISNUMBER(C87),C87=MIN(C87:I87))</formula>
    </cfRule>
  </conditionalFormatting>
  <conditionalFormatting sqref="D8 D10:F10 D19 D21:F21 D29:F29">
    <cfRule type="expression" priority="18" dxfId="0">
      <formula>AND(ISNUMBER(D8),D8=MIN(D8:F8))</formula>
    </cfRule>
  </conditionalFormatting>
  <conditionalFormatting sqref="D85 D87:F87">
    <cfRule type="expression" priority="3" dxfId="0">
      <formula>AND(ISNUMBER(D85),D85=MIN(D85:F85))</formula>
    </cfRule>
  </conditionalFormatting>
  <conditionalFormatting sqref="D38:F38">
    <cfRule type="expression" priority="15" dxfId="0">
      <formula>AND(ISNUMBER(D38),D38=MIN(D38:F38))</formula>
    </cfRule>
  </conditionalFormatting>
  <conditionalFormatting sqref="D47:F47">
    <cfRule type="expression" priority="14" dxfId="0">
      <formula>AND(ISNUMBER(D47),D47=MIN(D47:F47))</formula>
    </cfRule>
  </conditionalFormatting>
  <conditionalFormatting sqref="D55:F55">
    <cfRule type="expression" priority="7" dxfId="0">
      <formula>AND(ISNUMBER(D55),D55=MIN(D55:F55))</formula>
    </cfRule>
  </conditionalFormatting>
  <conditionalFormatting sqref="D64:F64">
    <cfRule type="expression" priority="6" dxfId="0">
      <formula>AND(ISNUMBER(D64),D64=MIN(D64:F64))</formula>
    </cfRule>
  </conditionalFormatting>
  <conditionalFormatting sqref="E8 E19">
    <cfRule type="expression" priority="19" dxfId="0">
      <formula>AND(ISNUMBER(E8),E8=MIN(E8:F8))</formula>
    </cfRule>
  </conditionalFormatting>
  <conditionalFormatting sqref="E85">
    <cfRule type="expression" priority="4" dxfId="0">
      <formula>AND(ISNUMBER(E85),E85=MIN(E85:F85))</formula>
    </cfRule>
  </conditionalFormatting>
  <conditionalFormatting sqref="F8">
    <cfRule type="expression" priority="13" dxfId="0">
      <formula>AND(ISNUMBER(F8),F8=MIN(F8:H8))</formula>
    </cfRule>
  </conditionalFormatting>
  <conditionalFormatting sqref="F19">
    <cfRule type="expression" priority="12" dxfId="0">
      <formula>AND(ISNUMBER(F19),F19=MIN(F19:H19))</formula>
    </cfRule>
  </conditionalFormatting>
  <conditionalFormatting sqref="F85">
    <cfRule type="expression" priority="2" dxfId="0">
      <formula>AND(ISNUMBER(F85),F85=MIN(F85:H85))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2026-07-30T01:54:16Z</dcterms:created>
  <dcterms:modified xmlns:dcterms="http://purl.org/dc/terms/" xmlns:xsi="http://www.w3.org/2001/XMLSchema-instance" xsi:type="dcterms:W3CDTF">2026-10-13T05:51:43Z</dcterms:modified>
  <cp:lastModifiedBy>우영 박</cp:lastModifiedBy>
  <cp:revision>0</cp:revision>
</cp:coreProperties>
</file>